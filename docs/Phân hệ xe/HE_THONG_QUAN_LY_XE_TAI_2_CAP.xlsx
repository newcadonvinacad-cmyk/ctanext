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LENOVO\Downloads\"/>
    </mc:Choice>
  </mc:AlternateContent>
  <xr:revisionPtr revIDLastSave="0" documentId="13_ncr:1_{7EB1CDC7-ABB5-4139-8A70-6FFEC106B2E9}" xr6:coauthVersionLast="47" xr6:coauthVersionMax="47" xr10:uidLastSave="{00000000-0000-0000-0000-000000000000}"/>
  <bookViews>
    <workbookView xWindow="-98" yWindow="-98" windowWidth="21795" windowHeight="12975" tabRatio="500" firstSheet="6" activeTab="8" xr2:uid="{00000000-000D-0000-FFFF-FFFF00000000}"/>
  </bookViews>
  <sheets>
    <sheet name="HƯỚNG DẪN" sheetId="1" r:id="rId1"/>
    <sheet name="LỆNH ĐIỀU XE" sheetId="2" r:id="rId2"/>
    <sheet name="NHẬT KÝ NGÀY" sheetId="3" r:id="rId3"/>
    <sheet name="CHẶNG TĂNG CA" sheetId="4" r:id="rId4"/>
    <sheet name="NHẬT KÝ DẦU" sheetId="5" r:id="rId5"/>
    <sheet name="SỔ SỰ CỐ - CHI PHÍ" sheetId="6" r:id="rId6"/>
    <sheet name="LỊCH XE - TÀI XẾ" sheetId="7" r:id="rId7"/>
    <sheet name="BÁO CÁO TUẦN" sheetId="8" r:id="rId8"/>
    <sheet name="BÁO CÁO THÁNG" sheetId="9" r:id="rId9"/>
    <sheet name="THAM SỐ" sheetId="10" r:id="rId10"/>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A62" i="9" l="1"/>
  <c r="A61" i="9"/>
  <c r="A60" i="9"/>
  <c r="A59" i="9"/>
  <c r="A58" i="9"/>
  <c r="A57" i="9"/>
  <c r="A56" i="9"/>
  <c r="A55" i="9"/>
  <c r="A54" i="9"/>
  <c r="A53" i="9"/>
  <c r="A52" i="9"/>
  <c r="A51" i="9"/>
  <c r="A50" i="9"/>
  <c r="A49" i="9"/>
  <c r="A48" i="9"/>
  <c r="A47" i="9"/>
  <c r="A46" i="9"/>
  <c r="A45" i="9"/>
  <c r="A44" i="9"/>
  <c r="A43" i="9"/>
  <c r="E23" i="9"/>
  <c r="E22" i="9"/>
  <c r="D5" i="9"/>
  <c r="C5" i="9"/>
  <c r="B5" i="9"/>
  <c r="F3" i="9"/>
  <c r="H3" i="9" s="1"/>
  <c r="G20" i="8"/>
  <c r="G13" i="8"/>
  <c r="G12" i="8"/>
  <c r="E5" i="8"/>
  <c r="D5" i="8"/>
  <c r="C5" i="8"/>
  <c r="B5" i="8"/>
  <c r="D3" i="8"/>
  <c r="K44" i="7"/>
  <c r="J44" i="7"/>
  <c r="I44" i="7"/>
  <c r="K43" i="7"/>
  <c r="J43" i="7"/>
  <c r="I43" i="7"/>
  <c r="K42" i="7"/>
  <c r="J42" i="7"/>
  <c r="I42" i="7"/>
  <c r="K41" i="7"/>
  <c r="J41" i="7"/>
  <c r="I41" i="7"/>
  <c r="K40" i="7"/>
  <c r="J40" i="7"/>
  <c r="I40" i="7"/>
  <c r="K39" i="7"/>
  <c r="J39" i="7"/>
  <c r="I39" i="7"/>
  <c r="K38" i="7"/>
  <c r="J38" i="7"/>
  <c r="I38" i="7"/>
  <c r="K37" i="7"/>
  <c r="J37" i="7"/>
  <c r="I37" i="7"/>
  <c r="K36" i="7"/>
  <c r="J36" i="7"/>
  <c r="I36" i="7"/>
  <c r="K35" i="7"/>
  <c r="J35" i="7"/>
  <c r="I35" i="7"/>
  <c r="K34" i="7"/>
  <c r="J34" i="7"/>
  <c r="I34" i="7"/>
  <c r="K33" i="7"/>
  <c r="J33" i="7"/>
  <c r="I33" i="7"/>
  <c r="K32" i="7"/>
  <c r="J32" i="7"/>
  <c r="I32" i="7"/>
  <c r="K31" i="7"/>
  <c r="J31" i="7"/>
  <c r="I31" i="7"/>
  <c r="K30" i="7"/>
  <c r="J30" i="7"/>
  <c r="I30" i="7"/>
  <c r="K29" i="7"/>
  <c r="J29" i="7"/>
  <c r="I29" i="7"/>
  <c r="K28" i="7"/>
  <c r="J28" i="7"/>
  <c r="I28" i="7"/>
  <c r="K27" i="7"/>
  <c r="J27" i="7"/>
  <c r="I27" i="7"/>
  <c r="K26" i="7"/>
  <c r="J26" i="7"/>
  <c r="I26" i="7"/>
  <c r="K25" i="7"/>
  <c r="J25" i="7"/>
  <c r="I25" i="7"/>
  <c r="J24" i="7"/>
  <c r="K24" i="7" s="1"/>
  <c r="I24" i="7"/>
  <c r="J23" i="7"/>
  <c r="K23" i="7" s="1"/>
  <c r="I23" i="7"/>
  <c r="J22" i="7"/>
  <c r="K22" i="7" s="1"/>
  <c r="I22" i="7"/>
  <c r="J21" i="7"/>
  <c r="K21" i="7" s="1"/>
  <c r="I21" i="7"/>
  <c r="I20" i="7"/>
  <c r="J20" i="7" s="1"/>
  <c r="K20" i="7" s="1"/>
  <c r="I19" i="7"/>
  <c r="J19" i="7" s="1"/>
  <c r="K19" i="7" s="1"/>
  <c r="J18" i="7"/>
  <c r="K18" i="7" s="1"/>
  <c r="I18" i="7"/>
  <c r="J17" i="7"/>
  <c r="K17" i="7" s="1"/>
  <c r="I17" i="7"/>
  <c r="J16" i="7"/>
  <c r="K16" i="7" s="1"/>
  <c r="I16" i="7"/>
  <c r="J15" i="7"/>
  <c r="K15" i="7" s="1"/>
  <c r="I15" i="7"/>
  <c r="J14" i="7"/>
  <c r="K14" i="7" s="1"/>
  <c r="I14" i="7"/>
  <c r="J13" i="7"/>
  <c r="K13" i="7" s="1"/>
  <c r="I13" i="7"/>
  <c r="I12" i="7"/>
  <c r="J12" i="7" s="1"/>
  <c r="K12" i="7" s="1"/>
  <c r="I11" i="7"/>
  <c r="J11" i="7" s="1"/>
  <c r="K11" i="7" s="1"/>
  <c r="J10" i="7"/>
  <c r="K10" i="7" s="1"/>
  <c r="I10" i="7"/>
  <c r="J9" i="7"/>
  <c r="K9" i="7" s="1"/>
  <c r="I9" i="7"/>
  <c r="J8" i="7"/>
  <c r="K8" i="7" s="1"/>
  <c r="I8" i="7"/>
  <c r="J7" i="7"/>
  <c r="K7" i="7" s="1"/>
  <c r="I7" i="7"/>
  <c r="J6" i="7"/>
  <c r="K6" i="7" s="1"/>
  <c r="I6" i="7"/>
  <c r="J5" i="7"/>
  <c r="K5" i="7" s="1"/>
  <c r="I5" i="7"/>
  <c r="O204" i="5"/>
  <c r="P204" i="5" s="1"/>
  <c r="N204" i="5"/>
  <c r="L204" i="5"/>
  <c r="M204" i="5" s="1"/>
  <c r="K204" i="5"/>
  <c r="O203" i="5"/>
  <c r="P203" i="5" s="1"/>
  <c r="N203" i="5"/>
  <c r="L203" i="5"/>
  <c r="M203" i="5" s="1"/>
  <c r="K203" i="5"/>
  <c r="O202" i="5"/>
  <c r="P202" i="5" s="1"/>
  <c r="N202" i="5"/>
  <c r="L202" i="5"/>
  <c r="M202" i="5" s="1"/>
  <c r="K202" i="5"/>
  <c r="O201" i="5"/>
  <c r="P201" i="5" s="1"/>
  <c r="N201" i="5"/>
  <c r="L201" i="5"/>
  <c r="M201" i="5" s="1"/>
  <c r="K201" i="5"/>
  <c r="O200" i="5"/>
  <c r="P200" i="5" s="1"/>
  <c r="N200" i="5"/>
  <c r="L200" i="5"/>
  <c r="M200" i="5" s="1"/>
  <c r="K200" i="5"/>
  <c r="O199" i="5"/>
  <c r="P199" i="5" s="1"/>
  <c r="N199" i="5"/>
  <c r="L199" i="5"/>
  <c r="M199" i="5" s="1"/>
  <c r="K199" i="5"/>
  <c r="O198" i="5"/>
  <c r="P198" i="5" s="1"/>
  <c r="N198" i="5"/>
  <c r="L198" i="5"/>
  <c r="M198" i="5" s="1"/>
  <c r="K198" i="5"/>
  <c r="O197" i="5"/>
  <c r="P197" i="5" s="1"/>
  <c r="N197" i="5"/>
  <c r="L197" i="5"/>
  <c r="M197" i="5" s="1"/>
  <c r="K197" i="5"/>
  <c r="O196" i="5"/>
  <c r="P196" i="5" s="1"/>
  <c r="N196" i="5"/>
  <c r="L196" i="5"/>
  <c r="M196" i="5" s="1"/>
  <c r="K196" i="5"/>
  <c r="O195" i="5"/>
  <c r="P195" i="5" s="1"/>
  <c r="N195" i="5"/>
  <c r="L195" i="5"/>
  <c r="M195" i="5" s="1"/>
  <c r="K195" i="5"/>
  <c r="O194" i="5"/>
  <c r="P194" i="5" s="1"/>
  <c r="N194" i="5"/>
  <c r="L194" i="5"/>
  <c r="M194" i="5" s="1"/>
  <c r="K194" i="5"/>
  <c r="O193" i="5"/>
  <c r="P193" i="5" s="1"/>
  <c r="N193" i="5"/>
  <c r="L193" i="5"/>
  <c r="M193" i="5" s="1"/>
  <c r="K193" i="5"/>
  <c r="O192" i="5"/>
  <c r="P192" i="5" s="1"/>
  <c r="N192" i="5"/>
  <c r="L192" i="5"/>
  <c r="M192" i="5" s="1"/>
  <c r="K192" i="5"/>
  <c r="O191" i="5"/>
  <c r="P191" i="5" s="1"/>
  <c r="N191" i="5"/>
  <c r="L191" i="5"/>
  <c r="M191" i="5" s="1"/>
  <c r="K191" i="5"/>
  <c r="O190" i="5"/>
  <c r="P190" i="5" s="1"/>
  <c r="N190" i="5"/>
  <c r="L190" i="5"/>
  <c r="M190" i="5" s="1"/>
  <c r="K190" i="5"/>
  <c r="O189" i="5"/>
  <c r="P189" i="5" s="1"/>
  <c r="N189" i="5"/>
  <c r="L189" i="5"/>
  <c r="M189" i="5" s="1"/>
  <c r="K189" i="5"/>
  <c r="O188" i="5"/>
  <c r="P188" i="5" s="1"/>
  <c r="N188" i="5"/>
  <c r="L188" i="5"/>
  <c r="M188" i="5" s="1"/>
  <c r="K188" i="5"/>
  <c r="O187" i="5"/>
  <c r="P187" i="5" s="1"/>
  <c r="N187" i="5"/>
  <c r="L187" i="5"/>
  <c r="M187" i="5" s="1"/>
  <c r="K187" i="5"/>
  <c r="O186" i="5"/>
  <c r="P186" i="5" s="1"/>
  <c r="N186" i="5"/>
  <c r="L186" i="5"/>
  <c r="M186" i="5" s="1"/>
  <c r="K186" i="5"/>
  <c r="O185" i="5"/>
  <c r="P185" i="5" s="1"/>
  <c r="N185" i="5"/>
  <c r="L185" i="5"/>
  <c r="M185" i="5" s="1"/>
  <c r="K185" i="5"/>
  <c r="O184" i="5"/>
  <c r="P184" i="5" s="1"/>
  <c r="N184" i="5"/>
  <c r="L184" i="5"/>
  <c r="M184" i="5" s="1"/>
  <c r="K184" i="5"/>
  <c r="O183" i="5"/>
  <c r="P183" i="5" s="1"/>
  <c r="N183" i="5"/>
  <c r="L183" i="5"/>
  <c r="M183" i="5" s="1"/>
  <c r="K183" i="5"/>
  <c r="O182" i="5"/>
  <c r="P182" i="5" s="1"/>
  <c r="N182" i="5"/>
  <c r="L182" i="5"/>
  <c r="M182" i="5" s="1"/>
  <c r="K182" i="5"/>
  <c r="O181" i="5"/>
  <c r="P181" i="5" s="1"/>
  <c r="N181" i="5"/>
  <c r="L181" i="5"/>
  <c r="M181" i="5" s="1"/>
  <c r="K181" i="5"/>
  <c r="O180" i="5"/>
  <c r="P180" i="5" s="1"/>
  <c r="N180" i="5"/>
  <c r="L180" i="5"/>
  <c r="M180" i="5" s="1"/>
  <c r="K180" i="5"/>
  <c r="O179" i="5"/>
  <c r="P179" i="5" s="1"/>
  <c r="N179" i="5"/>
  <c r="L179" i="5"/>
  <c r="M179" i="5" s="1"/>
  <c r="K179" i="5"/>
  <c r="O178" i="5"/>
  <c r="P178" i="5" s="1"/>
  <c r="N178" i="5"/>
  <c r="L178" i="5"/>
  <c r="M178" i="5" s="1"/>
  <c r="K178" i="5"/>
  <c r="O177" i="5"/>
  <c r="P177" i="5" s="1"/>
  <c r="N177" i="5"/>
  <c r="L177" i="5"/>
  <c r="M177" i="5" s="1"/>
  <c r="K177" i="5"/>
  <c r="O176" i="5"/>
  <c r="P176" i="5" s="1"/>
  <c r="N176" i="5"/>
  <c r="L176" i="5"/>
  <c r="M176" i="5" s="1"/>
  <c r="K176" i="5"/>
  <c r="O175" i="5"/>
  <c r="P175" i="5" s="1"/>
  <c r="N175" i="5"/>
  <c r="L175" i="5"/>
  <c r="M175" i="5" s="1"/>
  <c r="K175" i="5"/>
  <c r="O174" i="5"/>
  <c r="P174" i="5" s="1"/>
  <c r="N174" i="5"/>
  <c r="L174" i="5"/>
  <c r="M174" i="5" s="1"/>
  <c r="K174" i="5"/>
  <c r="O173" i="5"/>
  <c r="P173" i="5" s="1"/>
  <c r="N173" i="5"/>
  <c r="L173" i="5"/>
  <c r="M173" i="5" s="1"/>
  <c r="K173" i="5"/>
  <c r="O172" i="5"/>
  <c r="P172" i="5" s="1"/>
  <c r="N172" i="5"/>
  <c r="L172" i="5"/>
  <c r="M172" i="5" s="1"/>
  <c r="K172" i="5"/>
  <c r="O171" i="5"/>
  <c r="P171" i="5" s="1"/>
  <c r="N171" i="5"/>
  <c r="L171" i="5"/>
  <c r="M171" i="5" s="1"/>
  <c r="K171" i="5"/>
  <c r="O170" i="5"/>
  <c r="P170" i="5" s="1"/>
  <c r="N170" i="5"/>
  <c r="L170" i="5"/>
  <c r="M170" i="5" s="1"/>
  <c r="K170" i="5"/>
  <c r="O169" i="5"/>
  <c r="P169" i="5" s="1"/>
  <c r="N169" i="5"/>
  <c r="L169" i="5"/>
  <c r="M169" i="5" s="1"/>
  <c r="K169" i="5"/>
  <c r="O168" i="5"/>
  <c r="P168" i="5" s="1"/>
  <c r="N168" i="5"/>
  <c r="L168" i="5"/>
  <c r="M168" i="5" s="1"/>
  <c r="K168" i="5"/>
  <c r="O167" i="5"/>
  <c r="P167" i="5" s="1"/>
  <c r="N167" i="5"/>
  <c r="L167" i="5"/>
  <c r="M167" i="5" s="1"/>
  <c r="K167" i="5"/>
  <c r="O166" i="5"/>
  <c r="P166" i="5" s="1"/>
  <c r="N166" i="5"/>
  <c r="L166" i="5"/>
  <c r="M166" i="5" s="1"/>
  <c r="K166" i="5"/>
  <c r="O165" i="5"/>
  <c r="P165" i="5" s="1"/>
  <c r="N165" i="5"/>
  <c r="L165" i="5"/>
  <c r="M165" i="5" s="1"/>
  <c r="K165" i="5"/>
  <c r="O164" i="5"/>
  <c r="P164" i="5" s="1"/>
  <c r="N164" i="5"/>
  <c r="L164" i="5"/>
  <c r="M164" i="5" s="1"/>
  <c r="K164" i="5"/>
  <c r="O163" i="5"/>
  <c r="P163" i="5" s="1"/>
  <c r="N163" i="5"/>
  <c r="L163" i="5"/>
  <c r="M163" i="5" s="1"/>
  <c r="K163" i="5"/>
  <c r="O162" i="5"/>
  <c r="P162" i="5" s="1"/>
  <c r="N162" i="5"/>
  <c r="L162" i="5"/>
  <c r="M162" i="5" s="1"/>
  <c r="K162" i="5"/>
  <c r="O161" i="5"/>
  <c r="P161" i="5" s="1"/>
  <c r="N161" i="5"/>
  <c r="L161" i="5"/>
  <c r="M161" i="5" s="1"/>
  <c r="K161" i="5"/>
  <c r="O160" i="5"/>
  <c r="P160" i="5" s="1"/>
  <c r="N160" i="5"/>
  <c r="L160" i="5"/>
  <c r="M160" i="5" s="1"/>
  <c r="K160" i="5"/>
  <c r="O159" i="5"/>
  <c r="P159" i="5" s="1"/>
  <c r="N159" i="5"/>
  <c r="L159" i="5"/>
  <c r="M159" i="5" s="1"/>
  <c r="K159" i="5"/>
  <c r="O158" i="5"/>
  <c r="P158" i="5" s="1"/>
  <c r="N158" i="5"/>
  <c r="L158" i="5"/>
  <c r="M158" i="5" s="1"/>
  <c r="K158" i="5"/>
  <c r="O157" i="5"/>
  <c r="P157" i="5" s="1"/>
  <c r="N157" i="5"/>
  <c r="L157" i="5"/>
  <c r="M157" i="5" s="1"/>
  <c r="K157" i="5"/>
  <c r="O156" i="5"/>
  <c r="P156" i="5" s="1"/>
  <c r="N156" i="5"/>
  <c r="L156" i="5"/>
  <c r="M156" i="5" s="1"/>
  <c r="K156" i="5"/>
  <c r="O155" i="5"/>
  <c r="P155" i="5" s="1"/>
  <c r="N155" i="5"/>
  <c r="L155" i="5"/>
  <c r="M155" i="5" s="1"/>
  <c r="K155" i="5"/>
  <c r="O154" i="5"/>
  <c r="P154" i="5" s="1"/>
  <c r="N154" i="5"/>
  <c r="L154" i="5"/>
  <c r="M154" i="5" s="1"/>
  <c r="K154" i="5"/>
  <c r="O153" i="5"/>
  <c r="P153" i="5" s="1"/>
  <c r="N153" i="5"/>
  <c r="L153" i="5"/>
  <c r="M153" i="5" s="1"/>
  <c r="K153" i="5"/>
  <c r="O152" i="5"/>
  <c r="P152" i="5" s="1"/>
  <c r="N152" i="5"/>
  <c r="L152" i="5"/>
  <c r="M152" i="5" s="1"/>
  <c r="K152" i="5"/>
  <c r="O151" i="5"/>
  <c r="P151" i="5" s="1"/>
  <c r="N151" i="5"/>
  <c r="L151" i="5"/>
  <c r="M151" i="5" s="1"/>
  <c r="K151" i="5"/>
  <c r="O150" i="5"/>
  <c r="P150" i="5" s="1"/>
  <c r="N150" i="5"/>
  <c r="L150" i="5"/>
  <c r="M150" i="5" s="1"/>
  <c r="K150" i="5"/>
  <c r="O149" i="5"/>
  <c r="P149" i="5" s="1"/>
  <c r="N149" i="5"/>
  <c r="L149" i="5"/>
  <c r="M149" i="5" s="1"/>
  <c r="K149" i="5"/>
  <c r="O148" i="5"/>
  <c r="P148" i="5" s="1"/>
  <c r="N148" i="5"/>
  <c r="L148" i="5"/>
  <c r="M148" i="5" s="1"/>
  <c r="K148" i="5"/>
  <c r="O147" i="5"/>
  <c r="P147" i="5" s="1"/>
  <c r="N147" i="5"/>
  <c r="L147" i="5"/>
  <c r="M147" i="5" s="1"/>
  <c r="K147" i="5"/>
  <c r="O146" i="5"/>
  <c r="P146" i="5" s="1"/>
  <c r="N146" i="5"/>
  <c r="L146" i="5"/>
  <c r="M146" i="5" s="1"/>
  <c r="K146" i="5"/>
  <c r="O145" i="5"/>
  <c r="P145" i="5" s="1"/>
  <c r="N145" i="5"/>
  <c r="L145" i="5"/>
  <c r="M145" i="5" s="1"/>
  <c r="K145" i="5"/>
  <c r="O144" i="5"/>
  <c r="P144" i="5" s="1"/>
  <c r="N144" i="5"/>
  <c r="L144" i="5"/>
  <c r="M144" i="5" s="1"/>
  <c r="K144" i="5"/>
  <c r="O143" i="5"/>
  <c r="P143" i="5" s="1"/>
  <c r="N143" i="5"/>
  <c r="L143" i="5"/>
  <c r="M143" i="5" s="1"/>
  <c r="K143" i="5"/>
  <c r="O142" i="5"/>
  <c r="P142" i="5" s="1"/>
  <c r="N142" i="5"/>
  <c r="L142" i="5"/>
  <c r="M142" i="5" s="1"/>
  <c r="K142" i="5"/>
  <c r="O141" i="5"/>
  <c r="P141" i="5" s="1"/>
  <c r="N141" i="5"/>
  <c r="L141" i="5"/>
  <c r="M141" i="5" s="1"/>
  <c r="K141" i="5"/>
  <c r="O140" i="5"/>
  <c r="P140" i="5" s="1"/>
  <c r="N140" i="5"/>
  <c r="L140" i="5"/>
  <c r="M140" i="5" s="1"/>
  <c r="K140" i="5"/>
  <c r="O139" i="5"/>
  <c r="P139" i="5" s="1"/>
  <c r="N139" i="5"/>
  <c r="L139" i="5"/>
  <c r="M139" i="5" s="1"/>
  <c r="K139" i="5"/>
  <c r="O138" i="5"/>
  <c r="P138" i="5" s="1"/>
  <c r="N138" i="5"/>
  <c r="L138" i="5"/>
  <c r="M138" i="5" s="1"/>
  <c r="K138" i="5"/>
  <c r="O137" i="5"/>
  <c r="P137" i="5" s="1"/>
  <c r="N137" i="5"/>
  <c r="L137" i="5"/>
  <c r="M137" i="5" s="1"/>
  <c r="K137" i="5"/>
  <c r="O136" i="5"/>
  <c r="P136" i="5" s="1"/>
  <c r="N136" i="5"/>
  <c r="L136" i="5"/>
  <c r="M136" i="5" s="1"/>
  <c r="K136" i="5"/>
  <c r="O135" i="5"/>
  <c r="P135" i="5" s="1"/>
  <c r="N135" i="5"/>
  <c r="L135" i="5"/>
  <c r="M135" i="5" s="1"/>
  <c r="K135" i="5"/>
  <c r="O134" i="5"/>
  <c r="P134" i="5" s="1"/>
  <c r="N134" i="5"/>
  <c r="L134" i="5"/>
  <c r="M134" i="5" s="1"/>
  <c r="K134" i="5"/>
  <c r="O133" i="5"/>
  <c r="P133" i="5" s="1"/>
  <c r="N133" i="5"/>
  <c r="L133" i="5"/>
  <c r="M133" i="5" s="1"/>
  <c r="K133" i="5"/>
  <c r="O132" i="5"/>
  <c r="P132" i="5" s="1"/>
  <c r="N132" i="5"/>
  <c r="L132" i="5"/>
  <c r="M132" i="5" s="1"/>
  <c r="K132" i="5"/>
  <c r="O131" i="5"/>
  <c r="P131" i="5" s="1"/>
  <c r="N131" i="5"/>
  <c r="L131" i="5"/>
  <c r="M131" i="5" s="1"/>
  <c r="K131" i="5"/>
  <c r="O130" i="5"/>
  <c r="P130" i="5" s="1"/>
  <c r="N130" i="5"/>
  <c r="L130" i="5"/>
  <c r="M130" i="5" s="1"/>
  <c r="K130" i="5"/>
  <c r="O129" i="5"/>
  <c r="P129" i="5" s="1"/>
  <c r="N129" i="5"/>
  <c r="L129" i="5"/>
  <c r="M129" i="5" s="1"/>
  <c r="K129" i="5"/>
  <c r="O128" i="5"/>
  <c r="P128" i="5" s="1"/>
  <c r="N128" i="5"/>
  <c r="L128" i="5"/>
  <c r="M128" i="5" s="1"/>
  <c r="K128" i="5"/>
  <c r="O127" i="5"/>
  <c r="P127" i="5" s="1"/>
  <c r="N127" i="5"/>
  <c r="L127" i="5"/>
  <c r="M127" i="5" s="1"/>
  <c r="K127" i="5"/>
  <c r="O126" i="5"/>
  <c r="P126" i="5" s="1"/>
  <c r="N126" i="5"/>
  <c r="L126" i="5"/>
  <c r="M126" i="5" s="1"/>
  <c r="K126" i="5"/>
  <c r="O125" i="5"/>
  <c r="P125" i="5" s="1"/>
  <c r="N125" i="5"/>
  <c r="L125" i="5"/>
  <c r="M125" i="5" s="1"/>
  <c r="K125" i="5"/>
  <c r="O124" i="5"/>
  <c r="P124" i="5" s="1"/>
  <c r="N124" i="5"/>
  <c r="L124" i="5"/>
  <c r="M124" i="5" s="1"/>
  <c r="K124" i="5"/>
  <c r="O123" i="5"/>
  <c r="P123" i="5" s="1"/>
  <c r="N123" i="5"/>
  <c r="L123" i="5"/>
  <c r="M123" i="5" s="1"/>
  <c r="K123" i="5"/>
  <c r="O122" i="5"/>
  <c r="P122" i="5" s="1"/>
  <c r="N122" i="5"/>
  <c r="L122" i="5"/>
  <c r="M122" i="5" s="1"/>
  <c r="K122" i="5"/>
  <c r="O121" i="5"/>
  <c r="P121" i="5" s="1"/>
  <c r="N121" i="5"/>
  <c r="L121" i="5"/>
  <c r="M121" i="5" s="1"/>
  <c r="K121" i="5"/>
  <c r="O120" i="5"/>
  <c r="P120" i="5" s="1"/>
  <c r="N120" i="5"/>
  <c r="L120" i="5"/>
  <c r="M120" i="5" s="1"/>
  <c r="K120" i="5"/>
  <c r="O119" i="5"/>
  <c r="P119" i="5" s="1"/>
  <c r="N119" i="5"/>
  <c r="L119" i="5"/>
  <c r="M119" i="5" s="1"/>
  <c r="K119" i="5"/>
  <c r="O118" i="5"/>
  <c r="P118" i="5" s="1"/>
  <c r="N118" i="5"/>
  <c r="L118" i="5"/>
  <c r="M118" i="5" s="1"/>
  <c r="K118" i="5"/>
  <c r="O117" i="5"/>
  <c r="P117" i="5" s="1"/>
  <c r="N117" i="5"/>
  <c r="L117" i="5"/>
  <c r="M117" i="5" s="1"/>
  <c r="K117" i="5"/>
  <c r="O116" i="5"/>
  <c r="P116" i="5" s="1"/>
  <c r="N116" i="5"/>
  <c r="L116" i="5"/>
  <c r="M116" i="5" s="1"/>
  <c r="K116" i="5"/>
  <c r="O115" i="5"/>
  <c r="P115" i="5" s="1"/>
  <c r="N115" i="5"/>
  <c r="L115" i="5"/>
  <c r="M115" i="5" s="1"/>
  <c r="K115" i="5"/>
  <c r="O114" i="5"/>
  <c r="P114" i="5" s="1"/>
  <c r="N114" i="5"/>
  <c r="L114" i="5"/>
  <c r="M114" i="5" s="1"/>
  <c r="K114" i="5"/>
  <c r="O113" i="5"/>
  <c r="P113" i="5" s="1"/>
  <c r="N113" i="5"/>
  <c r="L113" i="5"/>
  <c r="M113" i="5" s="1"/>
  <c r="K113" i="5"/>
  <c r="O112" i="5"/>
  <c r="P112" i="5" s="1"/>
  <c r="N112" i="5"/>
  <c r="L112" i="5"/>
  <c r="M112" i="5" s="1"/>
  <c r="K112" i="5"/>
  <c r="O111" i="5"/>
  <c r="P111" i="5" s="1"/>
  <c r="N111" i="5"/>
  <c r="L111" i="5"/>
  <c r="M111" i="5" s="1"/>
  <c r="K111" i="5"/>
  <c r="O110" i="5"/>
  <c r="P110" i="5" s="1"/>
  <c r="N110" i="5"/>
  <c r="L110" i="5"/>
  <c r="M110" i="5" s="1"/>
  <c r="K110" i="5"/>
  <c r="O109" i="5"/>
  <c r="P109" i="5" s="1"/>
  <c r="N109" i="5"/>
  <c r="L109" i="5"/>
  <c r="M109" i="5" s="1"/>
  <c r="K109" i="5"/>
  <c r="O108" i="5"/>
  <c r="P108" i="5" s="1"/>
  <c r="N108" i="5"/>
  <c r="L108" i="5"/>
  <c r="M108" i="5" s="1"/>
  <c r="K108" i="5"/>
  <c r="O107" i="5"/>
  <c r="P107" i="5" s="1"/>
  <c r="N107" i="5"/>
  <c r="L107" i="5"/>
  <c r="M107" i="5" s="1"/>
  <c r="K107" i="5"/>
  <c r="O106" i="5"/>
  <c r="P106" i="5" s="1"/>
  <c r="N106" i="5"/>
  <c r="L106" i="5"/>
  <c r="M106" i="5" s="1"/>
  <c r="K106" i="5"/>
  <c r="O105" i="5"/>
  <c r="P105" i="5" s="1"/>
  <c r="N105" i="5"/>
  <c r="L105" i="5"/>
  <c r="M105" i="5" s="1"/>
  <c r="K105" i="5"/>
  <c r="O104" i="5"/>
  <c r="P104" i="5" s="1"/>
  <c r="N104" i="5"/>
  <c r="L104" i="5"/>
  <c r="M104" i="5" s="1"/>
  <c r="K104" i="5"/>
  <c r="O103" i="5"/>
  <c r="P103" i="5" s="1"/>
  <c r="N103" i="5"/>
  <c r="L103" i="5"/>
  <c r="M103" i="5" s="1"/>
  <c r="K103" i="5"/>
  <c r="O102" i="5"/>
  <c r="P102" i="5" s="1"/>
  <c r="N102" i="5"/>
  <c r="L102" i="5"/>
  <c r="M102" i="5" s="1"/>
  <c r="K102" i="5"/>
  <c r="O101" i="5"/>
  <c r="P101" i="5" s="1"/>
  <c r="N101" i="5"/>
  <c r="L101" i="5"/>
  <c r="M101" i="5" s="1"/>
  <c r="K101" i="5"/>
  <c r="O100" i="5"/>
  <c r="P100" i="5" s="1"/>
  <c r="N100" i="5"/>
  <c r="L100" i="5"/>
  <c r="M100" i="5" s="1"/>
  <c r="K100" i="5"/>
  <c r="O99" i="5"/>
  <c r="P99" i="5" s="1"/>
  <c r="N99" i="5"/>
  <c r="L99" i="5"/>
  <c r="M99" i="5" s="1"/>
  <c r="K99" i="5"/>
  <c r="O98" i="5"/>
  <c r="P98" i="5" s="1"/>
  <c r="N98" i="5"/>
  <c r="L98" i="5"/>
  <c r="M98" i="5" s="1"/>
  <c r="K98" i="5"/>
  <c r="O97" i="5"/>
  <c r="P97" i="5" s="1"/>
  <c r="N97" i="5"/>
  <c r="L97" i="5"/>
  <c r="M97" i="5" s="1"/>
  <c r="K97" i="5"/>
  <c r="O96" i="5"/>
  <c r="P96" i="5" s="1"/>
  <c r="N96" i="5"/>
  <c r="L96" i="5"/>
  <c r="M96" i="5" s="1"/>
  <c r="K96" i="5"/>
  <c r="O95" i="5"/>
  <c r="P95" i="5" s="1"/>
  <c r="N95" i="5"/>
  <c r="L95" i="5"/>
  <c r="M95" i="5" s="1"/>
  <c r="K95" i="5"/>
  <c r="O94" i="5"/>
  <c r="P94" i="5" s="1"/>
  <c r="N94" i="5"/>
  <c r="L94" i="5"/>
  <c r="M94" i="5" s="1"/>
  <c r="K94" i="5"/>
  <c r="O93" i="5"/>
  <c r="P93" i="5" s="1"/>
  <c r="N93" i="5"/>
  <c r="L93" i="5"/>
  <c r="M93" i="5" s="1"/>
  <c r="K93" i="5"/>
  <c r="O92" i="5"/>
  <c r="P92" i="5" s="1"/>
  <c r="N92" i="5"/>
  <c r="L92" i="5"/>
  <c r="M92" i="5" s="1"/>
  <c r="K92" i="5"/>
  <c r="O91" i="5"/>
  <c r="P91" i="5" s="1"/>
  <c r="N91" i="5"/>
  <c r="L91" i="5"/>
  <c r="M91" i="5" s="1"/>
  <c r="K91" i="5"/>
  <c r="O90" i="5"/>
  <c r="P90" i="5" s="1"/>
  <c r="N90" i="5"/>
  <c r="L90" i="5"/>
  <c r="M90" i="5" s="1"/>
  <c r="K90" i="5"/>
  <c r="O89" i="5"/>
  <c r="P89" i="5" s="1"/>
  <c r="N89" i="5"/>
  <c r="L89" i="5"/>
  <c r="M89" i="5" s="1"/>
  <c r="K89" i="5"/>
  <c r="O88" i="5"/>
  <c r="P88" i="5" s="1"/>
  <c r="N88" i="5"/>
  <c r="L88" i="5"/>
  <c r="M88" i="5" s="1"/>
  <c r="K88" i="5"/>
  <c r="O87" i="5"/>
  <c r="P87" i="5" s="1"/>
  <c r="N87" i="5"/>
  <c r="L87" i="5"/>
  <c r="M87" i="5" s="1"/>
  <c r="K87" i="5"/>
  <c r="O86" i="5"/>
  <c r="P86" i="5" s="1"/>
  <c r="N86" i="5"/>
  <c r="L86" i="5"/>
  <c r="M86" i="5" s="1"/>
  <c r="K86" i="5"/>
  <c r="O85" i="5"/>
  <c r="P85" i="5" s="1"/>
  <c r="N85" i="5"/>
  <c r="L85" i="5"/>
  <c r="M85" i="5" s="1"/>
  <c r="K85" i="5"/>
  <c r="O84" i="5"/>
  <c r="P84" i="5" s="1"/>
  <c r="N84" i="5"/>
  <c r="L84" i="5"/>
  <c r="M84" i="5" s="1"/>
  <c r="K84" i="5"/>
  <c r="O83" i="5"/>
  <c r="P83" i="5" s="1"/>
  <c r="N83" i="5"/>
  <c r="L83" i="5"/>
  <c r="M83" i="5" s="1"/>
  <c r="K83" i="5"/>
  <c r="O82" i="5"/>
  <c r="P82" i="5" s="1"/>
  <c r="N82" i="5"/>
  <c r="L82" i="5"/>
  <c r="M82" i="5" s="1"/>
  <c r="K82" i="5"/>
  <c r="O81" i="5"/>
  <c r="P81" i="5" s="1"/>
  <c r="N81" i="5"/>
  <c r="L81" i="5"/>
  <c r="M81" i="5" s="1"/>
  <c r="K81" i="5"/>
  <c r="O80" i="5"/>
  <c r="P80" i="5" s="1"/>
  <c r="N80" i="5"/>
  <c r="L80" i="5"/>
  <c r="M80" i="5" s="1"/>
  <c r="K80" i="5"/>
  <c r="O79" i="5"/>
  <c r="P79" i="5" s="1"/>
  <c r="N79" i="5"/>
  <c r="L79" i="5"/>
  <c r="M79" i="5" s="1"/>
  <c r="K79" i="5"/>
  <c r="O78" i="5"/>
  <c r="P78" i="5" s="1"/>
  <c r="N78" i="5"/>
  <c r="L78" i="5"/>
  <c r="M78" i="5" s="1"/>
  <c r="K78" i="5"/>
  <c r="O77" i="5"/>
  <c r="P77" i="5" s="1"/>
  <c r="N77" i="5"/>
  <c r="L77" i="5"/>
  <c r="M77" i="5" s="1"/>
  <c r="K77" i="5"/>
  <c r="O76" i="5"/>
  <c r="P76" i="5" s="1"/>
  <c r="N76" i="5"/>
  <c r="L76" i="5"/>
  <c r="M76" i="5" s="1"/>
  <c r="K76" i="5"/>
  <c r="O75" i="5"/>
  <c r="P75" i="5" s="1"/>
  <c r="N75" i="5"/>
  <c r="L75" i="5"/>
  <c r="M75" i="5" s="1"/>
  <c r="K75" i="5"/>
  <c r="O74" i="5"/>
  <c r="P74" i="5" s="1"/>
  <c r="N74" i="5"/>
  <c r="L74" i="5"/>
  <c r="M74" i="5" s="1"/>
  <c r="K74" i="5"/>
  <c r="O73" i="5"/>
  <c r="P73" i="5" s="1"/>
  <c r="N73" i="5"/>
  <c r="L73" i="5"/>
  <c r="M73" i="5" s="1"/>
  <c r="K73" i="5"/>
  <c r="O72" i="5"/>
  <c r="P72" i="5" s="1"/>
  <c r="N72" i="5"/>
  <c r="L72" i="5"/>
  <c r="M72" i="5" s="1"/>
  <c r="K72" i="5"/>
  <c r="O71" i="5"/>
  <c r="P71" i="5" s="1"/>
  <c r="N71" i="5"/>
  <c r="L71" i="5"/>
  <c r="M71" i="5" s="1"/>
  <c r="K71" i="5"/>
  <c r="O70" i="5"/>
  <c r="P70" i="5" s="1"/>
  <c r="N70" i="5"/>
  <c r="L70" i="5"/>
  <c r="M70" i="5" s="1"/>
  <c r="K70" i="5"/>
  <c r="O69" i="5"/>
  <c r="P69" i="5" s="1"/>
  <c r="N69" i="5"/>
  <c r="L69" i="5"/>
  <c r="M69" i="5" s="1"/>
  <c r="K69" i="5"/>
  <c r="O68" i="5"/>
  <c r="P68" i="5" s="1"/>
  <c r="N68" i="5"/>
  <c r="L68" i="5"/>
  <c r="M68" i="5" s="1"/>
  <c r="K68" i="5"/>
  <c r="O67" i="5"/>
  <c r="P67" i="5" s="1"/>
  <c r="N67" i="5"/>
  <c r="L67" i="5"/>
  <c r="M67" i="5" s="1"/>
  <c r="K67" i="5"/>
  <c r="O66" i="5"/>
  <c r="P66" i="5" s="1"/>
  <c r="N66" i="5"/>
  <c r="L66" i="5"/>
  <c r="M66" i="5" s="1"/>
  <c r="K66" i="5"/>
  <c r="O65" i="5"/>
  <c r="P65" i="5" s="1"/>
  <c r="N65" i="5"/>
  <c r="L65" i="5"/>
  <c r="M65" i="5" s="1"/>
  <c r="K65" i="5"/>
  <c r="O64" i="5"/>
  <c r="P64" i="5" s="1"/>
  <c r="N64" i="5"/>
  <c r="L64" i="5"/>
  <c r="M64" i="5" s="1"/>
  <c r="K64" i="5"/>
  <c r="O63" i="5"/>
  <c r="P63" i="5" s="1"/>
  <c r="N63" i="5"/>
  <c r="L63" i="5"/>
  <c r="M63" i="5" s="1"/>
  <c r="K63" i="5"/>
  <c r="O62" i="5"/>
  <c r="P62" i="5" s="1"/>
  <c r="N62" i="5"/>
  <c r="L62" i="5"/>
  <c r="M62" i="5" s="1"/>
  <c r="K62" i="5"/>
  <c r="O61" i="5"/>
  <c r="P61" i="5" s="1"/>
  <c r="N61" i="5"/>
  <c r="L61" i="5"/>
  <c r="M61" i="5" s="1"/>
  <c r="K61" i="5"/>
  <c r="O60" i="5"/>
  <c r="P60" i="5" s="1"/>
  <c r="N60" i="5"/>
  <c r="L60" i="5"/>
  <c r="M60" i="5" s="1"/>
  <c r="K60" i="5"/>
  <c r="O59" i="5"/>
  <c r="P59" i="5" s="1"/>
  <c r="N59" i="5"/>
  <c r="L59" i="5"/>
  <c r="M59" i="5" s="1"/>
  <c r="K59" i="5"/>
  <c r="O58" i="5"/>
  <c r="P58" i="5" s="1"/>
  <c r="N58" i="5"/>
  <c r="L58" i="5"/>
  <c r="M58" i="5" s="1"/>
  <c r="K58" i="5"/>
  <c r="O57" i="5"/>
  <c r="P57" i="5" s="1"/>
  <c r="N57" i="5"/>
  <c r="L57" i="5"/>
  <c r="M57" i="5" s="1"/>
  <c r="K57" i="5"/>
  <c r="O56" i="5"/>
  <c r="P56" i="5" s="1"/>
  <c r="N56" i="5"/>
  <c r="L56" i="5"/>
  <c r="M56" i="5" s="1"/>
  <c r="K56" i="5"/>
  <c r="O55" i="5"/>
  <c r="P55" i="5" s="1"/>
  <c r="N55" i="5"/>
  <c r="L55" i="5"/>
  <c r="M55" i="5" s="1"/>
  <c r="K55" i="5"/>
  <c r="O54" i="5"/>
  <c r="P54" i="5" s="1"/>
  <c r="N54" i="5"/>
  <c r="L54" i="5"/>
  <c r="M54" i="5" s="1"/>
  <c r="K54" i="5"/>
  <c r="O53" i="5"/>
  <c r="P53" i="5" s="1"/>
  <c r="N53" i="5"/>
  <c r="L53" i="5"/>
  <c r="M53" i="5" s="1"/>
  <c r="K53" i="5"/>
  <c r="O52" i="5"/>
  <c r="P52" i="5" s="1"/>
  <c r="N52" i="5"/>
  <c r="L52" i="5"/>
  <c r="M52" i="5" s="1"/>
  <c r="K52" i="5"/>
  <c r="O51" i="5"/>
  <c r="P51" i="5" s="1"/>
  <c r="N51" i="5"/>
  <c r="L51" i="5"/>
  <c r="M51" i="5" s="1"/>
  <c r="K51" i="5"/>
  <c r="O50" i="5"/>
  <c r="P50" i="5" s="1"/>
  <c r="N50" i="5"/>
  <c r="L50" i="5"/>
  <c r="M50" i="5" s="1"/>
  <c r="K50" i="5"/>
  <c r="O49" i="5"/>
  <c r="P49" i="5" s="1"/>
  <c r="N49" i="5"/>
  <c r="L49" i="5"/>
  <c r="M49" i="5" s="1"/>
  <c r="K49" i="5"/>
  <c r="O48" i="5"/>
  <c r="P48" i="5" s="1"/>
  <c r="N48" i="5"/>
  <c r="L48" i="5"/>
  <c r="M48" i="5" s="1"/>
  <c r="K48" i="5"/>
  <c r="O47" i="5"/>
  <c r="P47" i="5" s="1"/>
  <c r="N47" i="5"/>
  <c r="L47" i="5"/>
  <c r="M47" i="5" s="1"/>
  <c r="K47" i="5"/>
  <c r="O46" i="5"/>
  <c r="P46" i="5" s="1"/>
  <c r="N46" i="5"/>
  <c r="L46" i="5"/>
  <c r="M46" i="5" s="1"/>
  <c r="K46" i="5"/>
  <c r="O45" i="5"/>
  <c r="P45" i="5" s="1"/>
  <c r="N45" i="5"/>
  <c r="L45" i="5"/>
  <c r="M45" i="5" s="1"/>
  <c r="K45" i="5"/>
  <c r="O44" i="5"/>
  <c r="P44" i="5" s="1"/>
  <c r="N44" i="5"/>
  <c r="L44" i="5"/>
  <c r="M44" i="5" s="1"/>
  <c r="K44" i="5"/>
  <c r="O43" i="5"/>
  <c r="P43" i="5" s="1"/>
  <c r="N43" i="5"/>
  <c r="L43" i="5"/>
  <c r="M43" i="5" s="1"/>
  <c r="K43" i="5"/>
  <c r="O42" i="5"/>
  <c r="P42" i="5" s="1"/>
  <c r="N42" i="5"/>
  <c r="L42" i="5"/>
  <c r="M42" i="5" s="1"/>
  <c r="K42" i="5"/>
  <c r="O41" i="5"/>
  <c r="P41" i="5" s="1"/>
  <c r="N41" i="5"/>
  <c r="L41" i="5"/>
  <c r="M41" i="5" s="1"/>
  <c r="K41" i="5"/>
  <c r="O40" i="5"/>
  <c r="P40" i="5" s="1"/>
  <c r="N40" i="5"/>
  <c r="L40" i="5"/>
  <c r="M40" i="5" s="1"/>
  <c r="K40" i="5"/>
  <c r="O39" i="5"/>
  <c r="P39" i="5" s="1"/>
  <c r="N39" i="5"/>
  <c r="L39" i="5"/>
  <c r="M39" i="5" s="1"/>
  <c r="K39" i="5"/>
  <c r="O38" i="5"/>
  <c r="P38" i="5" s="1"/>
  <c r="N38" i="5"/>
  <c r="L38" i="5"/>
  <c r="M38" i="5" s="1"/>
  <c r="K38" i="5"/>
  <c r="O37" i="5"/>
  <c r="P37" i="5" s="1"/>
  <c r="N37" i="5"/>
  <c r="L37" i="5"/>
  <c r="M37" i="5" s="1"/>
  <c r="K37" i="5"/>
  <c r="O36" i="5"/>
  <c r="P36" i="5" s="1"/>
  <c r="N36" i="5"/>
  <c r="L36" i="5"/>
  <c r="M36" i="5" s="1"/>
  <c r="K36" i="5"/>
  <c r="O35" i="5"/>
  <c r="P35" i="5" s="1"/>
  <c r="N35" i="5"/>
  <c r="L35" i="5"/>
  <c r="M35" i="5" s="1"/>
  <c r="K35" i="5"/>
  <c r="O34" i="5"/>
  <c r="P34" i="5" s="1"/>
  <c r="N34" i="5"/>
  <c r="L34" i="5"/>
  <c r="M34" i="5" s="1"/>
  <c r="K34" i="5"/>
  <c r="O33" i="5"/>
  <c r="P33" i="5" s="1"/>
  <c r="N33" i="5"/>
  <c r="L33" i="5"/>
  <c r="M33" i="5" s="1"/>
  <c r="K33" i="5"/>
  <c r="O32" i="5"/>
  <c r="P32" i="5" s="1"/>
  <c r="N32" i="5"/>
  <c r="L32" i="5"/>
  <c r="M32" i="5" s="1"/>
  <c r="K32" i="5"/>
  <c r="O31" i="5"/>
  <c r="P31" i="5" s="1"/>
  <c r="N31" i="5"/>
  <c r="L31" i="5"/>
  <c r="M31" i="5" s="1"/>
  <c r="K31" i="5"/>
  <c r="O30" i="5"/>
  <c r="P30" i="5" s="1"/>
  <c r="N30" i="5"/>
  <c r="L30" i="5"/>
  <c r="M30" i="5" s="1"/>
  <c r="K30" i="5"/>
  <c r="O29" i="5"/>
  <c r="P29" i="5" s="1"/>
  <c r="N29" i="5"/>
  <c r="L29" i="5"/>
  <c r="M29" i="5" s="1"/>
  <c r="K29" i="5"/>
  <c r="O28" i="5"/>
  <c r="P28" i="5" s="1"/>
  <c r="N28" i="5"/>
  <c r="L28" i="5"/>
  <c r="M28" i="5" s="1"/>
  <c r="K28" i="5"/>
  <c r="O27" i="5"/>
  <c r="P27" i="5" s="1"/>
  <c r="N27" i="5"/>
  <c r="L27" i="5"/>
  <c r="M27" i="5" s="1"/>
  <c r="K27" i="5"/>
  <c r="O26" i="5"/>
  <c r="P26" i="5" s="1"/>
  <c r="N26" i="5"/>
  <c r="L26" i="5"/>
  <c r="M26" i="5" s="1"/>
  <c r="K26" i="5"/>
  <c r="O25" i="5"/>
  <c r="P25" i="5" s="1"/>
  <c r="N25" i="5"/>
  <c r="L25" i="5"/>
  <c r="M25" i="5" s="1"/>
  <c r="K25" i="5"/>
  <c r="O24" i="5"/>
  <c r="P24" i="5" s="1"/>
  <c r="N24" i="5"/>
  <c r="L24" i="5"/>
  <c r="M24" i="5" s="1"/>
  <c r="K24" i="5"/>
  <c r="O23" i="5"/>
  <c r="P23" i="5" s="1"/>
  <c r="N23" i="5"/>
  <c r="L23" i="5"/>
  <c r="M23" i="5" s="1"/>
  <c r="K23" i="5"/>
  <c r="O22" i="5"/>
  <c r="P22" i="5" s="1"/>
  <c r="N22" i="5"/>
  <c r="L22" i="5"/>
  <c r="M22" i="5" s="1"/>
  <c r="K22" i="5"/>
  <c r="O21" i="5"/>
  <c r="P21" i="5" s="1"/>
  <c r="N21" i="5"/>
  <c r="L21" i="5"/>
  <c r="M21" i="5" s="1"/>
  <c r="K21" i="5"/>
  <c r="O20" i="5"/>
  <c r="P20" i="5" s="1"/>
  <c r="N20" i="5"/>
  <c r="L20" i="5"/>
  <c r="M20" i="5" s="1"/>
  <c r="K20" i="5"/>
  <c r="O19" i="5"/>
  <c r="P19" i="5" s="1"/>
  <c r="N19" i="5"/>
  <c r="L19" i="5"/>
  <c r="M19" i="5" s="1"/>
  <c r="K19" i="5"/>
  <c r="O18" i="5"/>
  <c r="P18" i="5" s="1"/>
  <c r="N18" i="5"/>
  <c r="L18" i="5"/>
  <c r="M18" i="5" s="1"/>
  <c r="K18" i="5"/>
  <c r="O17" i="5"/>
  <c r="P17" i="5" s="1"/>
  <c r="N17" i="5"/>
  <c r="L17" i="5"/>
  <c r="M17" i="5" s="1"/>
  <c r="K17" i="5"/>
  <c r="O16" i="5"/>
  <c r="P16" i="5" s="1"/>
  <c r="N16" i="5"/>
  <c r="L16" i="5"/>
  <c r="M16" i="5" s="1"/>
  <c r="K16" i="5"/>
  <c r="O15" i="5"/>
  <c r="P15" i="5" s="1"/>
  <c r="N15" i="5"/>
  <c r="L15" i="5"/>
  <c r="M15" i="5" s="1"/>
  <c r="K15" i="5"/>
  <c r="O14" i="5"/>
  <c r="P14" i="5" s="1"/>
  <c r="N14" i="5"/>
  <c r="L14" i="5"/>
  <c r="M14" i="5" s="1"/>
  <c r="K14" i="5"/>
  <c r="O13" i="5"/>
  <c r="P13" i="5" s="1"/>
  <c r="N13" i="5"/>
  <c r="L13" i="5"/>
  <c r="M13" i="5" s="1"/>
  <c r="K13" i="5"/>
  <c r="O12" i="5"/>
  <c r="P12" i="5" s="1"/>
  <c r="N12" i="5"/>
  <c r="L12" i="5"/>
  <c r="M12" i="5" s="1"/>
  <c r="K12" i="5"/>
  <c r="O11" i="5"/>
  <c r="P11" i="5" s="1"/>
  <c r="N11" i="5"/>
  <c r="L11" i="5"/>
  <c r="M11" i="5" s="1"/>
  <c r="K11" i="5"/>
  <c r="O10" i="5"/>
  <c r="P10" i="5" s="1"/>
  <c r="N10" i="5"/>
  <c r="L10" i="5"/>
  <c r="M10" i="5" s="1"/>
  <c r="K10" i="5"/>
  <c r="O9" i="5"/>
  <c r="P9" i="5" s="1"/>
  <c r="N9" i="5"/>
  <c r="L9" i="5"/>
  <c r="M9" i="5" s="1"/>
  <c r="K9" i="5"/>
  <c r="O8" i="5"/>
  <c r="P8" i="5" s="1"/>
  <c r="N8" i="5"/>
  <c r="L8" i="5"/>
  <c r="M8" i="5" s="1"/>
  <c r="K8" i="5"/>
  <c r="O7" i="5"/>
  <c r="P7" i="5" s="1"/>
  <c r="N7" i="5"/>
  <c r="L7" i="5"/>
  <c r="M7" i="5" s="1"/>
  <c r="K7" i="5"/>
  <c r="O6" i="5"/>
  <c r="P6" i="5" s="1"/>
  <c r="L6" i="5"/>
  <c r="M6" i="5" s="1"/>
  <c r="N6" i="5" s="1"/>
  <c r="K6" i="5"/>
  <c r="O5" i="5"/>
  <c r="P5" i="5" s="1"/>
  <c r="L5" i="5"/>
  <c r="M5" i="5" s="1"/>
  <c r="N5" i="5" s="1"/>
  <c r="K5" i="5"/>
  <c r="I304" i="4"/>
  <c r="H304" i="4"/>
  <c r="G304" i="4"/>
  <c r="F304" i="4"/>
  <c r="E304" i="4"/>
  <c r="I303" i="4"/>
  <c r="H303" i="4"/>
  <c r="G303" i="4"/>
  <c r="F303" i="4"/>
  <c r="E303" i="4"/>
  <c r="I302" i="4"/>
  <c r="H302" i="4"/>
  <c r="G302" i="4"/>
  <c r="F302" i="4"/>
  <c r="E302" i="4"/>
  <c r="I301" i="4"/>
  <c r="H301" i="4"/>
  <c r="G301" i="4"/>
  <c r="F301" i="4"/>
  <c r="E301" i="4"/>
  <c r="I300" i="4"/>
  <c r="H300" i="4"/>
  <c r="G300" i="4"/>
  <c r="F300" i="4"/>
  <c r="E300" i="4"/>
  <c r="I299" i="4"/>
  <c r="H299" i="4"/>
  <c r="G299" i="4"/>
  <c r="F299" i="4"/>
  <c r="E299" i="4"/>
  <c r="I298" i="4"/>
  <c r="H298" i="4"/>
  <c r="G298" i="4"/>
  <c r="F298" i="4"/>
  <c r="E298" i="4"/>
  <c r="I297" i="4"/>
  <c r="H297" i="4"/>
  <c r="G297" i="4"/>
  <c r="F297" i="4"/>
  <c r="E297" i="4"/>
  <c r="I296" i="4"/>
  <c r="H296" i="4"/>
  <c r="G296" i="4"/>
  <c r="F296" i="4"/>
  <c r="E296" i="4"/>
  <c r="I295" i="4"/>
  <c r="H295" i="4"/>
  <c r="G295" i="4"/>
  <c r="F295" i="4"/>
  <c r="E295" i="4"/>
  <c r="I294" i="4"/>
  <c r="H294" i="4"/>
  <c r="G294" i="4"/>
  <c r="F294" i="4"/>
  <c r="E294" i="4"/>
  <c r="I293" i="4"/>
  <c r="H293" i="4"/>
  <c r="G293" i="4"/>
  <c r="F293" i="4"/>
  <c r="E293" i="4"/>
  <c r="I292" i="4"/>
  <c r="H292" i="4"/>
  <c r="G292" i="4"/>
  <c r="F292" i="4"/>
  <c r="E292" i="4"/>
  <c r="I291" i="4"/>
  <c r="H291" i="4"/>
  <c r="G291" i="4"/>
  <c r="F291" i="4"/>
  <c r="E291" i="4"/>
  <c r="I290" i="4"/>
  <c r="H290" i="4"/>
  <c r="G290" i="4"/>
  <c r="F290" i="4"/>
  <c r="E290" i="4"/>
  <c r="I289" i="4"/>
  <c r="H289" i="4"/>
  <c r="G289" i="4"/>
  <c r="F289" i="4"/>
  <c r="E289" i="4"/>
  <c r="I288" i="4"/>
  <c r="H288" i="4"/>
  <c r="G288" i="4"/>
  <c r="F288" i="4"/>
  <c r="E288" i="4"/>
  <c r="I287" i="4"/>
  <c r="H287" i="4"/>
  <c r="G287" i="4"/>
  <c r="F287" i="4"/>
  <c r="E287" i="4"/>
  <c r="I286" i="4"/>
  <c r="H286" i="4"/>
  <c r="G286" i="4"/>
  <c r="F286" i="4"/>
  <c r="E286" i="4"/>
  <c r="I285" i="4"/>
  <c r="H285" i="4"/>
  <c r="G285" i="4"/>
  <c r="F285" i="4"/>
  <c r="E285" i="4"/>
  <c r="I284" i="4"/>
  <c r="H284" i="4"/>
  <c r="G284" i="4"/>
  <c r="F284" i="4"/>
  <c r="E284" i="4"/>
  <c r="I283" i="4"/>
  <c r="H283" i="4"/>
  <c r="G283" i="4"/>
  <c r="F283" i="4"/>
  <c r="E283" i="4"/>
  <c r="I282" i="4"/>
  <c r="H282" i="4"/>
  <c r="G282" i="4"/>
  <c r="F282" i="4"/>
  <c r="E282" i="4"/>
  <c r="I281" i="4"/>
  <c r="H281" i="4"/>
  <c r="G281" i="4"/>
  <c r="F281" i="4"/>
  <c r="E281" i="4"/>
  <c r="I280" i="4"/>
  <c r="H280" i="4"/>
  <c r="G280" i="4"/>
  <c r="F280" i="4"/>
  <c r="E280" i="4"/>
  <c r="I279" i="4"/>
  <c r="H279" i="4"/>
  <c r="G279" i="4"/>
  <c r="F279" i="4"/>
  <c r="E279" i="4"/>
  <c r="I278" i="4"/>
  <c r="H278" i="4"/>
  <c r="G278" i="4"/>
  <c r="F278" i="4"/>
  <c r="E278" i="4"/>
  <c r="I277" i="4"/>
  <c r="H277" i="4"/>
  <c r="G277" i="4"/>
  <c r="F277" i="4"/>
  <c r="E277" i="4"/>
  <c r="I276" i="4"/>
  <c r="H276" i="4"/>
  <c r="G276" i="4"/>
  <c r="F276" i="4"/>
  <c r="E276" i="4"/>
  <c r="I275" i="4"/>
  <c r="H275" i="4"/>
  <c r="G275" i="4"/>
  <c r="F275" i="4"/>
  <c r="E275" i="4"/>
  <c r="I274" i="4"/>
  <c r="H274" i="4"/>
  <c r="G274" i="4"/>
  <c r="F274" i="4"/>
  <c r="E274" i="4"/>
  <c r="I273" i="4"/>
  <c r="H273" i="4"/>
  <c r="G273" i="4"/>
  <c r="F273" i="4"/>
  <c r="E273" i="4"/>
  <c r="I272" i="4"/>
  <c r="H272" i="4"/>
  <c r="G272" i="4"/>
  <c r="F272" i="4"/>
  <c r="E272" i="4"/>
  <c r="I271" i="4"/>
  <c r="H271" i="4"/>
  <c r="G271" i="4"/>
  <c r="F271" i="4"/>
  <c r="E271" i="4"/>
  <c r="I270" i="4"/>
  <c r="H270" i="4"/>
  <c r="G270" i="4"/>
  <c r="F270" i="4"/>
  <c r="E270" i="4"/>
  <c r="I269" i="4"/>
  <c r="H269" i="4"/>
  <c r="G269" i="4"/>
  <c r="F269" i="4"/>
  <c r="E269" i="4"/>
  <c r="I268" i="4"/>
  <c r="H268" i="4"/>
  <c r="G268" i="4"/>
  <c r="F268" i="4"/>
  <c r="E268" i="4"/>
  <c r="I267" i="4"/>
  <c r="H267" i="4"/>
  <c r="G267" i="4"/>
  <c r="F267" i="4"/>
  <c r="E267" i="4"/>
  <c r="I266" i="4"/>
  <c r="H266" i="4"/>
  <c r="G266" i="4"/>
  <c r="F266" i="4"/>
  <c r="E266" i="4"/>
  <c r="I265" i="4"/>
  <c r="H265" i="4"/>
  <c r="G265" i="4"/>
  <c r="F265" i="4"/>
  <c r="E265" i="4"/>
  <c r="I264" i="4"/>
  <c r="H264" i="4"/>
  <c r="G264" i="4"/>
  <c r="F264" i="4"/>
  <c r="E264" i="4"/>
  <c r="I263" i="4"/>
  <c r="H263" i="4"/>
  <c r="G263" i="4"/>
  <c r="F263" i="4"/>
  <c r="E263" i="4"/>
  <c r="I262" i="4"/>
  <c r="H262" i="4"/>
  <c r="G262" i="4"/>
  <c r="F262" i="4"/>
  <c r="E262" i="4"/>
  <c r="I261" i="4"/>
  <c r="H261" i="4"/>
  <c r="G261" i="4"/>
  <c r="F261" i="4"/>
  <c r="E261" i="4"/>
  <c r="I260" i="4"/>
  <c r="H260" i="4"/>
  <c r="G260" i="4"/>
  <c r="F260" i="4"/>
  <c r="E260" i="4"/>
  <c r="I259" i="4"/>
  <c r="H259" i="4"/>
  <c r="G259" i="4"/>
  <c r="F259" i="4"/>
  <c r="E259" i="4"/>
  <c r="I258" i="4"/>
  <c r="H258" i="4"/>
  <c r="G258" i="4"/>
  <c r="F258" i="4"/>
  <c r="E258" i="4"/>
  <c r="I257" i="4"/>
  <c r="H257" i="4"/>
  <c r="G257" i="4"/>
  <c r="F257" i="4"/>
  <c r="E257" i="4"/>
  <c r="I256" i="4"/>
  <c r="H256" i="4"/>
  <c r="G256" i="4"/>
  <c r="F256" i="4"/>
  <c r="E256" i="4"/>
  <c r="I255" i="4"/>
  <c r="H255" i="4"/>
  <c r="G255" i="4"/>
  <c r="F255" i="4"/>
  <c r="E255" i="4"/>
  <c r="I254" i="4"/>
  <c r="H254" i="4"/>
  <c r="G254" i="4"/>
  <c r="F254" i="4"/>
  <c r="E254" i="4"/>
  <c r="I253" i="4"/>
  <c r="H253" i="4"/>
  <c r="G253" i="4"/>
  <c r="F253" i="4"/>
  <c r="E253" i="4"/>
  <c r="I252" i="4"/>
  <c r="H252" i="4"/>
  <c r="G252" i="4"/>
  <c r="F252" i="4"/>
  <c r="E252" i="4"/>
  <c r="I251" i="4"/>
  <c r="H251" i="4"/>
  <c r="G251" i="4"/>
  <c r="F251" i="4"/>
  <c r="E251" i="4"/>
  <c r="I250" i="4"/>
  <c r="H250" i="4"/>
  <c r="G250" i="4"/>
  <c r="F250" i="4"/>
  <c r="E250" i="4"/>
  <c r="I249" i="4"/>
  <c r="H249" i="4"/>
  <c r="G249" i="4"/>
  <c r="F249" i="4"/>
  <c r="E249" i="4"/>
  <c r="I248" i="4"/>
  <c r="H248" i="4"/>
  <c r="G248" i="4"/>
  <c r="F248" i="4"/>
  <c r="E248" i="4"/>
  <c r="I247" i="4"/>
  <c r="H247" i="4"/>
  <c r="G247" i="4"/>
  <c r="F247" i="4"/>
  <c r="E247" i="4"/>
  <c r="I246" i="4"/>
  <c r="H246" i="4"/>
  <c r="G246" i="4"/>
  <c r="F246" i="4"/>
  <c r="E246" i="4"/>
  <c r="I245" i="4"/>
  <c r="H245" i="4"/>
  <c r="G245" i="4"/>
  <c r="F245" i="4"/>
  <c r="E245" i="4"/>
  <c r="I244" i="4"/>
  <c r="H244" i="4"/>
  <c r="G244" i="4"/>
  <c r="F244" i="4"/>
  <c r="E244" i="4"/>
  <c r="I243" i="4"/>
  <c r="H243" i="4"/>
  <c r="G243" i="4"/>
  <c r="F243" i="4"/>
  <c r="E243" i="4"/>
  <c r="I242" i="4"/>
  <c r="H242" i="4"/>
  <c r="G242" i="4"/>
  <c r="F242" i="4"/>
  <c r="E242" i="4"/>
  <c r="I241" i="4"/>
  <c r="H241" i="4"/>
  <c r="G241" i="4"/>
  <c r="F241" i="4"/>
  <c r="E241" i="4"/>
  <c r="I240" i="4"/>
  <c r="H240" i="4"/>
  <c r="G240" i="4"/>
  <c r="F240" i="4"/>
  <c r="E240" i="4"/>
  <c r="I239" i="4"/>
  <c r="H239" i="4"/>
  <c r="G239" i="4"/>
  <c r="F239" i="4"/>
  <c r="E239" i="4"/>
  <c r="I238" i="4"/>
  <c r="H238" i="4"/>
  <c r="G238" i="4"/>
  <c r="F238" i="4"/>
  <c r="E238" i="4"/>
  <c r="I237" i="4"/>
  <c r="H237" i="4"/>
  <c r="G237" i="4"/>
  <c r="F237" i="4"/>
  <c r="E237" i="4"/>
  <c r="I236" i="4"/>
  <c r="H236" i="4"/>
  <c r="G236" i="4"/>
  <c r="F236" i="4"/>
  <c r="E236" i="4"/>
  <c r="I235" i="4"/>
  <c r="H235" i="4"/>
  <c r="G235" i="4"/>
  <c r="F235" i="4"/>
  <c r="E235" i="4"/>
  <c r="I234" i="4"/>
  <c r="H234" i="4"/>
  <c r="G234" i="4"/>
  <c r="F234" i="4"/>
  <c r="E234" i="4"/>
  <c r="I233" i="4"/>
  <c r="H233" i="4"/>
  <c r="G233" i="4"/>
  <c r="F233" i="4"/>
  <c r="E233" i="4"/>
  <c r="I232" i="4"/>
  <c r="H232" i="4"/>
  <c r="G232" i="4"/>
  <c r="F232" i="4"/>
  <c r="E232" i="4"/>
  <c r="I231" i="4"/>
  <c r="H231" i="4"/>
  <c r="G231" i="4"/>
  <c r="F231" i="4"/>
  <c r="E231" i="4"/>
  <c r="I230" i="4"/>
  <c r="H230" i="4"/>
  <c r="G230" i="4"/>
  <c r="F230" i="4"/>
  <c r="E230" i="4"/>
  <c r="I229" i="4"/>
  <c r="H229" i="4"/>
  <c r="G229" i="4"/>
  <c r="F229" i="4"/>
  <c r="E229" i="4"/>
  <c r="I228" i="4"/>
  <c r="H228" i="4"/>
  <c r="G228" i="4"/>
  <c r="F228" i="4"/>
  <c r="E228" i="4"/>
  <c r="I227" i="4"/>
  <c r="H227" i="4"/>
  <c r="G227" i="4"/>
  <c r="F227" i="4"/>
  <c r="E227" i="4"/>
  <c r="I226" i="4"/>
  <c r="H226" i="4"/>
  <c r="G226" i="4"/>
  <c r="F226" i="4"/>
  <c r="E226" i="4"/>
  <c r="I225" i="4"/>
  <c r="H225" i="4"/>
  <c r="G225" i="4"/>
  <c r="F225" i="4"/>
  <c r="E225" i="4"/>
  <c r="I224" i="4"/>
  <c r="H224" i="4"/>
  <c r="G224" i="4"/>
  <c r="F224" i="4"/>
  <c r="E224" i="4"/>
  <c r="I223" i="4"/>
  <c r="H223" i="4"/>
  <c r="G223" i="4"/>
  <c r="F223" i="4"/>
  <c r="E223" i="4"/>
  <c r="I222" i="4"/>
  <c r="H222" i="4"/>
  <c r="G222" i="4"/>
  <c r="F222" i="4"/>
  <c r="E222" i="4"/>
  <c r="I221" i="4"/>
  <c r="H221" i="4"/>
  <c r="G221" i="4"/>
  <c r="F221" i="4"/>
  <c r="E221" i="4"/>
  <c r="I220" i="4"/>
  <c r="H220" i="4"/>
  <c r="G220" i="4"/>
  <c r="F220" i="4"/>
  <c r="E220" i="4"/>
  <c r="I219" i="4"/>
  <c r="H219" i="4"/>
  <c r="G219" i="4"/>
  <c r="F219" i="4"/>
  <c r="E219" i="4"/>
  <c r="I218" i="4"/>
  <c r="H218" i="4"/>
  <c r="G218" i="4"/>
  <c r="F218" i="4"/>
  <c r="E218" i="4"/>
  <c r="I217" i="4"/>
  <c r="H217" i="4"/>
  <c r="G217" i="4"/>
  <c r="F217" i="4"/>
  <c r="E217" i="4"/>
  <c r="I216" i="4"/>
  <c r="H216" i="4"/>
  <c r="G216" i="4"/>
  <c r="F216" i="4"/>
  <c r="E216" i="4"/>
  <c r="I215" i="4"/>
  <c r="H215" i="4"/>
  <c r="G215" i="4"/>
  <c r="F215" i="4"/>
  <c r="E215" i="4"/>
  <c r="I214" i="4"/>
  <c r="H214" i="4"/>
  <c r="G214" i="4"/>
  <c r="F214" i="4"/>
  <c r="E214" i="4"/>
  <c r="I213" i="4"/>
  <c r="H213" i="4"/>
  <c r="G213" i="4"/>
  <c r="F213" i="4"/>
  <c r="E213" i="4"/>
  <c r="I212" i="4"/>
  <c r="H212" i="4"/>
  <c r="G212" i="4"/>
  <c r="F212" i="4"/>
  <c r="E212" i="4"/>
  <c r="I211" i="4"/>
  <c r="H211" i="4"/>
  <c r="G211" i="4"/>
  <c r="F211" i="4"/>
  <c r="E211" i="4"/>
  <c r="I210" i="4"/>
  <c r="H210" i="4"/>
  <c r="G210" i="4"/>
  <c r="F210" i="4"/>
  <c r="E210" i="4"/>
  <c r="I209" i="4"/>
  <c r="H209" i="4"/>
  <c r="G209" i="4"/>
  <c r="F209" i="4"/>
  <c r="E209" i="4"/>
  <c r="I208" i="4"/>
  <c r="H208" i="4"/>
  <c r="G208" i="4"/>
  <c r="F208" i="4"/>
  <c r="E208" i="4"/>
  <c r="I207" i="4"/>
  <c r="H207" i="4"/>
  <c r="G207" i="4"/>
  <c r="F207" i="4"/>
  <c r="E207" i="4"/>
  <c r="I206" i="4"/>
  <c r="H206" i="4"/>
  <c r="G206" i="4"/>
  <c r="F206" i="4"/>
  <c r="E206" i="4"/>
  <c r="I205" i="4"/>
  <c r="H205" i="4"/>
  <c r="G205" i="4"/>
  <c r="F205" i="4"/>
  <c r="E205" i="4"/>
  <c r="I204" i="4"/>
  <c r="H204" i="4"/>
  <c r="G204" i="4"/>
  <c r="F204" i="4"/>
  <c r="E204" i="4"/>
  <c r="I203" i="4"/>
  <c r="H203" i="4"/>
  <c r="G203" i="4"/>
  <c r="F203" i="4"/>
  <c r="E203" i="4"/>
  <c r="I202" i="4"/>
  <c r="H202" i="4"/>
  <c r="G202" i="4"/>
  <c r="F202" i="4"/>
  <c r="E202" i="4"/>
  <c r="I201" i="4"/>
  <c r="H201" i="4"/>
  <c r="G201" i="4"/>
  <c r="F201" i="4"/>
  <c r="E201" i="4"/>
  <c r="I200" i="4"/>
  <c r="H200" i="4"/>
  <c r="G200" i="4"/>
  <c r="F200" i="4"/>
  <c r="E200" i="4"/>
  <c r="I199" i="4"/>
  <c r="H199" i="4"/>
  <c r="G199" i="4"/>
  <c r="F199" i="4"/>
  <c r="E199" i="4"/>
  <c r="I198" i="4"/>
  <c r="H198" i="4"/>
  <c r="G198" i="4"/>
  <c r="F198" i="4"/>
  <c r="E198" i="4"/>
  <c r="I197" i="4"/>
  <c r="H197" i="4"/>
  <c r="G197" i="4"/>
  <c r="F197" i="4"/>
  <c r="E197" i="4"/>
  <c r="I196" i="4"/>
  <c r="H196" i="4"/>
  <c r="G196" i="4"/>
  <c r="F196" i="4"/>
  <c r="E196" i="4"/>
  <c r="I195" i="4"/>
  <c r="H195" i="4"/>
  <c r="G195" i="4"/>
  <c r="F195" i="4"/>
  <c r="E195" i="4"/>
  <c r="I194" i="4"/>
  <c r="H194" i="4"/>
  <c r="G194" i="4"/>
  <c r="F194" i="4"/>
  <c r="E194" i="4"/>
  <c r="I193" i="4"/>
  <c r="H193" i="4"/>
  <c r="G193" i="4"/>
  <c r="F193" i="4"/>
  <c r="E193" i="4"/>
  <c r="I192" i="4"/>
  <c r="H192" i="4"/>
  <c r="G192" i="4"/>
  <c r="F192" i="4"/>
  <c r="E192" i="4"/>
  <c r="I191" i="4"/>
  <c r="H191" i="4"/>
  <c r="G191" i="4"/>
  <c r="F191" i="4"/>
  <c r="E191" i="4"/>
  <c r="I190" i="4"/>
  <c r="H190" i="4"/>
  <c r="G190" i="4"/>
  <c r="F190" i="4"/>
  <c r="E190" i="4"/>
  <c r="I189" i="4"/>
  <c r="H189" i="4"/>
  <c r="G189" i="4"/>
  <c r="F189" i="4"/>
  <c r="E189" i="4"/>
  <c r="I188" i="4"/>
  <c r="H188" i="4"/>
  <c r="G188" i="4"/>
  <c r="F188" i="4"/>
  <c r="E188" i="4"/>
  <c r="I187" i="4"/>
  <c r="H187" i="4"/>
  <c r="G187" i="4"/>
  <c r="F187" i="4"/>
  <c r="E187" i="4"/>
  <c r="I186" i="4"/>
  <c r="H186" i="4"/>
  <c r="G186" i="4"/>
  <c r="F186" i="4"/>
  <c r="E186" i="4"/>
  <c r="I185" i="4"/>
  <c r="H185" i="4"/>
  <c r="G185" i="4"/>
  <c r="F185" i="4"/>
  <c r="E185" i="4"/>
  <c r="I184" i="4"/>
  <c r="H184" i="4"/>
  <c r="G184" i="4"/>
  <c r="F184" i="4"/>
  <c r="E184" i="4"/>
  <c r="I183" i="4"/>
  <c r="H183" i="4"/>
  <c r="G183" i="4"/>
  <c r="F183" i="4"/>
  <c r="E183" i="4"/>
  <c r="I182" i="4"/>
  <c r="H182" i="4"/>
  <c r="G182" i="4"/>
  <c r="F182" i="4"/>
  <c r="E182" i="4"/>
  <c r="I181" i="4"/>
  <c r="H181" i="4"/>
  <c r="G181" i="4"/>
  <c r="F181" i="4"/>
  <c r="E181" i="4"/>
  <c r="I180" i="4"/>
  <c r="H180" i="4"/>
  <c r="G180" i="4"/>
  <c r="F180" i="4"/>
  <c r="E180" i="4"/>
  <c r="I179" i="4"/>
  <c r="H179" i="4"/>
  <c r="G179" i="4"/>
  <c r="F179" i="4"/>
  <c r="E179" i="4"/>
  <c r="I178" i="4"/>
  <c r="H178" i="4"/>
  <c r="G178" i="4"/>
  <c r="F178" i="4"/>
  <c r="E178" i="4"/>
  <c r="I177" i="4"/>
  <c r="H177" i="4"/>
  <c r="G177" i="4"/>
  <c r="F177" i="4"/>
  <c r="E177" i="4"/>
  <c r="I176" i="4"/>
  <c r="H176" i="4"/>
  <c r="G176" i="4"/>
  <c r="F176" i="4"/>
  <c r="E176" i="4"/>
  <c r="I175" i="4"/>
  <c r="H175" i="4"/>
  <c r="G175" i="4"/>
  <c r="F175" i="4"/>
  <c r="E175" i="4"/>
  <c r="I174" i="4"/>
  <c r="H174" i="4"/>
  <c r="G174" i="4"/>
  <c r="F174" i="4"/>
  <c r="E174" i="4"/>
  <c r="I173" i="4"/>
  <c r="H173" i="4"/>
  <c r="G173" i="4"/>
  <c r="F173" i="4"/>
  <c r="E173" i="4"/>
  <c r="I172" i="4"/>
  <c r="H172" i="4"/>
  <c r="G172" i="4"/>
  <c r="F172" i="4"/>
  <c r="E172" i="4"/>
  <c r="I171" i="4"/>
  <c r="H171" i="4"/>
  <c r="G171" i="4"/>
  <c r="F171" i="4"/>
  <c r="E171" i="4"/>
  <c r="I170" i="4"/>
  <c r="H170" i="4"/>
  <c r="G170" i="4"/>
  <c r="F170" i="4"/>
  <c r="E170" i="4"/>
  <c r="I169" i="4"/>
  <c r="H169" i="4"/>
  <c r="G169" i="4"/>
  <c r="F169" i="4"/>
  <c r="E169" i="4"/>
  <c r="I168" i="4"/>
  <c r="H168" i="4"/>
  <c r="G168" i="4"/>
  <c r="F168" i="4"/>
  <c r="E168" i="4"/>
  <c r="I167" i="4"/>
  <c r="H167" i="4"/>
  <c r="G167" i="4"/>
  <c r="F167" i="4"/>
  <c r="E167" i="4"/>
  <c r="I166" i="4"/>
  <c r="H166" i="4"/>
  <c r="G166" i="4"/>
  <c r="F166" i="4"/>
  <c r="E166" i="4"/>
  <c r="I165" i="4"/>
  <c r="H165" i="4"/>
  <c r="G165" i="4"/>
  <c r="F165" i="4"/>
  <c r="E165" i="4"/>
  <c r="I164" i="4"/>
  <c r="H164" i="4"/>
  <c r="G164" i="4"/>
  <c r="F164" i="4"/>
  <c r="E164" i="4"/>
  <c r="I163" i="4"/>
  <c r="H163" i="4"/>
  <c r="G163" i="4"/>
  <c r="F163" i="4"/>
  <c r="E163" i="4"/>
  <c r="I162" i="4"/>
  <c r="H162" i="4"/>
  <c r="G162" i="4"/>
  <c r="F162" i="4"/>
  <c r="E162" i="4"/>
  <c r="I161" i="4"/>
  <c r="H161" i="4"/>
  <c r="G161" i="4"/>
  <c r="F161" i="4"/>
  <c r="E161" i="4"/>
  <c r="I160" i="4"/>
  <c r="H160" i="4"/>
  <c r="G160" i="4"/>
  <c r="F160" i="4"/>
  <c r="E160" i="4"/>
  <c r="I159" i="4"/>
  <c r="H159" i="4"/>
  <c r="G159" i="4"/>
  <c r="F159" i="4"/>
  <c r="E159" i="4"/>
  <c r="I158" i="4"/>
  <c r="H158" i="4"/>
  <c r="G158" i="4"/>
  <c r="F158" i="4"/>
  <c r="E158" i="4"/>
  <c r="I157" i="4"/>
  <c r="H157" i="4"/>
  <c r="G157" i="4"/>
  <c r="F157" i="4"/>
  <c r="E157" i="4"/>
  <c r="I156" i="4"/>
  <c r="H156" i="4"/>
  <c r="G156" i="4"/>
  <c r="F156" i="4"/>
  <c r="E156" i="4"/>
  <c r="I155" i="4"/>
  <c r="H155" i="4"/>
  <c r="G155" i="4"/>
  <c r="F155" i="4"/>
  <c r="E155" i="4"/>
  <c r="I154" i="4"/>
  <c r="H154" i="4"/>
  <c r="G154" i="4"/>
  <c r="F154" i="4"/>
  <c r="E154" i="4"/>
  <c r="I153" i="4"/>
  <c r="H153" i="4"/>
  <c r="G153" i="4"/>
  <c r="F153" i="4"/>
  <c r="E153" i="4"/>
  <c r="I152" i="4"/>
  <c r="H152" i="4"/>
  <c r="G152" i="4"/>
  <c r="F152" i="4"/>
  <c r="E152" i="4"/>
  <c r="I151" i="4"/>
  <c r="H151" i="4"/>
  <c r="G151" i="4"/>
  <c r="F151" i="4"/>
  <c r="E151" i="4"/>
  <c r="I150" i="4"/>
  <c r="H150" i="4"/>
  <c r="G150" i="4"/>
  <c r="F150" i="4"/>
  <c r="E150" i="4"/>
  <c r="I149" i="4"/>
  <c r="H149" i="4"/>
  <c r="G149" i="4"/>
  <c r="F149" i="4"/>
  <c r="E149" i="4"/>
  <c r="I148" i="4"/>
  <c r="H148" i="4"/>
  <c r="G148" i="4"/>
  <c r="F148" i="4"/>
  <c r="E148" i="4"/>
  <c r="I147" i="4"/>
  <c r="H147" i="4"/>
  <c r="G147" i="4"/>
  <c r="F147" i="4"/>
  <c r="E147" i="4"/>
  <c r="I146" i="4"/>
  <c r="H146" i="4"/>
  <c r="G146" i="4"/>
  <c r="F146" i="4"/>
  <c r="E146" i="4"/>
  <c r="I145" i="4"/>
  <c r="H145" i="4"/>
  <c r="G145" i="4"/>
  <c r="F145" i="4"/>
  <c r="E145" i="4"/>
  <c r="I144" i="4"/>
  <c r="H144" i="4"/>
  <c r="G144" i="4"/>
  <c r="F144" i="4"/>
  <c r="E144" i="4"/>
  <c r="I143" i="4"/>
  <c r="H143" i="4"/>
  <c r="G143" i="4"/>
  <c r="F143" i="4"/>
  <c r="E143" i="4"/>
  <c r="I142" i="4"/>
  <c r="H142" i="4"/>
  <c r="G142" i="4"/>
  <c r="F142" i="4"/>
  <c r="E142" i="4"/>
  <c r="I141" i="4"/>
  <c r="H141" i="4"/>
  <c r="G141" i="4"/>
  <c r="F141" i="4"/>
  <c r="E141" i="4"/>
  <c r="I140" i="4"/>
  <c r="H140" i="4"/>
  <c r="G140" i="4"/>
  <c r="F140" i="4"/>
  <c r="E140" i="4"/>
  <c r="I139" i="4"/>
  <c r="H139" i="4"/>
  <c r="G139" i="4"/>
  <c r="F139" i="4"/>
  <c r="E139" i="4"/>
  <c r="I138" i="4"/>
  <c r="H138" i="4"/>
  <c r="G138" i="4"/>
  <c r="F138" i="4"/>
  <c r="E138" i="4"/>
  <c r="I137" i="4"/>
  <c r="H137" i="4"/>
  <c r="G137" i="4"/>
  <c r="F137" i="4"/>
  <c r="E137" i="4"/>
  <c r="I136" i="4"/>
  <c r="H136" i="4"/>
  <c r="G136" i="4"/>
  <c r="F136" i="4"/>
  <c r="E136" i="4"/>
  <c r="I135" i="4"/>
  <c r="H135" i="4"/>
  <c r="G135" i="4"/>
  <c r="F135" i="4"/>
  <c r="E135" i="4"/>
  <c r="I134" i="4"/>
  <c r="H134" i="4"/>
  <c r="G134" i="4"/>
  <c r="F134" i="4"/>
  <c r="E134" i="4"/>
  <c r="I133" i="4"/>
  <c r="H133" i="4"/>
  <c r="G133" i="4"/>
  <c r="F133" i="4"/>
  <c r="E133" i="4"/>
  <c r="I132" i="4"/>
  <c r="H132" i="4"/>
  <c r="G132" i="4"/>
  <c r="F132" i="4"/>
  <c r="E132" i="4"/>
  <c r="I131" i="4"/>
  <c r="H131" i="4"/>
  <c r="G131" i="4"/>
  <c r="F131" i="4"/>
  <c r="E131" i="4"/>
  <c r="I130" i="4"/>
  <c r="H130" i="4"/>
  <c r="G130" i="4"/>
  <c r="F130" i="4"/>
  <c r="E130" i="4"/>
  <c r="I129" i="4"/>
  <c r="H129" i="4"/>
  <c r="G129" i="4"/>
  <c r="F129" i="4"/>
  <c r="E129" i="4"/>
  <c r="I128" i="4"/>
  <c r="H128" i="4"/>
  <c r="G128" i="4"/>
  <c r="F128" i="4"/>
  <c r="E128" i="4"/>
  <c r="I127" i="4"/>
  <c r="H127" i="4"/>
  <c r="G127" i="4"/>
  <c r="F127" i="4"/>
  <c r="E127" i="4"/>
  <c r="I126" i="4"/>
  <c r="H126" i="4"/>
  <c r="G126" i="4"/>
  <c r="F126" i="4"/>
  <c r="E126" i="4"/>
  <c r="I125" i="4"/>
  <c r="H125" i="4"/>
  <c r="G125" i="4"/>
  <c r="F125" i="4"/>
  <c r="E125" i="4"/>
  <c r="I124" i="4"/>
  <c r="H124" i="4"/>
  <c r="G124" i="4"/>
  <c r="F124" i="4"/>
  <c r="E124" i="4"/>
  <c r="I123" i="4"/>
  <c r="H123" i="4"/>
  <c r="G123" i="4"/>
  <c r="F123" i="4"/>
  <c r="E123" i="4"/>
  <c r="I122" i="4"/>
  <c r="H122" i="4"/>
  <c r="G122" i="4"/>
  <c r="F122" i="4"/>
  <c r="E122" i="4"/>
  <c r="I121" i="4"/>
  <c r="H121" i="4"/>
  <c r="G121" i="4"/>
  <c r="F121" i="4"/>
  <c r="E121" i="4"/>
  <c r="I120" i="4"/>
  <c r="H120" i="4"/>
  <c r="G120" i="4"/>
  <c r="F120" i="4"/>
  <c r="E120" i="4"/>
  <c r="I119" i="4"/>
  <c r="H119" i="4"/>
  <c r="G119" i="4"/>
  <c r="F119" i="4"/>
  <c r="E119" i="4"/>
  <c r="I118" i="4"/>
  <c r="H118" i="4"/>
  <c r="G118" i="4"/>
  <c r="F118" i="4"/>
  <c r="E118" i="4"/>
  <c r="I117" i="4"/>
  <c r="H117" i="4"/>
  <c r="G117" i="4"/>
  <c r="F117" i="4"/>
  <c r="E117" i="4"/>
  <c r="I116" i="4"/>
  <c r="H116" i="4"/>
  <c r="G116" i="4"/>
  <c r="F116" i="4"/>
  <c r="E116" i="4"/>
  <c r="I115" i="4"/>
  <c r="H115" i="4"/>
  <c r="G115" i="4"/>
  <c r="F115" i="4"/>
  <c r="E115" i="4"/>
  <c r="I114" i="4"/>
  <c r="H114" i="4"/>
  <c r="G114" i="4"/>
  <c r="F114" i="4"/>
  <c r="E114" i="4"/>
  <c r="I113" i="4"/>
  <c r="H113" i="4"/>
  <c r="G113" i="4"/>
  <c r="F113" i="4"/>
  <c r="E113" i="4"/>
  <c r="I112" i="4"/>
  <c r="H112" i="4"/>
  <c r="G112" i="4"/>
  <c r="F112" i="4"/>
  <c r="E112" i="4"/>
  <c r="I111" i="4"/>
  <c r="H111" i="4"/>
  <c r="G111" i="4"/>
  <c r="F111" i="4"/>
  <c r="E111" i="4"/>
  <c r="I110" i="4"/>
  <c r="H110" i="4"/>
  <c r="G110" i="4"/>
  <c r="F110" i="4"/>
  <c r="E110" i="4"/>
  <c r="I109" i="4"/>
  <c r="H109" i="4"/>
  <c r="G109" i="4"/>
  <c r="F109" i="4"/>
  <c r="E109" i="4"/>
  <c r="I108" i="4"/>
  <c r="H108" i="4"/>
  <c r="G108" i="4"/>
  <c r="F108" i="4"/>
  <c r="E108" i="4"/>
  <c r="I107" i="4"/>
  <c r="H107" i="4"/>
  <c r="G107" i="4"/>
  <c r="F107" i="4"/>
  <c r="E107" i="4"/>
  <c r="I106" i="4"/>
  <c r="H106" i="4"/>
  <c r="G106" i="4"/>
  <c r="F106" i="4"/>
  <c r="E106" i="4"/>
  <c r="I105" i="4"/>
  <c r="H105" i="4"/>
  <c r="G105" i="4"/>
  <c r="F105" i="4"/>
  <c r="E105" i="4"/>
  <c r="I104" i="4"/>
  <c r="H104" i="4"/>
  <c r="G104" i="4"/>
  <c r="F104" i="4"/>
  <c r="E104" i="4"/>
  <c r="I103" i="4"/>
  <c r="H103" i="4"/>
  <c r="G103" i="4"/>
  <c r="F103" i="4"/>
  <c r="E103" i="4"/>
  <c r="I102" i="4"/>
  <c r="H102" i="4"/>
  <c r="G102" i="4"/>
  <c r="F102" i="4"/>
  <c r="E102" i="4"/>
  <c r="I101" i="4"/>
  <c r="H101" i="4"/>
  <c r="G101" i="4"/>
  <c r="F101" i="4"/>
  <c r="E101" i="4"/>
  <c r="I100" i="4"/>
  <c r="H100" i="4"/>
  <c r="G100" i="4"/>
  <c r="F100" i="4"/>
  <c r="E100" i="4"/>
  <c r="I99" i="4"/>
  <c r="H99" i="4"/>
  <c r="G99" i="4"/>
  <c r="F99" i="4"/>
  <c r="E99" i="4"/>
  <c r="I98" i="4"/>
  <c r="H98" i="4"/>
  <c r="G98" i="4"/>
  <c r="F98" i="4"/>
  <c r="E98" i="4"/>
  <c r="I97" i="4"/>
  <c r="H97" i="4"/>
  <c r="G97" i="4"/>
  <c r="F97" i="4"/>
  <c r="E97" i="4"/>
  <c r="I96" i="4"/>
  <c r="H96" i="4"/>
  <c r="G96" i="4"/>
  <c r="F96" i="4"/>
  <c r="E96" i="4"/>
  <c r="I95" i="4"/>
  <c r="H95" i="4"/>
  <c r="G95" i="4"/>
  <c r="F95" i="4"/>
  <c r="E95" i="4"/>
  <c r="I94" i="4"/>
  <c r="H94" i="4"/>
  <c r="G94" i="4"/>
  <c r="F94" i="4"/>
  <c r="E94" i="4"/>
  <c r="I93" i="4"/>
  <c r="H93" i="4"/>
  <c r="G93" i="4"/>
  <c r="F93" i="4"/>
  <c r="E93" i="4"/>
  <c r="I92" i="4"/>
  <c r="H92" i="4"/>
  <c r="G92" i="4"/>
  <c r="F92" i="4"/>
  <c r="E92" i="4"/>
  <c r="I91" i="4"/>
  <c r="H91" i="4"/>
  <c r="G91" i="4"/>
  <c r="F91" i="4"/>
  <c r="E91" i="4"/>
  <c r="I90" i="4"/>
  <c r="H90" i="4"/>
  <c r="G90" i="4"/>
  <c r="F90" i="4"/>
  <c r="E90" i="4"/>
  <c r="I89" i="4"/>
  <c r="H89" i="4"/>
  <c r="G89" i="4"/>
  <c r="F89" i="4"/>
  <c r="E89" i="4"/>
  <c r="I88" i="4"/>
  <c r="H88" i="4"/>
  <c r="G88" i="4"/>
  <c r="F88" i="4"/>
  <c r="E88" i="4"/>
  <c r="I87" i="4"/>
  <c r="H87" i="4"/>
  <c r="G87" i="4"/>
  <c r="F87" i="4"/>
  <c r="E87" i="4"/>
  <c r="I86" i="4"/>
  <c r="H86" i="4"/>
  <c r="G86" i="4"/>
  <c r="F86" i="4"/>
  <c r="E86" i="4"/>
  <c r="I85" i="4"/>
  <c r="H85" i="4"/>
  <c r="G85" i="4"/>
  <c r="F85" i="4"/>
  <c r="E85" i="4"/>
  <c r="I84" i="4"/>
  <c r="H84" i="4"/>
  <c r="G84" i="4"/>
  <c r="F84" i="4"/>
  <c r="E84" i="4"/>
  <c r="I83" i="4"/>
  <c r="H83" i="4"/>
  <c r="G83" i="4"/>
  <c r="F83" i="4"/>
  <c r="E83" i="4"/>
  <c r="I82" i="4"/>
  <c r="H82" i="4"/>
  <c r="G82" i="4"/>
  <c r="F82" i="4"/>
  <c r="E82" i="4"/>
  <c r="I81" i="4"/>
  <c r="H81" i="4"/>
  <c r="G81" i="4"/>
  <c r="F81" i="4"/>
  <c r="E81" i="4"/>
  <c r="I80" i="4"/>
  <c r="H80" i="4"/>
  <c r="G80" i="4"/>
  <c r="F80" i="4"/>
  <c r="E80" i="4"/>
  <c r="I79" i="4"/>
  <c r="H79" i="4"/>
  <c r="G79" i="4"/>
  <c r="F79" i="4"/>
  <c r="E79" i="4"/>
  <c r="I78" i="4"/>
  <c r="H78" i="4"/>
  <c r="G78" i="4"/>
  <c r="F78" i="4"/>
  <c r="E78" i="4"/>
  <c r="I77" i="4"/>
  <c r="H77" i="4"/>
  <c r="G77" i="4"/>
  <c r="F77" i="4"/>
  <c r="E77" i="4"/>
  <c r="I76" i="4"/>
  <c r="H76" i="4"/>
  <c r="G76" i="4"/>
  <c r="F76" i="4"/>
  <c r="E76" i="4"/>
  <c r="I75" i="4"/>
  <c r="H75" i="4"/>
  <c r="G75" i="4"/>
  <c r="F75" i="4"/>
  <c r="E75" i="4"/>
  <c r="I74" i="4"/>
  <c r="H74" i="4"/>
  <c r="G74" i="4"/>
  <c r="F74" i="4"/>
  <c r="E74" i="4"/>
  <c r="I73" i="4"/>
  <c r="H73" i="4"/>
  <c r="G73" i="4"/>
  <c r="F73" i="4"/>
  <c r="E73" i="4"/>
  <c r="I72" i="4"/>
  <c r="H72" i="4"/>
  <c r="G72" i="4"/>
  <c r="F72" i="4"/>
  <c r="E72" i="4"/>
  <c r="I71" i="4"/>
  <c r="H71" i="4"/>
  <c r="G71" i="4"/>
  <c r="F71" i="4"/>
  <c r="E71" i="4"/>
  <c r="I70" i="4"/>
  <c r="H70" i="4"/>
  <c r="G70" i="4"/>
  <c r="F70" i="4"/>
  <c r="E70" i="4"/>
  <c r="I69" i="4"/>
  <c r="H69" i="4"/>
  <c r="G69" i="4"/>
  <c r="F69" i="4"/>
  <c r="E69" i="4"/>
  <c r="I68" i="4"/>
  <c r="H68" i="4"/>
  <c r="G68" i="4"/>
  <c r="F68" i="4"/>
  <c r="E68" i="4"/>
  <c r="I67" i="4"/>
  <c r="H67" i="4"/>
  <c r="G67" i="4"/>
  <c r="F67" i="4"/>
  <c r="E67" i="4"/>
  <c r="I66" i="4"/>
  <c r="H66" i="4"/>
  <c r="G66" i="4"/>
  <c r="F66" i="4"/>
  <c r="E66" i="4"/>
  <c r="I65" i="4"/>
  <c r="H65" i="4"/>
  <c r="G65" i="4"/>
  <c r="F65" i="4"/>
  <c r="E65" i="4"/>
  <c r="I64" i="4"/>
  <c r="H64" i="4"/>
  <c r="G64" i="4"/>
  <c r="F64" i="4"/>
  <c r="E64" i="4"/>
  <c r="I63" i="4"/>
  <c r="H63" i="4"/>
  <c r="G63" i="4"/>
  <c r="F63" i="4"/>
  <c r="E63" i="4"/>
  <c r="I62" i="4"/>
  <c r="H62" i="4"/>
  <c r="G62" i="4"/>
  <c r="F62" i="4"/>
  <c r="E62" i="4"/>
  <c r="I61" i="4"/>
  <c r="H61" i="4"/>
  <c r="G61" i="4"/>
  <c r="F61" i="4"/>
  <c r="E61" i="4"/>
  <c r="I60" i="4"/>
  <c r="H60" i="4"/>
  <c r="G60" i="4"/>
  <c r="F60" i="4"/>
  <c r="E60" i="4"/>
  <c r="I59" i="4"/>
  <c r="H59" i="4"/>
  <c r="G59" i="4"/>
  <c r="F59" i="4"/>
  <c r="E59" i="4"/>
  <c r="I58" i="4"/>
  <c r="H58" i="4"/>
  <c r="G58" i="4"/>
  <c r="F58" i="4"/>
  <c r="E58" i="4"/>
  <c r="I57" i="4"/>
  <c r="H57" i="4"/>
  <c r="G57" i="4"/>
  <c r="F57" i="4"/>
  <c r="E57" i="4"/>
  <c r="I56" i="4"/>
  <c r="H56" i="4"/>
  <c r="G56" i="4"/>
  <c r="F56" i="4"/>
  <c r="E56" i="4"/>
  <c r="I55" i="4"/>
  <c r="H55" i="4"/>
  <c r="G55" i="4"/>
  <c r="F55" i="4"/>
  <c r="E55" i="4"/>
  <c r="I54" i="4"/>
  <c r="H54" i="4"/>
  <c r="G54" i="4"/>
  <c r="F54" i="4"/>
  <c r="E54" i="4"/>
  <c r="I53" i="4"/>
  <c r="H53" i="4"/>
  <c r="G53" i="4"/>
  <c r="F53" i="4"/>
  <c r="E53" i="4"/>
  <c r="I52" i="4"/>
  <c r="H52" i="4"/>
  <c r="G52" i="4"/>
  <c r="F52" i="4"/>
  <c r="E52" i="4"/>
  <c r="I51" i="4"/>
  <c r="H51" i="4"/>
  <c r="G51" i="4"/>
  <c r="F51" i="4"/>
  <c r="E51" i="4"/>
  <c r="I50" i="4"/>
  <c r="H50" i="4"/>
  <c r="G50" i="4"/>
  <c r="F50" i="4"/>
  <c r="E50" i="4"/>
  <c r="I49" i="4"/>
  <c r="H49" i="4"/>
  <c r="G49" i="4"/>
  <c r="F49" i="4"/>
  <c r="E49" i="4"/>
  <c r="I48" i="4"/>
  <c r="H48" i="4"/>
  <c r="G48" i="4"/>
  <c r="F48" i="4"/>
  <c r="E48" i="4"/>
  <c r="I47" i="4"/>
  <c r="H47" i="4"/>
  <c r="G47" i="4"/>
  <c r="F47" i="4"/>
  <c r="E47" i="4"/>
  <c r="I46" i="4"/>
  <c r="H46" i="4"/>
  <c r="G46" i="4"/>
  <c r="F46" i="4"/>
  <c r="E46" i="4"/>
  <c r="I45" i="4"/>
  <c r="H45" i="4"/>
  <c r="G45" i="4"/>
  <c r="F45" i="4"/>
  <c r="E45" i="4"/>
  <c r="I44" i="4"/>
  <c r="H44" i="4"/>
  <c r="G44" i="4"/>
  <c r="F44" i="4"/>
  <c r="E44" i="4"/>
  <c r="I43" i="4"/>
  <c r="H43" i="4"/>
  <c r="G43" i="4"/>
  <c r="F43" i="4"/>
  <c r="E43" i="4"/>
  <c r="I42" i="4"/>
  <c r="H42" i="4"/>
  <c r="G42" i="4"/>
  <c r="F42" i="4"/>
  <c r="E42" i="4"/>
  <c r="I41" i="4"/>
  <c r="H41" i="4"/>
  <c r="G41" i="4"/>
  <c r="F41" i="4"/>
  <c r="E41" i="4"/>
  <c r="I40" i="4"/>
  <c r="H40" i="4"/>
  <c r="G40" i="4"/>
  <c r="F40" i="4"/>
  <c r="E40" i="4"/>
  <c r="I39" i="4"/>
  <c r="H39" i="4"/>
  <c r="G39" i="4"/>
  <c r="F39" i="4"/>
  <c r="E39" i="4"/>
  <c r="I38" i="4"/>
  <c r="H38" i="4"/>
  <c r="G38" i="4"/>
  <c r="F38" i="4"/>
  <c r="E38" i="4"/>
  <c r="I37" i="4"/>
  <c r="H37" i="4"/>
  <c r="G37" i="4"/>
  <c r="F37" i="4"/>
  <c r="E37" i="4"/>
  <c r="I36" i="4"/>
  <c r="H36" i="4"/>
  <c r="G36" i="4"/>
  <c r="F36" i="4"/>
  <c r="E36" i="4"/>
  <c r="I35" i="4"/>
  <c r="H35" i="4"/>
  <c r="G35" i="4"/>
  <c r="F35" i="4"/>
  <c r="E35" i="4"/>
  <c r="I34" i="4"/>
  <c r="H34" i="4"/>
  <c r="G34" i="4"/>
  <c r="F34" i="4"/>
  <c r="E34" i="4"/>
  <c r="I33" i="4"/>
  <c r="H33" i="4"/>
  <c r="G33" i="4"/>
  <c r="F33" i="4"/>
  <c r="E33" i="4"/>
  <c r="I32" i="4"/>
  <c r="H32" i="4"/>
  <c r="G32" i="4"/>
  <c r="F32" i="4"/>
  <c r="E32" i="4"/>
  <c r="I31" i="4"/>
  <c r="H31" i="4"/>
  <c r="G31" i="4"/>
  <c r="F31" i="4"/>
  <c r="E31" i="4"/>
  <c r="I30" i="4"/>
  <c r="H30" i="4"/>
  <c r="G30" i="4"/>
  <c r="F30" i="4"/>
  <c r="E30" i="4"/>
  <c r="I29" i="4"/>
  <c r="H29" i="4"/>
  <c r="G29" i="4"/>
  <c r="F29" i="4"/>
  <c r="E29" i="4"/>
  <c r="I28" i="4"/>
  <c r="H28" i="4"/>
  <c r="G28" i="4"/>
  <c r="F28" i="4"/>
  <c r="E28" i="4"/>
  <c r="I27" i="4"/>
  <c r="H27" i="4"/>
  <c r="G27" i="4"/>
  <c r="F27" i="4"/>
  <c r="E27" i="4"/>
  <c r="I26" i="4"/>
  <c r="H26" i="4"/>
  <c r="G26" i="4"/>
  <c r="F26" i="4"/>
  <c r="E26" i="4"/>
  <c r="I25" i="4"/>
  <c r="H25" i="4"/>
  <c r="G25" i="4"/>
  <c r="F25" i="4"/>
  <c r="E25" i="4"/>
  <c r="I24" i="4"/>
  <c r="H24" i="4"/>
  <c r="G24" i="4"/>
  <c r="F24" i="4"/>
  <c r="E24" i="4"/>
  <c r="I23" i="4"/>
  <c r="H23" i="4"/>
  <c r="G23" i="4"/>
  <c r="F23" i="4"/>
  <c r="E23" i="4"/>
  <c r="I22" i="4"/>
  <c r="H22" i="4"/>
  <c r="G22" i="4"/>
  <c r="F22" i="4"/>
  <c r="E22" i="4"/>
  <c r="I21" i="4"/>
  <c r="H21" i="4"/>
  <c r="G21" i="4"/>
  <c r="F21" i="4"/>
  <c r="E21" i="4"/>
  <c r="I20" i="4"/>
  <c r="H20" i="4"/>
  <c r="G20" i="4"/>
  <c r="F20" i="4"/>
  <c r="E20" i="4"/>
  <c r="I19" i="4"/>
  <c r="H19" i="4"/>
  <c r="G19" i="4"/>
  <c r="F19" i="4"/>
  <c r="E19" i="4"/>
  <c r="I18" i="4"/>
  <c r="H18" i="4"/>
  <c r="G18" i="4"/>
  <c r="F18" i="4"/>
  <c r="E18" i="4"/>
  <c r="I17" i="4"/>
  <c r="H17" i="4"/>
  <c r="G17" i="4"/>
  <c r="F17" i="4"/>
  <c r="E17" i="4"/>
  <c r="I16" i="4"/>
  <c r="H16" i="4"/>
  <c r="G16" i="4"/>
  <c r="F16" i="4"/>
  <c r="E16" i="4"/>
  <c r="I15" i="4"/>
  <c r="H15" i="4"/>
  <c r="G15" i="4"/>
  <c r="F15" i="4"/>
  <c r="E15" i="4"/>
  <c r="I14" i="4"/>
  <c r="H14" i="4"/>
  <c r="G14" i="4"/>
  <c r="F14" i="4"/>
  <c r="E14" i="4"/>
  <c r="H13" i="4"/>
  <c r="G13" i="4"/>
  <c r="F13" i="4"/>
  <c r="E13" i="4"/>
  <c r="I13" i="4" s="1"/>
  <c r="H12" i="4"/>
  <c r="G12" i="4"/>
  <c r="F12" i="4"/>
  <c r="E12" i="4"/>
  <c r="I12" i="4" s="1"/>
  <c r="H11" i="4"/>
  <c r="G11" i="4"/>
  <c r="F11" i="4"/>
  <c r="E11" i="4"/>
  <c r="I11" i="4" s="1"/>
  <c r="H10" i="4"/>
  <c r="AF13" i="3" s="1"/>
  <c r="G10" i="4"/>
  <c r="AE13" i="3" s="1"/>
  <c r="F10" i="4"/>
  <c r="AD13" i="3" s="1"/>
  <c r="E10" i="4"/>
  <c r="H9" i="4"/>
  <c r="G9" i="4"/>
  <c r="F9" i="4"/>
  <c r="E9" i="4"/>
  <c r="I9" i="4" s="1"/>
  <c r="H8" i="4"/>
  <c r="G8" i="4"/>
  <c r="F8" i="4"/>
  <c r="E8" i="4"/>
  <c r="I8" i="4" s="1"/>
  <c r="H7" i="4"/>
  <c r="G7" i="4"/>
  <c r="F7" i="4"/>
  <c r="E7" i="4"/>
  <c r="I7" i="4" s="1"/>
  <c r="H6" i="4"/>
  <c r="G6" i="4"/>
  <c r="F6" i="4"/>
  <c r="E6" i="4"/>
  <c r="I6" i="4" s="1"/>
  <c r="H5" i="4"/>
  <c r="G5" i="4"/>
  <c r="F5" i="4"/>
  <c r="E5" i="4"/>
  <c r="I5" i="4" s="1"/>
  <c r="AO404" i="3"/>
  <c r="AP404" i="3" s="1"/>
  <c r="AL404" i="3"/>
  <c r="AK404" i="3"/>
  <c r="AJ404" i="3"/>
  <c r="AH404" i="3"/>
  <c r="AG404" i="3"/>
  <c r="AF404" i="3"/>
  <c r="AE404" i="3"/>
  <c r="AD404" i="3"/>
  <c r="AC404" i="3"/>
  <c r="AB404" i="3"/>
  <c r="X404" i="3"/>
  <c r="AA404" i="3" s="1"/>
  <c r="W404" i="3"/>
  <c r="U404" i="3"/>
  <c r="V404" i="3" s="1"/>
  <c r="T404" i="3"/>
  <c r="AI404" i="3" s="1"/>
  <c r="AO403" i="3"/>
  <c r="AP403" i="3" s="1"/>
  <c r="AL403" i="3"/>
  <c r="AK403" i="3"/>
  <c r="AJ403" i="3"/>
  <c r="AH403" i="3"/>
  <c r="AG403" i="3"/>
  <c r="AF403" i="3"/>
  <c r="AE403" i="3"/>
  <c r="AD403" i="3"/>
  <c r="AC403" i="3"/>
  <c r="AB403" i="3"/>
  <c r="X403" i="3"/>
  <c r="AA403" i="3" s="1"/>
  <c r="W403" i="3"/>
  <c r="U403" i="3"/>
  <c r="V403" i="3" s="1"/>
  <c r="T403" i="3"/>
  <c r="AI403" i="3" s="1"/>
  <c r="AO402" i="3"/>
  <c r="AP402" i="3" s="1"/>
  <c r="AL402" i="3"/>
  <c r="AK402" i="3"/>
  <c r="AJ402" i="3"/>
  <c r="AH402" i="3"/>
  <c r="AG402" i="3"/>
  <c r="AF402" i="3"/>
  <c r="AE402" i="3"/>
  <c r="AD402" i="3"/>
  <c r="AC402" i="3"/>
  <c r="AB402" i="3"/>
  <c r="X402" i="3"/>
  <c r="AA402" i="3" s="1"/>
  <c r="W402" i="3"/>
  <c r="U402" i="3"/>
  <c r="V402" i="3" s="1"/>
  <c r="T402" i="3"/>
  <c r="AI402" i="3" s="1"/>
  <c r="AO401" i="3"/>
  <c r="AP401" i="3" s="1"/>
  <c r="AL401" i="3"/>
  <c r="AK401" i="3"/>
  <c r="AJ401" i="3"/>
  <c r="AH401" i="3"/>
  <c r="AG401" i="3"/>
  <c r="AF401" i="3"/>
  <c r="AE401" i="3"/>
  <c r="AD401" i="3"/>
  <c r="AC401" i="3"/>
  <c r="AB401" i="3"/>
  <c r="X401" i="3"/>
  <c r="AA401" i="3" s="1"/>
  <c r="W401" i="3"/>
  <c r="U401" i="3"/>
  <c r="V401" i="3" s="1"/>
  <c r="T401" i="3"/>
  <c r="AI401" i="3" s="1"/>
  <c r="AO400" i="3"/>
  <c r="AP400" i="3" s="1"/>
  <c r="AL400" i="3"/>
  <c r="AK400" i="3"/>
  <c r="AJ400" i="3"/>
  <c r="AH400" i="3"/>
  <c r="AG400" i="3"/>
  <c r="AF400" i="3"/>
  <c r="AE400" i="3"/>
  <c r="AD400" i="3"/>
  <c r="AC400" i="3"/>
  <c r="AB400" i="3"/>
  <c r="X400" i="3"/>
  <c r="AA400" i="3" s="1"/>
  <c r="W400" i="3"/>
  <c r="U400" i="3"/>
  <c r="V400" i="3" s="1"/>
  <c r="T400" i="3"/>
  <c r="AI400" i="3" s="1"/>
  <c r="AO399" i="3"/>
  <c r="AP399" i="3" s="1"/>
  <c r="AL399" i="3"/>
  <c r="AK399" i="3"/>
  <c r="AJ399" i="3"/>
  <c r="AH399" i="3"/>
  <c r="AG399" i="3"/>
  <c r="AF399" i="3"/>
  <c r="AE399" i="3"/>
  <c r="AD399" i="3"/>
  <c r="AC399" i="3"/>
  <c r="AB399" i="3"/>
  <c r="X399" i="3"/>
  <c r="AA399" i="3" s="1"/>
  <c r="W399" i="3"/>
  <c r="U399" i="3"/>
  <c r="V399" i="3" s="1"/>
  <c r="T399" i="3"/>
  <c r="AI399" i="3" s="1"/>
  <c r="AO398" i="3"/>
  <c r="AP398" i="3" s="1"/>
  <c r="AL398" i="3"/>
  <c r="AK398" i="3"/>
  <c r="AJ398" i="3"/>
  <c r="AH398" i="3"/>
  <c r="AG398" i="3"/>
  <c r="AF398" i="3"/>
  <c r="AE398" i="3"/>
  <c r="AD398" i="3"/>
  <c r="AC398" i="3"/>
  <c r="AB398" i="3"/>
  <c r="X398" i="3"/>
  <c r="AA398" i="3" s="1"/>
  <c r="W398" i="3"/>
  <c r="U398" i="3"/>
  <c r="V398" i="3" s="1"/>
  <c r="T398" i="3"/>
  <c r="AI398" i="3" s="1"/>
  <c r="AO397" i="3"/>
  <c r="AP397" i="3" s="1"/>
  <c r="AL397" i="3"/>
  <c r="AK397" i="3"/>
  <c r="AJ397" i="3"/>
  <c r="AH397" i="3"/>
  <c r="AG397" i="3"/>
  <c r="AF397" i="3"/>
  <c r="AE397" i="3"/>
  <c r="AD397" i="3"/>
  <c r="AC397" i="3"/>
  <c r="AB397" i="3"/>
  <c r="X397" i="3"/>
  <c r="AA397" i="3" s="1"/>
  <c r="W397" i="3"/>
  <c r="U397" i="3"/>
  <c r="V397" i="3" s="1"/>
  <c r="T397" i="3"/>
  <c r="AI397" i="3" s="1"/>
  <c r="AO396" i="3"/>
  <c r="AP396" i="3" s="1"/>
  <c r="AL396" i="3"/>
  <c r="AK396" i="3"/>
  <c r="AJ396" i="3"/>
  <c r="AH396" i="3"/>
  <c r="AG396" i="3"/>
  <c r="AF396" i="3"/>
  <c r="AE396" i="3"/>
  <c r="AD396" i="3"/>
  <c r="AC396" i="3"/>
  <c r="AB396" i="3"/>
  <c r="X396" i="3"/>
  <c r="AA396" i="3" s="1"/>
  <c r="W396" i="3"/>
  <c r="U396" i="3"/>
  <c r="V396" i="3" s="1"/>
  <c r="T396" i="3"/>
  <c r="AI396" i="3" s="1"/>
  <c r="AO395" i="3"/>
  <c r="AP395" i="3" s="1"/>
  <c r="AL395" i="3"/>
  <c r="AK395" i="3"/>
  <c r="AJ395" i="3"/>
  <c r="AH395" i="3"/>
  <c r="AG395" i="3"/>
  <c r="AF395" i="3"/>
  <c r="AE395" i="3"/>
  <c r="AD395" i="3"/>
  <c r="AC395" i="3"/>
  <c r="AB395" i="3"/>
  <c r="X395" i="3"/>
  <c r="AA395" i="3" s="1"/>
  <c r="W395" i="3"/>
  <c r="U395" i="3"/>
  <c r="V395" i="3" s="1"/>
  <c r="T395" i="3"/>
  <c r="AI395" i="3" s="1"/>
  <c r="AO394" i="3"/>
  <c r="AP394" i="3" s="1"/>
  <c r="AL394" i="3"/>
  <c r="AK394" i="3"/>
  <c r="AJ394" i="3"/>
  <c r="AH394" i="3"/>
  <c r="AG394" i="3"/>
  <c r="AF394" i="3"/>
  <c r="AE394" i="3"/>
  <c r="AD394" i="3"/>
  <c r="AC394" i="3"/>
  <c r="AB394" i="3"/>
  <c r="X394" i="3"/>
  <c r="AA394" i="3" s="1"/>
  <c r="W394" i="3"/>
  <c r="U394" i="3"/>
  <c r="V394" i="3" s="1"/>
  <c r="T394" i="3"/>
  <c r="AI394" i="3" s="1"/>
  <c r="AO393" i="3"/>
  <c r="AP393" i="3" s="1"/>
  <c r="AL393" i="3"/>
  <c r="AK393" i="3"/>
  <c r="AJ393" i="3"/>
  <c r="AH393" i="3"/>
  <c r="AG393" i="3"/>
  <c r="AF393" i="3"/>
  <c r="AE393" i="3"/>
  <c r="AD393" i="3"/>
  <c r="AC393" i="3"/>
  <c r="AB393" i="3"/>
  <c r="X393" i="3"/>
  <c r="AA393" i="3" s="1"/>
  <c r="W393" i="3"/>
  <c r="U393" i="3"/>
  <c r="V393" i="3" s="1"/>
  <c r="T393" i="3"/>
  <c r="AI393" i="3" s="1"/>
  <c r="AO392" i="3"/>
  <c r="AP392" i="3" s="1"/>
  <c r="AL392" i="3"/>
  <c r="AK392" i="3"/>
  <c r="AJ392" i="3"/>
  <c r="AH392" i="3"/>
  <c r="AG392" i="3"/>
  <c r="AF392" i="3"/>
  <c r="AE392" i="3"/>
  <c r="AD392" i="3"/>
  <c r="AC392" i="3"/>
  <c r="AB392" i="3"/>
  <c r="X392" i="3"/>
  <c r="AA392" i="3" s="1"/>
  <c r="W392" i="3"/>
  <c r="U392" i="3"/>
  <c r="V392" i="3" s="1"/>
  <c r="T392" i="3"/>
  <c r="AI392" i="3" s="1"/>
  <c r="AO391" i="3"/>
  <c r="AP391" i="3" s="1"/>
  <c r="AL391" i="3"/>
  <c r="AK391" i="3"/>
  <c r="AJ391" i="3"/>
  <c r="AH391" i="3"/>
  <c r="AG391" i="3"/>
  <c r="AF391" i="3"/>
  <c r="AE391" i="3"/>
  <c r="AD391" i="3"/>
  <c r="AC391" i="3"/>
  <c r="AB391" i="3"/>
  <c r="X391" i="3"/>
  <c r="AA391" i="3" s="1"/>
  <c r="W391" i="3"/>
  <c r="U391" i="3"/>
  <c r="V391" i="3" s="1"/>
  <c r="T391" i="3"/>
  <c r="AI391" i="3" s="1"/>
  <c r="AO390" i="3"/>
  <c r="AP390" i="3" s="1"/>
  <c r="AL390" i="3"/>
  <c r="AK390" i="3"/>
  <c r="AJ390" i="3"/>
  <c r="AH390" i="3"/>
  <c r="AG390" i="3"/>
  <c r="AF390" i="3"/>
  <c r="AE390" i="3"/>
  <c r="AD390" i="3"/>
  <c r="AC390" i="3"/>
  <c r="AB390" i="3"/>
  <c r="X390" i="3"/>
  <c r="AA390" i="3" s="1"/>
  <c r="W390" i="3"/>
  <c r="U390" i="3"/>
  <c r="V390" i="3" s="1"/>
  <c r="T390" i="3"/>
  <c r="AI390" i="3" s="1"/>
  <c r="AO389" i="3"/>
  <c r="AP389" i="3" s="1"/>
  <c r="AL389" i="3"/>
  <c r="AK389" i="3"/>
  <c r="AJ389" i="3"/>
  <c r="AH389" i="3"/>
  <c r="AG389" i="3"/>
  <c r="AF389" i="3"/>
  <c r="AE389" i="3"/>
  <c r="AD389" i="3"/>
  <c r="AC389" i="3"/>
  <c r="AB389" i="3"/>
  <c r="X389" i="3"/>
  <c r="AA389" i="3" s="1"/>
  <c r="W389" i="3"/>
  <c r="U389" i="3"/>
  <c r="V389" i="3" s="1"/>
  <c r="T389" i="3"/>
  <c r="AI389" i="3" s="1"/>
  <c r="AO388" i="3"/>
  <c r="AP388" i="3" s="1"/>
  <c r="AL388" i="3"/>
  <c r="AK388" i="3"/>
  <c r="AJ388" i="3"/>
  <c r="AH388" i="3"/>
  <c r="AG388" i="3"/>
  <c r="AF388" i="3"/>
  <c r="AE388" i="3"/>
  <c r="AD388" i="3"/>
  <c r="AC388" i="3"/>
  <c r="AB388" i="3"/>
  <c r="X388" i="3"/>
  <c r="AA388" i="3" s="1"/>
  <c r="W388" i="3"/>
  <c r="U388" i="3"/>
  <c r="V388" i="3" s="1"/>
  <c r="T388" i="3"/>
  <c r="AI388" i="3" s="1"/>
  <c r="AO387" i="3"/>
  <c r="AP387" i="3" s="1"/>
  <c r="AL387" i="3"/>
  <c r="AK387" i="3"/>
  <c r="AJ387" i="3"/>
  <c r="AH387" i="3"/>
  <c r="AG387" i="3"/>
  <c r="AF387" i="3"/>
  <c r="AE387" i="3"/>
  <c r="AD387" i="3"/>
  <c r="AC387" i="3"/>
  <c r="AB387" i="3"/>
  <c r="X387" i="3"/>
  <c r="AA387" i="3" s="1"/>
  <c r="W387" i="3"/>
  <c r="U387" i="3"/>
  <c r="V387" i="3" s="1"/>
  <c r="T387" i="3"/>
  <c r="AI387" i="3" s="1"/>
  <c r="AO386" i="3"/>
  <c r="AP386" i="3" s="1"/>
  <c r="AL386" i="3"/>
  <c r="AK386" i="3"/>
  <c r="AJ386" i="3"/>
  <c r="AH386" i="3"/>
  <c r="AG386" i="3"/>
  <c r="AF386" i="3"/>
  <c r="AE386" i="3"/>
  <c r="AD386" i="3"/>
  <c r="AC386" i="3"/>
  <c r="AB386" i="3"/>
  <c r="X386" i="3"/>
  <c r="AA386" i="3" s="1"/>
  <c r="W386" i="3"/>
  <c r="U386" i="3"/>
  <c r="V386" i="3" s="1"/>
  <c r="T386" i="3"/>
  <c r="AI386" i="3" s="1"/>
  <c r="AO385" i="3"/>
  <c r="AP385" i="3" s="1"/>
  <c r="AL385" i="3"/>
  <c r="AK385" i="3"/>
  <c r="AJ385" i="3"/>
  <c r="AH385" i="3"/>
  <c r="AG385" i="3"/>
  <c r="AF385" i="3"/>
  <c r="AE385" i="3"/>
  <c r="AD385" i="3"/>
  <c r="AC385" i="3"/>
  <c r="AB385" i="3"/>
  <c r="X385" i="3"/>
  <c r="AA385" i="3" s="1"/>
  <c r="W385" i="3"/>
  <c r="U385" i="3"/>
  <c r="V385" i="3" s="1"/>
  <c r="T385" i="3"/>
  <c r="AI385" i="3" s="1"/>
  <c r="AO384" i="3"/>
  <c r="AP384" i="3" s="1"/>
  <c r="AL384" i="3"/>
  <c r="AK384" i="3"/>
  <c r="AJ384" i="3"/>
  <c r="AH384" i="3"/>
  <c r="AG384" i="3"/>
  <c r="AF384" i="3"/>
  <c r="AE384" i="3"/>
  <c r="AD384" i="3"/>
  <c r="AC384" i="3"/>
  <c r="AB384" i="3"/>
  <c r="X384" i="3"/>
  <c r="AA384" i="3" s="1"/>
  <c r="W384" i="3"/>
  <c r="U384" i="3"/>
  <c r="V384" i="3" s="1"/>
  <c r="T384" i="3"/>
  <c r="AI384" i="3" s="1"/>
  <c r="AP383" i="3"/>
  <c r="AO383" i="3"/>
  <c r="AL383" i="3"/>
  <c r="AK383" i="3"/>
  <c r="AJ383" i="3"/>
  <c r="AH383" i="3"/>
  <c r="AG383" i="3"/>
  <c r="AF383" i="3"/>
  <c r="AE383" i="3"/>
  <c r="AD383" i="3"/>
  <c r="AC383" i="3"/>
  <c r="AB383" i="3"/>
  <c r="X383" i="3"/>
  <c r="AA383" i="3" s="1"/>
  <c r="W383" i="3"/>
  <c r="U383" i="3"/>
  <c r="V383" i="3" s="1"/>
  <c r="T383" i="3"/>
  <c r="AI383" i="3" s="1"/>
  <c r="AO382" i="3"/>
  <c r="AP382" i="3" s="1"/>
  <c r="AL382" i="3"/>
  <c r="AK382" i="3"/>
  <c r="AJ382" i="3"/>
  <c r="AH382" i="3"/>
  <c r="AG382" i="3"/>
  <c r="AF382" i="3"/>
  <c r="AE382" i="3"/>
  <c r="AD382" i="3"/>
  <c r="AC382" i="3"/>
  <c r="AB382" i="3"/>
  <c r="X382" i="3"/>
  <c r="AA382" i="3" s="1"/>
  <c r="W382" i="3"/>
  <c r="U382" i="3"/>
  <c r="V382" i="3" s="1"/>
  <c r="T382" i="3"/>
  <c r="AI382" i="3" s="1"/>
  <c r="AO381" i="3"/>
  <c r="AP381" i="3" s="1"/>
  <c r="AL381" i="3"/>
  <c r="AK381" i="3"/>
  <c r="AJ381" i="3"/>
  <c r="AH381" i="3"/>
  <c r="AG381" i="3"/>
  <c r="AF381" i="3"/>
  <c r="AE381" i="3"/>
  <c r="AD381" i="3"/>
  <c r="AC381" i="3"/>
  <c r="AB381" i="3"/>
  <c r="X381" i="3"/>
  <c r="AA381" i="3" s="1"/>
  <c r="W381" i="3"/>
  <c r="U381" i="3"/>
  <c r="V381" i="3" s="1"/>
  <c r="T381" i="3"/>
  <c r="AI381" i="3" s="1"/>
  <c r="AO380" i="3"/>
  <c r="AP380" i="3" s="1"/>
  <c r="AL380" i="3"/>
  <c r="AK380" i="3"/>
  <c r="AJ380" i="3"/>
  <c r="AH380" i="3"/>
  <c r="AG380" i="3"/>
  <c r="AF380" i="3"/>
  <c r="AE380" i="3"/>
  <c r="AD380" i="3"/>
  <c r="AC380" i="3"/>
  <c r="AB380" i="3"/>
  <c r="X380" i="3"/>
  <c r="AA380" i="3" s="1"/>
  <c r="W380" i="3"/>
  <c r="U380" i="3"/>
  <c r="V380" i="3" s="1"/>
  <c r="T380" i="3"/>
  <c r="AI380" i="3" s="1"/>
  <c r="AO379" i="3"/>
  <c r="AP379" i="3" s="1"/>
  <c r="AL379" i="3"/>
  <c r="AK379" i="3"/>
  <c r="AJ379" i="3"/>
  <c r="AH379" i="3"/>
  <c r="AG379" i="3"/>
  <c r="AF379" i="3"/>
  <c r="AE379" i="3"/>
  <c r="AD379" i="3"/>
  <c r="AC379" i="3"/>
  <c r="AB379" i="3"/>
  <c r="X379" i="3"/>
  <c r="AA379" i="3" s="1"/>
  <c r="W379" i="3"/>
  <c r="U379" i="3"/>
  <c r="V379" i="3" s="1"/>
  <c r="T379" i="3"/>
  <c r="AI379" i="3" s="1"/>
  <c r="AO378" i="3"/>
  <c r="AP378" i="3" s="1"/>
  <c r="AL378" i="3"/>
  <c r="AK378" i="3"/>
  <c r="AJ378" i="3"/>
  <c r="AH378" i="3"/>
  <c r="AG378" i="3"/>
  <c r="AF378" i="3"/>
  <c r="AE378" i="3"/>
  <c r="AD378" i="3"/>
  <c r="AC378" i="3"/>
  <c r="AB378" i="3"/>
  <c r="X378" i="3"/>
  <c r="AA378" i="3" s="1"/>
  <c r="W378" i="3"/>
  <c r="U378" i="3"/>
  <c r="V378" i="3" s="1"/>
  <c r="T378" i="3"/>
  <c r="AI378" i="3" s="1"/>
  <c r="AO377" i="3"/>
  <c r="AP377" i="3" s="1"/>
  <c r="AL377" i="3"/>
  <c r="AK377" i="3"/>
  <c r="AJ377" i="3"/>
  <c r="AH377" i="3"/>
  <c r="AG377" i="3"/>
  <c r="AF377" i="3"/>
  <c r="AE377" i="3"/>
  <c r="AD377" i="3"/>
  <c r="AC377" i="3"/>
  <c r="AB377" i="3"/>
  <c r="X377" i="3"/>
  <c r="AA377" i="3" s="1"/>
  <c r="W377" i="3"/>
  <c r="U377" i="3"/>
  <c r="V377" i="3" s="1"/>
  <c r="T377" i="3"/>
  <c r="AI377" i="3" s="1"/>
  <c r="AO376" i="3"/>
  <c r="AP376" i="3" s="1"/>
  <c r="AL376" i="3"/>
  <c r="AK376" i="3"/>
  <c r="AJ376" i="3"/>
  <c r="AH376" i="3"/>
  <c r="AG376" i="3"/>
  <c r="AF376" i="3"/>
  <c r="AE376" i="3"/>
  <c r="AD376" i="3"/>
  <c r="AC376" i="3"/>
  <c r="AB376" i="3"/>
  <c r="X376" i="3"/>
  <c r="AA376" i="3" s="1"/>
  <c r="W376" i="3"/>
  <c r="U376" i="3"/>
  <c r="V376" i="3" s="1"/>
  <c r="T376" i="3"/>
  <c r="AI376" i="3" s="1"/>
  <c r="AO375" i="3"/>
  <c r="AP375" i="3" s="1"/>
  <c r="AL375" i="3"/>
  <c r="AK375" i="3"/>
  <c r="AJ375" i="3"/>
  <c r="AH375" i="3"/>
  <c r="AG375" i="3"/>
  <c r="AF375" i="3"/>
  <c r="AE375" i="3"/>
  <c r="AD375" i="3"/>
  <c r="AC375" i="3"/>
  <c r="AB375" i="3"/>
  <c r="X375" i="3"/>
  <c r="AA375" i="3" s="1"/>
  <c r="W375" i="3"/>
  <c r="U375" i="3"/>
  <c r="V375" i="3" s="1"/>
  <c r="T375" i="3"/>
  <c r="AI375" i="3" s="1"/>
  <c r="AO374" i="3"/>
  <c r="AP374" i="3" s="1"/>
  <c r="AL374" i="3"/>
  <c r="AK374" i="3"/>
  <c r="AJ374" i="3"/>
  <c r="AH374" i="3"/>
  <c r="AG374" i="3"/>
  <c r="AF374" i="3"/>
  <c r="AE374" i="3"/>
  <c r="AD374" i="3"/>
  <c r="AC374" i="3"/>
  <c r="AB374" i="3"/>
  <c r="X374" i="3"/>
  <c r="AA374" i="3" s="1"/>
  <c r="W374" i="3"/>
  <c r="U374" i="3"/>
  <c r="V374" i="3" s="1"/>
  <c r="T374" i="3"/>
  <c r="AI374" i="3" s="1"/>
  <c r="AO373" i="3"/>
  <c r="AP373" i="3" s="1"/>
  <c r="AL373" i="3"/>
  <c r="AK373" i="3"/>
  <c r="AJ373" i="3"/>
  <c r="AH373" i="3"/>
  <c r="AG373" i="3"/>
  <c r="AF373" i="3"/>
  <c r="AE373" i="3"/>
  <c r="AD373" i="3"/>
  <c r="AC373" i="3"/>
  <c r="AB373" i="3"/>
  <c r="X373" i="3"/>
  <c r="AA373" i="3" s="1"/>
  <c r="W373" i="3"/>
  <c r="U373" i="3"/>
  <c r="V373" i="3" s="1"/>
  <c r="T373" i="3"/>
  <c r="AI373" i="3" s="1"/>
  <c r="AO372" i="3"/>
  <c r="AP372" i="3" s="1"/>
  <c r="AL372" i="3"/>
  <c r="AK372" i="3"/>
  <c r="AJ372" i="3"/>
  <c r="AH372" i="3"/>
  <c r="AG372" i="3"/>
  <c r="AF372" i="3"/>
  <c r="AE372" i="3"/>
  <c r="AD372" i="3"/>
  <c r="AC372" i="3"/>
  <c r="AB372" i="3"/>
  <c r="X372" i="3"/>
  <c r="AA372" i="3" s="1"/>
  <c r="W372" i="3"/>
  <c r="U372" i="3"/>
  <c r="V372" i="3" s="1"/>
  <c r="T372" i="3"/>
  <c r="AI372" i="3" s="1"/>
  <c r="AO371" i="3"/>
  <c r="AP371" i="3" s="1"/>
  <c r="AL371" i="3"/>
  <c r="AK371" i="3"/>
  <c r="AJ371" i="3"/>
  <c r="AH371" i="3"/>
  <c r="AG371" i="3"/>
  <c r="AF371" i="3"/>
  <c r="AE371" i="3"/>
  <c r="AD371" i="3"/>
  <c r="AC371" i="3"/>
  <c r="AB371" i="3"/>
  <c r="X371" i="3"/>
  <c r="AA371" i="3" s="1"/>
  <c r="W371" i="3"/>
  <c r="U371" i="3"/>
  <c r="V371" i="3" s="1"/>
  <c r="T371" i="3"/>
  <c r="AI371" i="3" s="1"/>
  <c r="AO370" i="3"/>
  <c r="AP370" i="3" s="1"/>
  <c r="AL370" i="3"/>
  <c r="AK370" i="3"/>
  <c r="AJ370" i="3"/>
  <c r="AH370" i="3"/>
  <c r="AG370" i="3"/>
  <c r="AF370" i="3"/>
  <c r="AE370" i="3"/>
  <c r="AD370" i="3"/>
  <c r="AC370" i="3"/>
  <c r="AB370" i="3"/>
  <c r="X370" i="3"/>
  <c r="AA370" i="3" s="1"/>
  <c r="W370" i="3"/>
  <c r="U370" i="3"/>
  <c r="V370" i="3" s="1"/>
  <c r="T370" i="3"/>
  <c r="AI370" i="3" s="1"/>
  <c r="AO369" i="3"/>
  <c r="AP369" i="3" s="1"/>
  <c r="AL369" i="3"/>
  <c r="AK369" i="3"/>
  <c r="AJ369" i="3"/>
  <c r="AH369" i="3"/>
  <c r="AG369" i="3"/>
  <c r="AF369" i="3"/>
  <c r="AE369" i="3"/>
  <c r="AD369" i="3"/>
  <c r="AC369" i="3"/>
  <c r="AB369" i="3"/>
  <c r="X369" i="3"/>
  <c r="AA369" i="3" s="1"/>
  <c r="W369" i="3"/>
  <c r="U369" i="3"/>
  <c r="V369" i="3" s="1"/>
  <c r="T369" i="3"/>
  <c r="AI369" i="3" s="1"/>
  <c r="AO368" i="3"/>
  <c r="AP368" i="3" s="1"/>
  <c r="AL368" i="3"/>
  <c r="AK368" i="3"/>
  <c r="AJ368" i="3"/>
  <c r="AH368" i="3"/>
  <c r="AG368" i="3"/>
  <c r="AF368" i="3"/>
  <c r="AE368" i="3"/>
  <c r="AD368" i="3"/>
  <c r="AC368" i="3"/>
  <c r="AB368" i="3"/>
  <c r="X368" i="3"/>
  <c r="AA368" i="3" s="1"/>
  <c r="W368" i="3"/>
  <c r="U368" i="3"/>
  <c r="V368" i="3" s="1"/>
  <c r="T368" i="3"/>
  <c r="AI368" i="3" s="1"/>
  <c r="AO367" i="3"/>
  <c r="AP367" i="3" s="1"/>
  <c r="AL367" i="3"/>
  <c r="AK367" i="3"/>
  <c r="AJ367" i="3"/>
  <c r="AH367" i="3"/>
  <c r="AG367" i="3"/>
  <c r="AF367" i="3"/>
  <c r="AE367" i="3"/>
  <c r="AD367" i="3"/>
  <c r="AC367" i="3"/>
  <c r="AB367" i="3"/>
  <c r="X367" i="3"/>
  <c r="AA367" i="3" s="1"/>
  <c r="W367" i="3"/>
  <c r="U367" i="3"/>
  <c r="V367" i="3" s="1"/>
  <c r="T367" i="3"/>
  <c r="AI367" i="3" s="1"/>
  <c r="AO366" i="3"/>
  <c r="AP366" i="3" s="1"/>
  <c r="AL366" i="3"/>
  <c r="AK366" i="3"/>
  <c r="AJ366" i="3"/>
  <c r="AH366" i="3"/>
  <c r="AG366" i="3"/>
  <c r="AF366" i="3"/>
  <c r="AE366" i="3"/>
  <c r="AD366" i="3"/>
  <c r="AC366" i="3"/>
  <c r="AB366" i="3"/>
  <c r="X366" i="3"/>
  <c r="AA366" i="3" s="1"/>
  <c r="W366" i="3"/>
  <c r="U366" i="3"/>
  <c r="V366" i="3" s="1"/>
  <c r="T366" i="3"/>
  <c r="AI366" i="3" s="1"/>
  <c r="AO365" i="3"/>
  <c r="AP365" i="3" s="1"/>
  <c r="AL365" i="3"/>
  <c r="AK365" i="3"/>
  <c r="AJ365" i="3"/>
  <c r="AH365" i="3"/>
  <c r="AG365" i="3"/>
  <c r="AF365" i="3"/>
  <c r="AE365" i="3"/>
  <c r="AD365" i="3"/>
  <c r="AC365" i="3"/>
  <c r="AB365" i="3"/>
  <c r="X365" i="3"/>
  <c r="AA365" i="3" s="1"/>
  <c r="W365" i="3"/>
  <c r="U365" i="3"/>
  <c r="V365" i="3" s="1"/>
  <c r="T365" i="3"/>
  <c r="AI365" i="3" s="1"/>
  <c r="AO364" i="3"/>
  <c r="AP364" i="3" s="1"/>
  <c r="AL364" i="3"/>
  <c r="AK364" i="3"/>
  <c r="AJ364" i="3"/>
  <c r="AH364" i="3"/>
  <c r="AG364" i="3"/>
  <c r="AF364" i="3"/>
  <c r="AE364" i="3"/>
  <c r="AD364" i="3"/>
  <c r="AC364" i="3"/>
  <c r="AB364" i="3"/>
  <c r="X364" i="3"/>
  <c r="AA364" i="3" s="1"/>
  <c r="W364" i="3"/>
  <c r="U364" i="3"/>
  <c r="V364" i="3" s="1"/>
  <c r="T364" i="3"/>
  <c r="AI364" i="3" s="1"/>
  <c r="AO363" i="3"/>
  <c r="AP363" i="3" s="1"/>
  <c r="AL363" i="3"/>
  <c r="AK363" i="3"/>
  <c r="AJ363" i="3"/>
  <c r="AH363" i="3"/>
  <c r="AG363" i="3"/>
  <c r="AF363" i="3"/>
  <c r="AE363" i="3"/>
  <c r="AD363" i="3"/>
  <c r="AC363" i="3"/>
  <c r="AB363" i="3"/>
  <c r="X363" i="3"/>
  <c r="AA363" i="3" s="1"/>
  <c r="W363" i="3"/>
  <c r="U363" i="3"/>
  <c r="V363" i="3" s="1"/>
  <c r="T363" i="3"/>
  <c r="AI363" i="3" s="1"/>
  <c r="AO362" i="3"/>
  <c r="AP362" i="3" s="1"/>
  <c r="AL362" i="3"/>
  <c r="AK362" i="3"/>
  <c r="AJ362" i="3"/>
  <c r="AH362" i="3"/>
  <c r="AG362" i="3"/>
  <c r="AF362" i="3"/>
  <c r="AE362" i="3"/>
  <c r="AD362" i="3"/>
  <c r="AC362" i="3"/>
  <c r="AB362" i="3"/>
  <c r="X362" i="3"/>
  <c r="AA362" i="3" s="1"/>
  <c r="W362" i="3"/>
  <c r="U362" i="3"/>
  <c r="V362" i="3" s="1"/>
  <c r="T362" i="3"/>
  <c r="AI362" i="3" s="1"/>
  <c r="AO361" i="3"/>
  <c r="AP361" i="3" s="1"/>
  <c r="AL361" i="3"/>
  <c r="AK361" i="3"/>
  <c r="AJ361" i="3"/>
  <c r="AH361" i="3"/>
  <c r="AG361" i="3"/>
  <c r="AF361" i="3"/>
  <c r="AE361" i="3"/>
  <c r="AD361" i="3"/>
  <c r="AC361" i="3"/>
  <c r="AB361" i="3"/>
  <c r="X361" i="3"/>
  <c r="AA361" i="3" s="1"/>
  <c r="W361" i="3"/>
  <c r="U361" i="3"/>
  <c r="V361" i="3" s="1"/>
  <c r="T361" i="3"/>
  <c r="AI361" i="3" s="1"/>
  <c r="AO360" i="3"/>
  <c r="AP360" i="3" s="1"/>
  <c r="AL360" i="3"/>
  <c r="AK360" i="3"/>
  <c r="AJ360" i="3"/>
  <c r="AH360" i="3"/>
  <c r="AG360" i="3"/>
  <c r="AF360" i="3"/>
  <c r="AE360" i="3"/>
  <c r="AD360" i="3"/>
  <c r="AC360" i="3"/>
  <c r="AB360" i="3"/>
  <c r="X360" i="3"/>
  <c r="AA360" i="3" s="1"/>
  <c r="W360" i="3"/>
  <c r="U360" i="3"/>
  <c r="V360" i="3" s="1"/>
  <c r="T360" i="3"/>
  <c r="AI360" i="3" s="1"/>
  <c r="AO359" i="3"/>
  <c r="AP359" i="3" s="1"/>
  <c r="AL359" i="3"/>
  <c r="AK359" i="3"/>
  <c r="AJ359" i="3"/>
  <c r="AH359" i="3"/>
  <c r="AG359" i="3"/>
  <c r="AF359" i="3"/>
  <c r="AE359" i="3"/>
  <c r="AD359" i="3"/>
  <c r="AC359" i="3"/>
  <c r="AB359" i="3"/>
  <c r="X359" i="3"/>
  <c r="AA359" i="3" s="1"/>
  <c r="W359" i="3"/>
  <c r="U359" i="3"/>
  <c r="V359" i="3" s="1"/>
  <c r="T359" i="3"/>
  <c r="AI359" i="3" s="1"/>
  <c r="AO358" i="3"/>
  <c r="AP358" i="3" s="1"/>
  <c r="AL358" i="3"/>
  <c r="AK358" i="3"/>
  <c r="AJ358" i="3"/>
  <c r="AH358" i="3"/>
  <c r="AG358" i="3"/>
  <c r="AF358" i="3"/>
  <c r="AE358" i="3"/>
  <c r="AD358" i="3"/>
  <c r="AC358" i="3"/>
  <c r="AB358" i="3"/>
  <c r="X358" i="3"/>
  <c r="AA358" i="3" s="1"/>
  <c r="W358" i="3"/>
  <c r="U358" i="3"/>
  <c r="V358" i="3" s="1"/>
  <c r="T358" i="3"/>
  <c r="AI358" i="3" s="1"/>
  <c r="AO357" i="3"/>
  <c r="AP357" i="3" s="1"/>
  <c r="AL357" i="3"/>
  <c r="AK357" i="3"/>
  <c r="AJ357" i="3"/>
  <c r="AH357" i="3"/>
  <c r="AG357" i="3"/>
  <c r="AF357" i="3"/>
  <c r="AE357" i="3"/>
  <c r="AD357" i="3"/>
  <c r="AC357" i="3"/>
  <c r="AB357" i="3"/>
  <c r="X357" i="3"/>
  <c r="AA357" i="3" s="1"/>
  <c r="W357" i="3"/>
  <c r="U357" i="3"/>
  <c r="V357" i="3" s="1"/>
  <c r="T357" i="3"/>
  <c r="AI357" i="3" s="1"/>
  <c r="AO356" i="3"/>
  <c r="AP356" i="3" s="1"/>
  <c r="AL356" i="3"/>
  <c r="AK356" i="3"/>
  <c r="AJ356" i="3"/>
  <c r="AH356" i="3"/>
  <c r="AG356" i="3"/>
  <c r="AF356" i="3"/>
  <c r="AE356" i="3"/>
  <c r="AD356" i="3"/>
  <c r="AC356" i="3"/>
  <c r="AB356" i="3"/>
  <c r="X356" i="3"/>
  <c r="AA356" i="3" s="1"/>
  <c r="W356" i="3"/>
  <c r="U356" i="3"/>
  <c r="V356" i="3" s="1"/>
  <c r="T356" i="3"/>
  <c r="AI356" i="3" s="1"/>
  <c r="AO355" i="3"/>
  <c r="AP355" i="3" s="1"/>
  <c r="AL355" i="3"/>
  <c r="AK355" i="3"/>
  <c r="AJ355" i="3"/>
  <c r="AH355" i="3"/>
  <c r="AG355" i="3"/>
  <c r="AF355" i="3"/>
  <c r="AE355" i="3"/>
  <c r="AD355" i="3"/>
  <c r="AC355" i="3"/>
  <c r="AB355" i="3"/>
  <c r="X355" i="3"/>
  <c r="AA355" i="3" s="1"/>
  <c r="W355" i="3"/>
  <c r="U355" i="3"/>
  <c r="V355" i="3" s="1"/>
  <c r="T355" i="3"/>
  <c r="AI355" i="3" s="1"/>
  <c r="AO354" i="3"/>
  <c r="AP354" i="3" s="1"/>
  <c r="AL354" i="3"/>
  <c r="AK354" i="3"/>
  <c r="AJ354" i="3"/>
  <c r="AH354" i="3"/>
  <c r="AG354" i="3"/>
  <c r="AF354" i="3"/>
  <c r="AE354" i="3"/>
  <c r="AD354" i="3"/>
  <c r="AC354" i="3"/>
  <c r="AB354" i="3"/>
  <c r="X354" i="3"/>
  <c r="AA354" i="3" s="1"/>
  <c r="W354" i="3"/>
  <c r="U354" i="3"/>
  <c r="V354" i="3" s="1"/>
  <c r="T354" i="3"/>
  <c r="AI354" i="3" s="1"/>
  <c r="AO353" i="3"/>
  <c r="AP353" i="3" s="1"/>
  <c r="AL353" i="3"/>
  <c r="AK353" i="3"/>
  <c r="AJ353" i="3"/>
  <c r="AH353" i="3"/>
  <c r="AG353" i="3"/>
  <c r="AF353" i="3"/>
  <c r="AE353" i="3"/>
  <c r="AD353" i="3"/>
  <c r="AC353" i="3"/>
  <c r="AB353" i="3"/>
  <c r="X353" i="3"/>
  <c r="AA353" i="3" s="1"/>
  <c r="W353" i="3"/>
  <c r="U353" i="3"/>
  <c r="V353" i="3" s="1"/>
  <c r="T353" i="3"/>
  <c r="AI353" i="3" s="1"/>
  <c r="AO352" i="3"/>
  <c r="AP352" i="3" s="1"/>
  <c r="AL352" i="3"/>
  <c r="AK352" i="3"/>
  <c r="AJ352" i="3"/>
  <c r="AH352" i="3"/>
  <c r="AG352" i="3"/>
  <c r="AF352" i="3"/>
  <c r="AE352" i="3"/>
  <c r="AD352" i="3"/>
  <c r="AC352" i="3"/>
  <c r="AB352" i="3"/>
  <c r="X352" i="3"/>
  <c r="AA352" i="3" s="1"/>
  <c r="W352" i="3"/>
  <c r="U352" i="3"/>
  <c r="V352" i="3" s="1"/>
  <c r="T352" i="3"/>
  <c r="AI352" i="3" s="1"/>
  <c r="AO351" i="3"/>
  <c r="AP351" i="3" s="1"/>
  <c r="AL351" i="3"/>
  <c r="AK351" i="3"/>
  <c r="AJ351" i="3"/>
  <c r="AH351" i="3"/>
  <c r="AG351" i="3"/>
  <c r="AF351" i="3"/>
  <c r="AE351" i="3"/>
  <c r="AD351" i="3"/>
  <c r="AC351" i="3"/>
  <c r="AB351" i="3"/>
  <c r="X351" i="3"/>
  <c r="AA351" i="3" s="1"/>
  <c r="W351" i="3"/>
  <c r="U351" i="3"/>
  <c r="V351" i="3" s="1"/>
  <c r="T351" i="3"/>
  <c r="AI351" i="3" s="1"/>
  <c r="AO350" i="3"/>
  <c r="AP350" i="3" s="1"/>
  <c r="AL350" i="3"/>
  <c r="AK350" i="3"/>
  <c r="AJ350" i="3"/>
  <c r="AH350" i="3"/>
  <c r="AG350" i="3"/>
  <c r="AF350" i="3"/>
  <c r="AE350" i="3"/>
  <c r="AD350" i="3"/>
  <c r="AC350" i="3"/>
  <c r="AB350" i="3"/>
  <c r="X350" i="3"/>
  <c r="AA350" i="3" s="1"/>
  <c r="W350" i="3"/>
  <c r="U350" i="3"/>
  <c r="V350" i="3" s="1"/>
  <c r="T350" i="3"/>
  <c r="AI350" i="3" s="1"/>
  <c r="AO349" i="3"/>
  <c r="AP349" i="3" s="1"/>
  <c r="AL349" i="3"/>
  <c r="AK349" i="3"/>
  <c r="AJ349" i="3"/>
  <c r="AH349" i="3"/>
  <c r="AG349" i="3"/>
  <c r="AF349" i="3"/>
  <c r="AE349" i="3"/>
  <c r="AD349" i="3"/>
  <c r="AC349" i="3"/>
  <c r="AB349" i="3"/>
  <c r="X349" i="3"/>
  <c r="AA349" i="3" s="1"/>
  <c r="W349" i="3"/>
  <c r="U349" i="3"/>
  <c r="V349" i="3" s="1"/>
  <c r="T349" i="3"/>
  <c r="AI349" i="3" s="1"/>
  <c r="AO348" i="3"/>
  <c r="AP348" i="3" s="1"/>
  <c r="AL348" i="3"/>
  <c r="AK348" i="3"/>
  <c r="AJ348" i="3"/>
  <c r="AH348" i="3"/>
  <c r="AG348" i="3"/>
  <c r="AF348" i="3"/>
  <c r="AE348" i="3"/>
  <c r="AD348" i="3"/>
  <c r="AC348" i="3"/>
  <c r="AB348" i="3"/>
  <c r="X348" i="3"/>
  <c r="AA348" i="3" s="1"/>
  <c r="W348" i="3"/>
  <c r="U348" i="3"/>
  <c r="V348" i="3" s="1"/>
  <c r="T348" i="3"/>
  <c r="AI348" i="3" s="1"/>
  <c r="AO347" i="3"/>
  <c r="AP347" i="3" s="1"/>
  <c r="AL347" i="3"/>
  <c r="AK347" i="3"/>
  <c r="AJ347" i="3"/>
  <c r="AH347" i="3"/>
  <c r="AG347" i="3"/>
  <c r="AF347" i="3"/>
  <c r="AE347" i="3"/>
  <c r="AD347" i="3"/>
  <c r="AC347" i="3"/>
  <c r="AB347" i="3"/>
  <c r="X347" i="3"/>
  <c r="AA347" i="3" s="1"/>
  <c r="W347" i="3"/>
  <c r="U347" i="3"/>
  <c r="V347" i="3" s="1"/>
  <c r="T347" i="3"/>
  <c r="AI347" i="3" s="1"/>
  <c r="AO346" i="3"/>
  <c r="AP346" i="3" s="1"/>
  <c r="AL346" i="3"/>
  <c r="AK346" i="3"/>
  <c r="AJ346" i="3"/>
  <c r="AH346" i="3"/>
  <c r="AG346" i="3"/>
  <c r="AF346" i="3"/>
  <c r="AE346" i="3"/>
  <c r="AD346" i="3"/>
  <c r="AC346" i="3"/>
  <c r="AB346" i="3"/>
  <c r="X346" i="3"/>
  <c r="AA346" i="3" s="1"/>
  <c r="W346" i="3"/>
  <c r="U346" i="3"/>
  <c r="V346" i="3" s="1"/>
  <c r="T346" i="3"/>
  <c r="AI346" i="3" s="1"/>
  <c r="AO345" i="3"/>
  <c r="AP345" i="3" s="1"/>
  <c r="AL345" i="3"/>
  <c r="AK345" i="3"/>
  <c r="AJ345" i="3"/>
  <c r="AH345" i="3"/>
  <c r="AG345" i="3"/>
  <c r="AF345" i="3"/>
  <c r="AE345" i="3"/>
  <c r="AD345" i="3"/>
  <c r="AC345" i="3"/>
  <c r="AB345" i="3"/>
  <c r="X345" i="3"/>
  <c r="AA345" i="3" s="1"/>
  <c r="W345" i="3"/>
  <c r="U345" i="3"/>
  <c r="V345" i="3" s="1"/>
  <c r="T345" i="3"/>
  <c r="AI345" i="3" s="1"/>
  <c r="AO344" i="3"/>
  <c r="AP344" i="3" s="1"/>
  <c r="AL344" i="3"/>
  <c r="AK344" i="3"/>
  <c r="AJ344" i="3"/>
  <c r="AH344" i="3"/>
  <c r="AG344" i="3"/>
  <c r="AF344" i="3"/>
  <c r="AE344" i="3"/>
  <c r="AD344" i="3"/>
  <c r="AC344" i="3"/>
  <c r="AB344" i="3"/>
  <c r="X344" i="3"/>
  <c r="AA344" i="3" s="1"/>
  <c r="W344" i="3"/>
  <c r="U344" i="3"/>
  <c r="V344" i="3" s="1"/>
  <c r="T344" i="3"/>
  <c r="AI344" i="3" s="1"/>
  <c r="AO343" i="3"/>
  <c r="AP343" i="3" s="1"/>
  <c r="AL343" i="3"/>
  <c r="AK343" i="3"/>
  <c r="AJ343" i="3"/>
  <c r="AH343" i="3"/>
  <c r="AG343" i="3"/>
  <c r="AF343" i="3"/>
  <c r="AE343" i="3"/>
  <c r="AD343" i="3"/>
  <c r="AC343" i="3"/>
  <c r="AB343" i="3"/>
  <c r="X343" i="3"/>
  <c r="AA343" i="3" s="1"/>
  <c r="W343" i="3"/>
  <c r="U343" i="3"/>
  <c r="V343" i="3" s="1"/>
  <c r="T343" i="3"/>
  <c r="AI343" i="3" s="1"/>
  <c r="AO342" i="3"/>
  <c r="AP342" i="3" s="1"/>
  <c r="AL342" i="3"/>
  <c r="AK342" i="3"/>
  <c r="AJ342" i="3"/>
  <c r="AH342" i="3"/>
  <c r="AG342" i="3"/>
  <c r="AF342" i="3"/>
  <c r="AE342" i="3"/>
  <c r="AD342" i="3"/>
  <c r="AC342" i="3"/>
  <c r="AB342" i="3"/>
  <c r="X342" i="3"/>
  <c r="AA342" i="3" s="1"/>
  <c r="W342" i="3"/>
  <c r="U342" i="3"/>
  <c r="V342" i="3" s="1"/>
  <c r="T342" i="3"/>
  <c r="AI342" i="3" s="1"/>
  <c r="AO341" i="3"/>
  <c r="AP341" i="3" s="1"/>
  <c r="AL341" i="3"/>
  <c r="AK341" i="3"/>
  <c r="AJ341" i="3"/>
  <c r="AH341" i="3"/>
  <c r="AG341" i="3"/>
  <c r="AF341" i="3"/>
  <c r="AE341" i="3"/>
  <c r="AD341" i="3"/>
  <c r="AC341" i="3"/>
  <c r="AB341" i="3"/>
  <c r="X341" i="3"/>
  <c r="AA341" i="3" s="1"/>
  <c r="W341" i="3"/>
  <c r="U341" i="3"/>
  <c r="V341" i="3" s="1"/>
  <c r="T341" i="3"/>
  <c r="AI341" i="3" s="1"/>
  <c r="AO340" i="3"/>
  <c r="AP340" i="3" s="1"/>
  <c r="AL340" i="3"/>
  <c r="AK340" i="3"/>
  <c r="AJ340" i="3"/>
  <c r="AH340" i="3"/>
  <c r="AG340" i="3"/>
  <c r="AF340" i="3"/>
  <c r="AE340" i="3"/>
  <c r="AD340" i="3"/>
  <c r="AC340" i="3"/>
  <c r="AB340" i="3"/>
  <c r="X340" i="3"/>
  <c r="AA340" i="3" s="1"/>
  <c r="W340" i="3"/>
  <c r="U340" i="3"/>
  <c r="V340" i="3" s="1"/>
  <c r="T340" i="3"/>
  <c r="AI340" i="3" s="1"/>
  <c r="AO339" i="3"/>
  <c r="AP339" i="3" s="1"/>
  <c r="AL339" i="3"/>
  <c r="AK339" i="3"/>
  <c r="AJ339" i="3"/>
  <c r="AH339" i="3"/>
  <c r="AG339" i="3"/>
  <c r="AF339" i="3"/>
  <c r="AE339" i="3"/>
  <c r="AD339" i="3"/>
  <c r="AC339" i="3"/>
  <c r="AB339" i="3"/>
  <c r="X339" i="3"/>
  <c r="AA339" i="3" s="1"/>
  <c r="W339" i="3"/>
  <c r="U339" i="3"/>
  <c r="V339" i="3" s="1"/>
  <c r="T339" i="3"/>
  <c r="AI339" i="3" s="1"/>
  <c r="AO338" i="3"/>
  <c r="AP338" i="3" s="1"/>
  <c r="AL338" i="3"/>
  <c r="AK338" i="3"/>
  <c r="AJ338" i="3"/>
  <c r="AH338" i="3"/>
  <c r="AG338" i="3"/>
  <c r="AF338" i="3"/>
  <c r="AE338" i="3"/>
  <c r="AD338" i="3"/>
  <c r="AC338" i="3"/>
  <c r="AB338" i="3"/>
  <c r="X338" i="3"/>
  <c r="AA338" i="3" s="1"/>
  <c r="W338" i="3"/>
  <c r="U338" i="3"/>
  <c r="V338" i="3" s="1"/>
  <c r="T338" i="3"/>
  <c r="AI338" i="3" s="1"/>
  <c r="AO337" i="3"/>
  <c r="AP337" i="3" s="1"/>
  <c r="AL337" i="3"/>
  <c r="AK337" i="3"/>
  <c r="AJ337" i="3"/>
  <c r="AH337" i="3"/>
  <c r="AG337" i="3"/>
  <c r="AF337" i="3"/>
  <c r="AE337" i="3"/>
  <c r="AD337" i="3"/>
  <c r="AC337" i="3"/>
  <c r="AB337" i="3"/>
  <c r="X337" i="3"/>
  <c r="AA337" i="3" s="1"/>
  <c r="W337" i="3"/>
  <c r="U337" i="3"/>
  <c r="V337" i="3" s="1"/>
  <c r="T337" i="3"/>
  <c r="AI337" i="3" s="1"/>
  <c r="AO336" i="3"/>
  <c r="AP336" i="3" s="1"/>
  <c r="AL336" i="3"/>
  <c r="AK336" i="3"/>
  <c r="AJ336" i="3"/>
  <c r="AH336" i="3"/>
  <c r="AG336" i="3"/>
  <c r="AF336" i="3"/>
  <c r="AE336" i="3"/>
  <c r="AD336" i="3"/>
  <c r="AC336" i="3"/>
  <c r="AB336" i="3"/>
  <c r="X336" i="3"/>
  <c r="AA336" i="3" s="1"/>
  <c r="W336" i="3"/>
  <c r="U336" i="3"/>
  <c r="V336" i="3" s="1"/>
  <c r="T336" i="3"/>
  <c r="AI336" i="3" s="1"/>
  <c r="AO335" i="3"/>
  <c r="AP335" i="3" s="1"/>
  <c r="AL335" i="3"/>
  <c r="AK335" i="3"/>
  <c r="AJ335" i="3"/>
  <c r="AH335" i="3"/>
  <c r="AG335" i="3"/>
  <c r="AF335" i="3"/>
  <c r="AE335" i="3"/>
  <c r="AD335" i="3"/>
  <c r="AC335" i="3"/>
  <c r="AB335" i="3"/>
  <c r="X335" i="3"/>
  <c r="AA335" i="3" s="1"/>
  <c r="W335" i="3"/>
  <c r="U335" i="3"/>
  <c r="V335" i="3" s="1"/>
  <c r="T335" i="3"/>
  <c r="AI335" i="3" s="1"/>
  <c r="AO334" i="3"/>
  <c r="AP334" i="3" s="1"/>
  <c r="AL334" i="3"/>
  <c r="AK334" i="3"/>
  <c r="AJ334" i="3"/>
  <c r="AH334" i="3"/>
  <c r="AG334" i="3"/>
  <c r="AF334" i="3"/>
  <c r="AE334" i="3"/>
  <c r="AD334" i="3"/>
  <c r="AC334" i="3"/>
  <c r="AB334" i="3"/>
  <c r="X334" i="3"/>
  <c r="AA334" i="3" s="1"/>
  <c r="W334" i="3"/>
  <c r="U334" i="3"/>
  <c r="V334" i="3" s="1"/>
  <c r="T334" i="3"/>
  <c r="AI334" i="3" s="1"/>
  <c r="AO333" i="3"/>
  <c r="AP333" i="3" s="1"/>
  <c r="AL333" i="3"/>
  <c r="AK333" i="3"/>
  <c r="AJ333" i="3"/>
  <c r="AH333" i="3"/>
  <c r="AG333" i="3"/>
  <c r="AF333" i="3"/>
  <c r="AE333" i="3"/>
  <c r="AD333" i="3"/>
  <c r="AC333" i="3"/>
  <c r="AB333" i="3"/>
  <c r="X333" i="3"/>
  <c r="AA333" i="3" s="1"/>
  <c r="W333" i="3"/>
  <c r="U333" i="3"/>
  <c r="V333" i="3" s="1"/>
  <c r="T333" i="3"/>
  <c r="AI333" i="3" s="1"/>
  <c r="AO332" i="3"/>
  <c r="AP332" i="3" s="1"/>
  <c r="AL332" i="3"/>
  <c r="AK332" i="3"/>
  <c r="AJ332" i="3"/>
  <c r="AH332" i="3"/>
  <c r="AG332" i="3"/>
  <c r="AF332" i="3"/>
  <c r="AE332" i="3"/>
  <c r="AD332" i="3"/>
  <c r="AC332" i="3"/>
  <c r="AB332" i="3"/>
  <c r="X332" i="3"/>
  <c r="AA332" i="3" s="1"/>
  <c r="W332" i="3"/>
  <c r="U332" i="3"/>
  <c r="V332" i="3" s="1"/>
  <c r="T332" i="3"/>
  <c r="AI332" i="3" s="1"/>
  <c r="AO331" i="3"/>
  <c r="AP331" i="3" s="1"/>
  <c r="AL331" i="3"/>
  <c r="AK331" i="3"/>
  <c r="AJ331" i="3"/>
  <c r="AH331" i="3"/>
  <c r="AG331" i="3"/>
  <c r="AF331" i="3"/>
  <c r="AE331" i="3"/>
  <c r="AD331" i="3"/>
  <c r="AC331" i="3"/>
  <c r="AB331" i="3"/>
  <c r="X331" i="3"/>
  <c r="AA331" i="3" s="1"/>
  <c r="W331" i="3"/>
  <c r="U331" i="3"/>
  <c r="V331" i="3" s="1"/>
  <c r="T331" i="3"/>
  <c r="AI331" i="3" s="1"/>
  <c r="AO330" i="3"/>
  <c r="AP330" i="3" s="1"/>
  <c r="AL330" i="3"/>
  <c r="AK330" i="3"/>
  <c r="AJ330" i="3"/>
  <c r="AH330" i="3"/>
  <c r="AG330" i="3"/>
  <c r="AF330" i="3"/>
  <c r="AE330" i="3"/>
  <c r="AD330" i="3"/>
  <c r="AC330" i="3"/>
  <c r="AB330" i="3"/>
  <c r="X330" i="3"/>
  <c r="AA330" i="3" s="1"/>
  <c r="W330" i="3"/>
  <c r="U330" i="3"/>
  <c r="V330" i="3" s="1"/>
  <c r="T330" i="3"/>
  <c r="AI330" i="3" s="1"/>
  <c r="AO329" i="3"/>
  <c r="AP329" i="3" s="1"/>
  <c r="AL329" i="3"/>
  <c r="AK329" i="3"/>
  <c r="AJ329" i="3"/>
  <c r="AH329" i="3"/>
  <c r="AG329" i="3"/>
  <c r="AF329" i="3"/>
  <c r="AE329" i="3"/>
  <c r="AD329" i="3"/>
  <c r="AC329" i="3"/>
  <c r="AB329" i="3"/>
  <c r="X329" i="3"/>
  <c r="AA329" i="3" s="1"/>
  <c r="W329" i="3"/>
  <c r="U329" i="3"/>
  <c r="V329" i="3" s="1"/>
  <c r="T329" i="3"/>
  <c r="AI329" i="3" s="1"/>
  <c r="AO328" i="3"/>
  <c r="AP328" i="3" s="1"/>
  <c r="AL328" i="3"/>
  <c r="AK328" i="3"/>
  <c r="AJ328" i="3"/>
  <c r="AH328" i="3"/>
  <c r="AG328" i="3"/>
  <c r="AF328" i="3"/>
  <c r="AE328" i="3"/>
  <c r="AD328" i="3"/>
  <c r="AC328" i="3"/>
  <c r="AB328" i="3"/>
  <c r="X328" i="3"/>
  <c r="AA328" i="3" s="1"/>
  <c r="W328" i="3"/>
  <c r="U328" i="3"/>
  <c r="V328" i="3" s="1"/>
  <c r="T328" i="3"/>
  <c r="AI328" i="3" s="1"/>
  <c r="AO327" i="3"/>
  <c r="AP327" i="3" s="1"/>
  <c r="AL327" i="3"/>
  <c r="AK327" i="3"/>
  <c r="AJ327" i="3"/>
  <c r="AH327" i="3"/>
  <c r="AG327" i="3"/>
  <c r="AF327" i="3"/>
  <c r="AE327" i="3"/>
  <c r="AD327" i="3"/>
  <c r="AC327" i="3"/>
  <c r="AB327" i="3"/>
  <c r="X327" i="3"/>
  <c r="AA327" i="3" s="1"/>
  <c r="W327" i="3"/>
  <c r="U327" i="3"/>
  <c r="V327" i="3" s="1"/>
  <c r="T327" i="3"/>
  <c r="AI327" i="3" s="1"/>
  <c r="AO326" i="3"/>
  <c r="AP326" i="3" s="1"/>
  <c r="AL326" i="3"/>
  <c r="AK326" i="3"/>
  <c r="AJ326" i="3"/>
  <c r="AH326" i="3"/>
  <c r="AG326" i="3"/>
  <c r="AF326" i="3"/>
  <c r="AE326" i="3"/>
  <c r="AD326" i="3"/>
  <c r="AC326" i="3"/>
  <c r="AB326" i="3"/>
  <c r="X326" i="3"/>
  <c r="AA326" i="3" s="1"/>
  <c r="W326" i="3"/>
  <c r="U326" i="3"/>
  <c r="V326" i="3" s="1"/>
  <c r="T326" i="3"/>
  <c r="AI326" i="3" s="1"/>
  <c r="AO325" i="3"/>
  <c r="AP325" i="3" s="1"/>
  <c r="AL325" i="3"/>
  <c r="AK325" i="3"/>
  <c r="AJ325" i="3"/>
  <c r="AH325" i="3"/>
  <c r="AG325" i="3"/>
  <c r="AF325" i="3"/>
  <c r="AE325" i="3"/>
  <c r="AD325" i="3"/>
  <c r="AC325" i="3"/>
  <c r="AB325" i="3"/>
  <c r="X325" i="3"/>
  <c r="AA325" i="3" s="1"/>
  <c r="W325" i="3"/>
  <c r="U325" i="3"/>
  <c r="V325" i="3" s="1"/>
  <c r="T325" i="3"/>
  <c r="AI325" i="3" s="1"/>
  <c r="AO324" i="3"/>
  <c r="AP324" i="3" s="1"/>
  <c r="AL324" i="3"/>
  <c r="AK324" i="3"/>
  <c r="AJ324" i="3"/>
  <c r="AH324" i="3"/>
  <c r="AG324" i="3"/>
  <c r="AF324" i="3"/>
  <c r="AE324" i="3"/>
  <c r="AD324" i="3"/>
  <c r="AC324" i="3"/>
  <c r="AB324" i="3"/>
  <c r="X324" i="3"/>
  <c r="AA324" i="3" s="1"/>
  <c r="W324" i="3"/>
  <c r="U324" i="3"/>
  <c r="V324" i="3" s="1"/>
  <c r="T324" i="3"/>
  <c r="AI324" i="3" s="1"/>
  <c r="AO323" i="3"/>
  <c r="AP323" i="3" s="1"/>
  <c r="AL323" i="3"/>
  <c r="AK323" i="3"/>
  <c r="AJ323" i="3"/>
  <c r="AH323" i="3"/>
  <c r="AG323" i="3"/>
  <c r="AF323" i="3"/>
  <c r="AE323" i="3"/>
  <c r="AD323" i="3"/>
  <c r="AC323" i="3"/>
  <c r="AB323" i="3"/>
  <c r="X323" i="3"/>
  <c r="AA323" i="3" s="1"/>
  <c r="W323" i="3"/>
  <c r="U323" i="3"/>
  <c r="V323" i="3" s="1"/>
  <c r="T323" i="3"/>
  <c r="AI323" i="3" s="1"/>
  <c r="AO322" i="3"/>
  <c r="AP322" i="3" s="1"/>
  <c r="AL322" i="3"/>
  <c r="AK322" i="3"/>
  <c r="AJ322" i="3"/>
  <c r="AH322" i="3"/>
  <c r="AG322" i="3"/>
  <c r="AF322" i="3"/>
  <c r="AE322" i="3"/>
  <c r="AD322" i="3"/>
  <c r="AC322" i="3"/>
  <c r="AB322" i="3"/>
  <c r="X322" i="3"/>
  <c r="AA322" i="3" s="1"/>
  <c r="W322" i="3"/>
  <c r="U322" i="3"/>
  <c r="V322" i="3" s="1"/>
  <c r="T322" i="3"/>
  <c r="AI322" i="3" s="1"/>
  <c r="AO321" i="3"/>
  <c r="AP321" i="3" s="1"/>
  <c r="AL321" i="3"/>
  <c r="AK321" i="3"/>
  <c r="AJ321" i="3"/>
  <c r="AH321" i="3"/>
  <c r="AG321" i="3"/>
  <c r="AF321" i="3"/>
  <c r="AE321" i="3"/>
  <c r="AD321" i="3"/>
  <c r="AC321" i="3"/>
  <c r="AB321" i="3"/>
  <c r="X321" i="3"/>
  <c r="AA321" i="3" s="1"/>
  <c r="W321" i="3"/>
  <c r="U321" i="3"/>
  <c r="V321" i="3" s="1"/>
  <c r="T321" i="3"/>
  <c r="AI321" i="3" s="1"/>
  <c r="AO320" i="3"/>
  <c r="AP320" i="3" s="1"/>
  <c r="AL320" i="3"/>
  <c r="AK320" i="3"/>
  <c r="AJ320" i="3"/>
  <c r="AH320" i="3"/>
  <c r="AG320" i="3"/>
  <c r="AF320" i="3"/>
  <c r="AE320" i="3"/>
  <c r="AD320" i="3"/>
  <c r="AC320" i="3"/>
  <c r="AB320" i="3"/>
  <c r="X320" i="3"/>
  <c r="AA320" i="3" s="1"/>
  <c r="W320" i="3"/>
  <c r="U320" i="3"/>
  <c r="V320" i="3" s="1"/>
  <c r="T320" i="3"/>
  <c r="AI320" i="3" s="1"/>
  <c r="AO319" i="3"/>
  <c r="AP319" i="3" s="1"/>
  <c r="AL319" i="3"/>
  <c r="AK319" i="3"/>
  <c r="AJ319" i="3"/>
  <c r="AH319" i="3"/>
  <c r="AG319" i="3"/>
  <c r="AF319" i="3"/>
  <c r="AE319" i="3"/>
  <c r="AD319" i="3"/>
  <c r="AC319" i="3"/>
  <c r="AB319" i="3"/>
  <c r="X319" i="3"/>
  <c r="AA319" i="3" s="1"/>
  <c r="W319" i="3"/>
  <c r="U319" i="3"/>
  <c r="V319" i="3" s="1"/>
  <c r="T319" i="3"/>
  <c r="AI319" i="3" s="1"/>
  <c r="AO318" i="3"/>
  <c r="AP318" i="3" s="1"/>
  <c r="AL318" i="3"/>
  <c r="AK318" i="3"/>
  <c r="AJ318" i="3"/>
  <c r="AH318" i="3"/>
  <c r="AG318" i="3"/>
  <c r="AF318" i="3"/>
  <c r="AE318" i="3"/>
  <c r="AD318" i="3"/>
  <c r="AC318" i="3"/>
  <c r="AB318" i="3"/>
  <c r="X318" i="3"/>
  <c r="AA318" i="3" s="1"/>
  <c r="W318" i="3"/>
  <c r="U318" i="3"/>
  <c r="V318" i="3" s="1"/>
  <c r="T318" i="3"/>
  <c r="AI318" i="3" s="1"/>
  <c r="AO317" i="3"/>
  <c r="AP317" i="3" s="1"/>
  <c r="AL317" i="3"/>
  <c r="AK317" i="3"/>
  <c r="AJ317" i="3"/>
  <c r="AH317" i="3"/>
  <c r="AG317" i="3"/>
  <c r="AF317" i="3"/>
  <c r="AE317" i="3"/>
  <c r="AD317" i="3"/>
  <c r="AC317" i="3"/>
  <c r="AB317" i="3"/>
  <c r="X317" i="3"/>
  <c r="AA317" i="3" s="1"/>
  <c r="W317" i="3"/>
  <c r="U317" i="3"/>
  <c r="V317" i="3" s="1"/>
  <c r="T317" i="3"/>
  <c r="AI317" i="3" s="1"/>
  <c r="AO316" i="3"/>
  <c r="AP316" i="3" s="1"/>
  <c r="AL316" i="3"/>
  <c r="AK316" i="3"/>
  <c r="AJ316" i="3"/>
  <c r="AH316" i="3"/>
  <c r="AG316" i="3"/>
  <c r="AF316" i="3"/>
  <c r="AE316" i="3"/>
  <c r="AD316" i="3"/>
  <c r="AC316" i="3"/>
  <c r="AB316" i="3"/>
  <c r="X316" i="3"/>
  <c r="AA316" i="3" s="1"/>
  <c r="W316" i="3"/>
  <c r="U316" i="3"/>
  <c r="V316" i="3" s="1"/>
  <c r="T316" i="3"/>
  <c r="AI316" i="3" s="1"/>
  <c r="AO315" i="3"/>
  <c r="AP315" i="3" s="1"/>
  <c r="AL315" i="3"/>
  <c r="AK315" i="3"/>
  <c r="AJ315" i="3"/>
  <c r="AH315" i="3"/>
  <c r="AG315" i="3"/>
  <c r="AF315" i="3"/>
  <c r="AE315" i="3"/>
  <c r="AD315" i="3"/>
  <c r="AC315" i="3"/>
  <c r="AB315" i="3"/>
  <c r="X315" i="3"/>
  <c r="AA315" i="3" s="1"/>
  <c r="W315" i="3"/>
  <c r="U315" i="3"/>
  <c r="V315" i="3" s="1"/>
  <c r="T315" i="3"/>
  <c r="AI315" i="3" s="1"/>
  <c r="AO314" i="3"/>
  <c r="AP314" i="3" s="1"/>
  <c r="AL314" i="3"/>
  <c r="AK314" i="3"/>
  <c r="AJ314" i="3"/>
  <c r="AH314" i="3"/>
  <c r="AG314" i="3"/>
  <c r="AF314" i="3"/>
  <c r="AE314" i="3"/>
  <c r="AD314" i="3"/>
  <c r="AC314" i="3"/>
  <c r="AB314" i="3"/>
  <c r="X314" i="3"/>
  <c r="AA314" i="3" s="1"/>
  <c r="W314" i="3"/>
  <c r="U314" i="3"/>
  <c r="V314" i="3" s="1"/>
  <c r="T314" i="3"/>
  <c r="AI314" i="3" s="1"/>
  <c r="AO313" i="3"/>
  <c r="AP313" i="3" s="1"/>
  <c r="AL313" i="3"/>
  <c r="AK313" i="3"/>
  <c r="AJ313" i="3"/>
  <c r="AH313" i="3"/>
  <c r="AG313" i="3"/>
  <c r="AF313" i="3"/>
  <c r="AE313" i="3"/>
  <c r="AD313" i="3"/>
  <c r="AC313" i="3"/>
  <c r="AB313" i="3"/>
  <c r="X313" i="3"/>
  <c r="AA313" i="3" s="1"/>
  <c r="W313" i="3"/>
  <c r="U313" i="3"/>
  <c r="V313" i="3" s="1"/>
  <c r="T313" i="3"/>
  <c r="AI313" i="3" s="1"/>
  <c r="AO312" i="3"/>
  <c r="AP312" i="3" s="1"/>
  <c r="AL312" i="3"/>
  <c r="AK312" i="3"/>
  <c r="AJ312" i="3"/>
  <c r="AH312" i="3"/>
  <c r="AG312" i="3"/>
  <c r="AF312" i="3"/>
  <c r="AE312" i="3"/>
  <c r="AD312" i="3"/>
  <c r="AC312" i="3"/>
  <c r="AB312" i="3"/>
  <c r="X312" i="3"/>
  <c r="AA312" i="3" s="1"/>
  <c r="W312" i="3"/>
  <c r="U312" i="3"/>
  <c r="V312" i="3" s="1"/>
  <c r="T312" i="3"/>
  <c r="AI312" i="3" s="1"/>
  <c r="AO311" i="3"/>
  <c r="AP311" i="3" s="1"/>
  <c r="AL311" i="3"/>
  <c r="AK311" i="3"/>
  <c r="AJ311" i="3"/>
  <c r="AH311" i="3"/>
  <c r="AG311" i="3"/>
  <c r="AF311" i="3"/>
  <c r="AE311" i="3"/>
  <c r="AD311" i="3"/>
  <c r="AC311" i="3"/>
  <c r="AB311" i="3"/>
  <c r="X311" i="3"/>
  <c r="AA311" i="3" s="1"/>
  <c r="W311" i="3"/>
  <c r="U311" i="3"/>
  <c r="V311" i="3" s="1"/>
  <c r="T311" i="3"/>
  <c r="AI311" i="3" s="1"/>
  <c r="AO310" i="3"/>
  <c r="AP310" i="3" s="1"/>
  <c r="AL310" i="3"/>
  <c r="AK310" i="3"/>
  <c r="AJ310" i="3"/>
  <c r="AH310" i="3"/>
  <c r="AG310" i="3"/>
  <c r="AF310" i="3"/>
  <c r="AE310" i="3"/>
  <c r="AD310" i="3"/>
  <c r="AC310" i="3"/>
  <c r="AB310" i="3"/>
  <c r="X310" i="3"/>
  <c r="AA310" i="3" s="1"/>
  <c r="W310" i="3"/>
  <c r="U310" i="3"/>
  <c r="V310" i="3" s="1"/>
  <c r="T310" i="3"/>
  <c r="AI310" i="3" s="1"/>
  <c r="AO309" i="3"/>
  <c r="AP309" i="3" s="1"/>
  <c r="AL309" i="3"/>
  <c r="AK309" i="3"/>
  <c r="AJ309" i="3"/>
  <c r="AH309" i="3"/>
  <c r="AG309" i="3"/>
  <c r="AF309" i="3"/>
  <c r="AE309" i="3"/>
  <c r="AD309" i="3"/>
  <c r="AC309" i="3"/>
  <c r="AB309" i="3"/>
  <c r="X309" i="3"/>
  <c r="AA309" i="3" s="1"/>
  <c r="W309" i="3"/>
  <c r="U309" i="3"/>
  <c r="V309" i="3" s="1"/>
  <c r="T309" i="3"/>
  <c r="AI309" i="3" s="1"/>
  <c r="AO308" i="3"/>
  <c r="AP308" i="3" s="1"/>
  <c r="AL308" i="3"/>
  <c r="AK308" i="3"/>
  <c r="AJ308" i="3"/>
  <c r="AH308" i="3"/>
  <c r="AG308" i="3"/>
  <c r="AF308" i="3"/>
  <c r="AE308" i="3"/>
  <c r="AD308" i="3"/>
  <c r="AC308" i="3"/>
  <c r="AB308" i="3"/>
  <c r="X308" i="3"/>
  <c r="AA308" i="3" s="1"/>
  <c r="W308" i="3"/>
  <c r="U308" i="3"/>
  <c r="V308" i="3" s="1"/>
  <c r="T308" i="3"/>
  <c r="AI308" i="3" s="1"/>
  <c r="AO307" i="3"/>
  <c r="AP307" i="3" s="1"/>
  <c r="AL307" i="3"/>
  <c r="AK307" i="3"/>
  <c r="AJ307" i="3"/>
  <c r="AH307" i="3"/>
  <c r="AG307" i="3"/>
  <c r="AF307" i="3"/>
  <c r="AE307" i="3"/>
  <c r="AD307" i="3"/>
  <c r="AC307" i="3"/>
  <c r="AB307" i="3"/>
  <c r="X307" i="3"/>
  <c r="AA307" i="3" s="1"/>
  <c r="W307" i="3"/>
  <c r="U307" i="3"/>
  <c r="V307" i="3" s="1"/>
  <c r="T307" i="3"/>
  <c r="AI307" i="3" s="1"/>
  <c r="AO306" i="3"/>
  <c r="AP306" i="3" s="1"/>
  <c r="AL306" i="3"/>
  <c r="AK306" i="3"/>
  <c r="AJ306" i="3"/>
  <c r="AH306" i="3"/>
  <c r="AG306" i="3"/>
  <c r="AF306" i="3"/>
  <c r="AE306" i="3"/>
  <c r="AD306" i="3"/>
  <c r="AC306" i="3"/>
  <c r="AB306" i="3"/>
  <c r="X306" i="3"/>
  <c r="AA306" i="3" s="1"/>
  <c r="W306" i="3"/>
  <c r="U306" i="3"/>
  <c r="V306" i="3" s="1"/>
  <c r="T306" i="3"/>
  <c r="AI306" i="3" s="1"/>
  <c r="AO305" i="3"/>
  <c r="AP305" i="3" s="1"/>
  <c r="AL305" i="3"/>
  <c r="AK305" i="3"/>
  <c r="AJ305" i="3"/>
  <c r="AH305" i="3"/>
  <c r="AG305" i="3"/>
  <c r="AF305" i="3"/>
  <c r="AE305" i="3"/>
  <c r="AD305" i="3"/>
  <c r="AC305" i="3"/>
  <c r="AB305" i="3"/>
  <c r="X305" i="3"/>
  <c r="AA305" i="3" s="1"/>
  <c r="W305" i="3"/>
  <c r="U305" i="3"/>
  <c r="V305" i="3" s="1"/>
  <c r="T305" i="3"/>
  <c r="AI305" i="3" s="1"/>
  <c r="AO304" i="3"/>
  <c r="AP304" i="3" s="1"/>
  <c r="AL304" i="3"/>
  <c r="AK304" i="3"/>
  <c r="AJ304" i="3"/>
  <c r="AH304" i="3"/>
  <c r="AG304" i="3"/>
  <c r="AF304" i="3"/>
  <c r="AE304" i="3"/>
  <c r="AD304" i="3"/>
  <c r="AC304" i="3"/>
  <c r="AB304" i="3"/>
  <c r="X304" i="3"/>
  <c r="AA304" i="3" s="1"/>
  <c r="W304" i="3"/>
  <c r="U304" i="3"/>
  <c r="V304" i="3" s="1"/>
  <c r="T304" i="3"/>
  <c r="AI304" i="3" s="1"/>
  <c r="AO303" i="3"/>
  <c r="AP303" i="3" s="1"/>
  <c r="AL303" i="3"/>
  <c r="AK303" i="3"/>
  <c r="AJ303" i="3"/>
  <c r="AH303" i="3"/>
  <c r="AG303" i="3"/>
  <c r="AF303" i="3"/>
  <c r="AE303" i="3"/>
  <c r="AD303" i="3"/>
  <c r="AC303" i="3"/>
  <c r="AB303" i="3"/>
  <c r="X303" i="3"/>
  <c r="AA303" i="3" s="1"/>
  <c r="W303" i="3"/>
  <c r="U303" i="3"/>
  <c r="V303" i="3" s="1"/>
  <c r="T303" i="3"/>
  <c r="AI303" i="3" s="1"/>
  <c r="AO302" i="3"/>
  <c r="AP302" i="3" s="1"/>
  <c r="AL302" i="3"/>
  <c r="AK302" i="3"/>
  <c r="AJ302" i="3"/>
  <c r="AH302" i="3"/>
  <c r="AG302" i="3"/>
  <c r="AF302" i="3"/>
  <c r="AE302" i="3"/>
  <c r="AD302" i="3"/>
  <c r="AC302" i="3"/>
  <c r="AB302" i="3"/>
  <c r="X302" i="3"/>
  <c r="AA302" i="3" s="1"/>
  <c r="W302" i="3"/>
  <c r="U302" i="3"/>
  <c r="V302" i="3" s="1"/>
  <c r="T302" i="3"/>
  <c r="AI302" i="3" s="1"/>
  <c r="AO301" i="3"/>
  <c r="AP301" i="3" s="1"/>
  <c r="AL301" i="3"/>
  <c r="AK301" i="3"/>
  <c r="AJ301" i="3"/>
  <c r="AH301" i="3"/>
  <c r="AG301" i="3"/>
  <c r="AF301" i="3"/>
  <c r="AE301" i="3"/>
  <c r="AD301" i="3"/>
  <c r="AC301" i="3"/>
  <c r="AB301" i="3"/>
  <c r="X301" i="3"/>
  <c r="AA301" i="3" s="1"/>
  <c r="W301" i="3"/>
  <c r="U301" i="3"/>
  <c r="V301" i="3" s="1"/>
  <c r="T301" i="3"/>
  <c r="AI301" i="3" s="1"/>
  <c r="AO300" i="3"/>
  <c r="AP300" i="3" s="1"/>
  <c r="AL300" i="3"/>
  <c r="AK300" i="3"/>
  <c r="AJ300" i="3"/>
  <c r="AH300" i="3"/>
  <c r="AG300" i="3"/>
  <c r="AF300" i="3"/>
  <c r="AE300" i="3"/>
  <c r="AD300" i="3"/>
  <c r="AC300" i="3"/>
  <c r="AB300" i="3"/>
  <c r="X300" i="3"/>
  <c r="AA300" i="3" s="1"/>
  <c r="W300" i="3"/>
  <c r="U300" i="3"/>
  <c r="V300" i="3" s="1"/>
  <c r="T300" i="3"/>
  <c r="AI300" i="3" s="1"/>
  <c r="AO299" i="3"/>
  <c r="AP299" i="3" s="1"/>
  <c r="AL299" i="3"/>
  <c r="AK299" i="3"/>
  <c r="AJ299" i="3"/>
  <c r="AH299" i="3"/>
  <c r="AG299" i="3"/>
  <c r="AF299" i="3"/>
  <c r="AE299" i="3"/>
  <c r="AD299" i="3"/>
  <c r="AC299" i="3"/>
  <c r="AB299" i="3"/>
  <c r="X299" i="3"/>
  <c r="AA299" i="3" s="1"/>
  <c r="W299" i="3"/>
  <c r="U299" i="3"/>
  <c r="V299" i="3" s="1"/>
  <c r="T299" i="3"/>
  <c r="AI299" i="3" s="1"/>
  <c r="AO298" i="3"/>
  <c r="AP298" i="3" s="1"/>
  <c r="AL298" i="3"/>
  <c r="AK298" i="3"/>
  <c r="AJ298" i="3"/>
  <c r="AH298" i="3"/>
  <c r="AG298" i="3"/>
  <c r="AF298" i="3"/>
  <c r="AE298" i="3"/>
  <c r="AD298" i="3"/>
  <c r="AC298" i="3"/>
  <c r="AB298" i="3"/>
  <c r="X298" i="3"/>
  <c r="AA298" i="3" s="1"/>
  <c r="W298" i="3"/>
  <c r="U298" i="3"/>
  <c r="V298" i="3" s="1"/>
  <c r="T298" i="3"/>
  <c r="AI298" i="3" s="1"/>
  <c r="AO297" i="3"/>
  <c r="AP297" i="3" s="1"/>
  <c r="AL297" i="3"/>
  <c r="AK297" i="3"/>
  <c r="AJ297" i="3"/>
  <c r="AH297" i="3"/>
  <c r="AG297" i="3"/>
  <c r="AF297" i="3"/>
  <c r="AE297" i="3"/>
  <c r="AD297" i="3"/>
  <c r="AC297" i="3"/>
  <c r="AB297" i="3"/>
  <c r="X297" i="3"/>
  <c r="AA297" i="3" s="1"/>
  <c r="W297" i="3"/>
  <c r="U297" i="3"/>
  <c r="V297" i="3" s="1"/>
  <c r="T297" i="3"/>
  <c r="AI297" i="3" s="1"/>
  <c r="AO296" i="3"/>
  <c r="AP296" i="3" s="1"/>
  <c r="AL296" i="3"/>
  <c r="AK296" i="3"/>
  <c r="AJ296" i="3"/>
  <c r="AH296" i="3"/>
  <c r="AG296" i="3"/>
  <c r="AF296" i="3"/>
  <c r="AE296" i="3"/>
  <c r="AD296" i="3"/>
  <c r="AC296" i="3"/>
  <c r="AB296" i="3"/>
  <c r="X296" i="3"/>
  <c r="AA296" i="3" s="1"/>
  <c r="W296" i="3"/>
  <c r="U296" i="3"/>
  <c r="V296" i="3" s="1"/>
  <c r="T296" i="3"/>
  <c r="AI296" i="3" s="1"/>
  <c r="AO295" i="3"/>
  <c r="AP295" i="3" s="1"/>
  <c r="AL295" i="3"/>
  <c r="AK295" i="3"/>
  <c r="AJ295" i="3"/>
  <c r="AH295" i="3"/>
  <c r="AG295" i="3"/>
  <c r="AF295" i="3"/>
  <c r="AE295" i="3"/>
  <c r="AD295" i="3"/>
  <c r="AC295" i="3"/>
  <c r="AB295" i="3"/>
  <c r="X295" i="3"/>
  <c r="AA295" i="3" s="1"/>
  <c r="W295" i="3"/>
  <c r="U295" i="3"/>
  <c r="V295" i="3" s="1"/>
  <c r="T295" i="3"/>
  <c r="AI295" i="3" s="1"/>
  <c r="AO294" i="3"/>
  <c r="AP294" i="3" s="1"/>
  <c r="AL294" i="3"/>
  <c r="AK294" i="3"/>
  <c r="AJ294" i="3"/>
  <c r="AH294" i="3"/>
  <c r="AG294" i="3"/>
  <c r="AF294" i="3"/>
  <c r="AE294" i="3"/>
  <c r="AD294" i="3"/>
  <c r="AC294" i="3"/>
  <c r="AB294" i="3"/>
  <c r="X294" i="3"/>
  <c r="AA294" i="3" s="1"/>
  <c r="W294" i="3"/>
  <c r="U294" i="3"/>
  <c r="V294" i="3" s="1"/>
  <c r="T294" i="3"/>
  <c r="AI294" i="3" s="1"/>
  <c r="AO293" i="3"/>
  <c r="AP293" i="3" s="1"/>
  <c r="AL293" i="3"/>
  <c r="AK293" i="3"/>
  <c r="AJ293" i="3"/>
  <c r="AH293" i="3"/>
  <c r="AG293" i="3"/>
  <c r="AF293" i="3"/>
  <c r="AE293" i="3"/>
  <c r="AD293" i="3"/>
  <c r="AC293" i="3"/>
  <c r="AB293" i="3"/>
  <c r="X293" i="3"/>
  <c r="AA293" i="3" s="1"/>
  <c r="W293" i="3"/>
  <c r="U293" i="3"/>
  <c r="V293" i="3" s="1"/>
  <c r="T293" i="3"/>
  <c r="AI293" i="3" s="1"/>
  <c r="AO292" i="3"/>
  <c r="AP292" i="3" s="1"/>
  <c r="AL292" i="3"/>
  <c r="AK292" i="3"/>
  <c r="AJ292" i="3"/>
  <c r="AH292" i="3"/>
  <c r="AG292" i="3"/>
  <c r="AF292" i="3"/>
  <c r="AE292" i="3"/>
  <c r="AD292" i="3"/>
  <c r="AC292" i="3"/>
  <c r="AB292" i="3"/>
  <c r="X292" i="3"/>
  <c r="AA292" i="3" s="1"/>
  <c r="W292" i="3"/>
  <c r="U292" i="3"/>
  <c r="V292" i="3" s="1"/>
  <c r="T292" i="3"/>
  <c r="AI292" i="3" s="1"/>
  <c r="AO291" i="3"/>
  <c r="AP291" i="3" s="1"/>
  <c r="AL291" i="3"/>
  <c r="AK291" i="3"/>
  <c r="AJ291" i="3"/>
  <c r="AH291" i="3"/>
  <c r="AG291" i="3"/>
  <c r="AF291" i="3"/>
  <c r="AE291" i="3"/>
  <c r="AD291" i="3"/>
  <c r="AC291" i="3"/>
  <c r="AB291" i="3"/>
  <c r="X291" i="3"/>
  <c r="AA291" i="3" s="1"/>
  <c r="W291" i="3"/>
  <c r="U291" i="3"/>
  <c r="V291" i="3" s="1"/>
  <c r="T291" i="3"/>
  <c r="AI291" i="3" s="1"/>
  <c r="AO290" i="3"/>
  <c r="AP290" i="3" s="1"/>
  <c r="AL290" i="3"/>
  <c r="AK290" i="3"/>
  <c r="AJ290" i="3"/>
  <c r="AH290" i="3"/>
  <c r="AG290" i="3"/>
  <c r="AF290" i="3"/>
  <c r="AE290" i="3"/>
  <c r="AD290" i="3"/>
  <c r="AC290" i="3"/>
  <c r="AB290" i="3"/>
  <c r="X290" i="3"/>
  <c r="AA290" i="3" s="1"/>
  <c r="W290" i="3"/>
  <c r="U290" i="3"/>
  <c r="V290" i="3" s="1"/>
  <c r="T290" i="3"/>
  <c r="AI290" i="3" s="1"/>
  <c r="AO289" i="3"/>
  <c r="AP289" i="3" s="1"/>
  <c r="AL289" i="3"/>
  <c r="AK289" i="3"/>
  <c r="AJ289" i="3"/>
  <c r="AH289" i="3"/>
  <c r="AG289" i="3"/>
  <c r="AF289" i="3"/>
  <c r="AE289" i="3"/>
  <c r="AD289" i="3"/>
  <c r="AC289" i="3"/>
  <c r="AB289" i="3"/>
  <c r="X289" i="3"/>
  <c r="AA289" i="3" s="1"/>
  <c r="W289" i="3"/>
  <c r="U289" i="3"/>
  <c r="V289" i="3" s="1"/>
  <c r="T289" i="3"/>
  <c r="AI289" i="3" s="1"/>
  <c r="AO288" i="3"/>
  <c r="AP288" i="3" s="1"/>
  <c r="AL288" i="3"/>
  <c r="AK288" i="3"/>
  <c r="AJ288" i="3"/>
  <c r="AH288" i="3"/>
  <c r="AG288" i="3"/>
  <c r="AF288" i="3"/>
  <c r="AE288" i="3"/>
  <c r="AD288" i="3"/>
  <c r="AC288" i="3"/>
  <c r="AB288" i="3"/>
  <c r="X288" i="3"/>
  <c r="AA288" i="3" s="1"/>
  <c r="W288" i="3"/>
  <c r="U288" i="3"/>
  <c r="V288" i="3" s="1"/>
  <c r="T288" i="3"/>
  <c r="AI288" i="3" s="1"/>
  <c r="AO287" i="3"/>
  <c r="AP287" i="3" s="1"/>
  <c r="AL287" i="3"/>
  <c r="AK287" i="3"/>
  <c r="AJ287" i="3"/>
  <c r="AH287" i="3"/>
  <c r="AG287" i="3"/>
  <c r="AF287" i="3"/>
  <c r="AE287" i="3"/>
  <c r="AD287" i="3"/>
  <c r="AC287" i="3"/>
  <c r="AB287" i="3"/>
  <c r="X287" i="3"/>
  <c r="AA287" i="3" s="1"/>
  <c r="W287" i="3"/>
  <c r="U287" i="3"/>
  <c r="V287" i="3" s="1"/>
  <c r="T287" i="3"/>
  <c r="AI287" i="3" s="1"/>
  <c r="AO286" i="3"/>
  <c r="AP286" i="3" s="1"/>
  <c r="AL286" i="3"/>
  <c r="AK286" i="3"/>
  <c r="AJ286" i="3"/>
  <c r="AH286" i="3"/>
  <c r="AG286" i="3"/>
  <c r="AF286" i="3"/>
  <c r="AE286" i="3"/>
  <c r="AD286" i="3"/>
  <c r="AC286" i="3"/>
  <c r="AB286" i="3"/>
  <c r="X286" i="3"/>
  <c r="AA286" i="3" s="1"/>
  <c r="W286" i="3"/>
  <c r="U286" i="3"/>
  <c r="V286" i="3" s="1"/>
  <c r="T286" i="3"/>
  <c r="AI286" i="3" s="1"/>
  <c r="AO285" i="3"/>
  <c r="AP285" i="3" s="1"/>
  <c r="AL285" i="3"/>
  <c r="AK285" i="3"/>
  <c r="AJ285" i="3"/>
  <c r="AH285" i="3"/>
  <c r="AG285" i="3"/>
  <c r="AF285" i="3"/>
  <c r="AE285" i="3"/>
  <c r="AD285" i="3"/>
  <c r="AC285" i="3"/>
  <c r="AB285" i="3"/>
  <c r="X285" i="3"/>
  <c r="AA285" i="3" s="1"/>
  <c r="W285" i="3"/>
  <c r="U285" i="3"/>
  <c r="V285" i="3" s="1"/>
  <c r="T285" i="3"/>
  <c r="AI285" i="3" s="1"/>
  <c r="AO284" i="3"/>
  <c r="AP284" i="3" s="1"/>
  <c r="AL284" i="3"/>
  <c r="AK284" i="3"/>
  <c r="AJ284" i="3"/>
  <c r="AH284" i="3"/>
  <c r="AG284" i="3"/>
  <c r="AF284" i="3"/>
  <c r="AE284" i="3"/>
  <c r="AD284" i="3"/>
  <c r="AC284" i="3"/>
  <c r="AB284" i="3"/>
  <c r="X284" i="3"/>
  <c r="AA284" i="3" s="1"/>
  <c r="W284" i="3"/>
  <c r="U284" i="3"/>
  <c r="V284" i="3" s="1"/>
  <c r="T284" i="3"/>
  <c r="AI284" i="3" s="1"/>
  <c r="AO283" i="3"/>
  <c r="AP283" i="3" s="1"/>
  <c r="AL283" i="3"/>
  <c r="AK283" i="3"/>
  <c r="AJ283" i="3"/>
  <c r="AH283" i="3"/>
  <c r="AG283" i="3"/>
  <c r="AF283" i="3"/>
  <c r="AE283" i="3"/>
  <c r="AD283" i="3"/>
  <c r="AC283" i="3"/>
  <c r="AB283" i="3"/>
  <c r="X283" i="3"/>
  <c r="AA283" i="3" s="1"/>
  <c r="W283" i="3"/>
  <c r="U283" i="3"/>
  <c r="V283" i="3" s="1"/>
  <c r="T283" i="3"/>
  <c r="AI283" i="3" s="1"/>
  <c r="AO282" i="3"/>
  <c r="AP282" i="3" s="1"/>
  <c r="AL282" i="3"/>
  <c r="AK282" i="3"/>
  <c r="AJ282" i="3"/>
  <c r="AH282" i="3"/>
  <c r="AG282" i="3"/>
  <c r="AF282" i="3"/>
  <c r="AE282" i="3"/>
  <c r="AD282" i="3"/>
  <c r="AC282" i="3"/>
  <c r="AB282" i="3"/>
  <c r="X282" i="3"/>
  <c r="AA282" i="3" s="1"/>
  <c r="W282" i="3"/>
  <c r="U282" i="3"/>
  <c r="V282" i="3" s="1"/>
  <c r="T282" i="3"/>
  <c r="AI282" i="3" s="1"/>
  <c r="AO281" i="3"/>
  <c r="AP281" i="3" s="1"/>
  <c r="AL281" i="3"/>
  <c r="AK281" i="3"/>
  <c r="AJ281" i="3"/>
  <c r="AH281" i="3"/>
  <c r="AG281" i="3"/>
  <c r="AF281" i="3"/>
  <c r="AE281" i="3"/>
  <c r="AD281" i="3"/>
  <c r="AC281" i="3"/>
  <c r="AB281" i="3"/>
  <c r="X281" i="3"/>
  <c r="AA281" i="3" s="1"/>
  <c r="W281" i="3"/>
  <c r="U281" i="3"/>
  <c r="V281" i="3" s="1"/>
  <c r="T281" i="3"/>
  <c r="AI281" i="3" s="1"/>
  <c r="AO280" i="3"/>
  <c r="AP280" i="3" s="1"/>
  <c r="AL280" i="3"/>
  <c r="AK280" i="3"/>
  <c r="AJ280" i="3"/>
  <c r="AH280" i="3"/>
  <c r="AG280" i="3"/>
  <c r="AF280" i="3"/>
  <c r="AE280" i="3"/>
  <c r="AD280" i="3"/>
  <c r="AC280" i="3"/>
  <c r="AB280" i="3"/>
  <c r="X280" i="3"/>
  <c r="AA280" i="3" s="1"/>
  <c r="W280" i="3"/>
  <c r="U280" i="3"/>
  <c r="V280" i="3" s="1"/>
  <c r="T280" i="3"/>
  <c r="AI280" i="3" s="1"/>
  <c r="AO279" i="3"/>
  <c r="AP279" i="3" s="1"/>
  <c r="AL279" i="3"/>
  <c r="AK279" i="3"/>
  <c r="AJ279" i="3"/>
  <c r="AH279" i="3"/>
  <c r="AG279" i="3"/>
  <c r="AF279" i="3"/>
  <c r="AE279" i="3"/>
  <c r="AD279" i="3"/>
  <c r="AC279" i="3"/>
  <c r="AB279" i="3"/>
  <c r="X279" i="3"/>
  <c r="AA279" i="3" s="1"/>
  <c r="W279" i="3"/>
  <c r="U279" i="3"/>
  <c r="V279" i="3" s="1"/>
  <c r="T279" i="3"/>
  <c r="AI279" i="3" s="1"/>
  <c r="AO278" i="3"/>
  <c r="AP278" i="3" s="1"/>
  <c r="AL278" i="3"/>
  <c r="AK278" i="3"/>
  <c r="AJ278" i="3"/>
  <c r="AH278" i="3"/>
  <c r="AG278" i="3"/>
  <c r="AF278" i="3"/>
  <c r="AE278" i="3"/>
  <c r="AD278" i="3"/>
  <c r="AC278" i="3"/>
  <c r="AB278" i="3"/>
  <c r="X278" i="3"/>
  <c r="AA278" i="3" s="1"/>
  <c r="W278" i="3"/>
  <c r="U278" i="3"/>
  <c r="V278" i="3" s="1"/>
  <c r="T278" i="3"/>
  <c r="AI278" i="3" s="1"/>
  <c r="AO277" i="3"/>
  <c r="AP277" i="3" s="1"/>
  <c r="AL277" i="3"/>
  <c r="AK277" i="3"/>
  <c r="AJ277" i="3"/>
  <c r="AH277" i="3"/>
  <c r="AG277" i="3"/>
  <c r="AF277" i="3"/>
  <c r="AE277" i="3"/>
  <c r="AD277" i="3"/>
  <c r="AC277" i="3"/>
  <c r="AB277" i="3"/>
  <c r="X277" i="3"/>
  <c r="AA277" i="3" s="1"/>
  <c r="W277" i="3"/>
  <c r="U277" i="3"/>
  <c r="V277" i="3" s="1"/>
  <c r="T277" i="3"/>
  <c r="AI277" i="3" s="1"/>
  <c r="AO276" i="3"/>
  <c r="AP276" i="3" s="1"/>
  <c r="AL276" i="3"/>
  <c r="AK276" i="3"/>
  <c r="AJ276" i="3"/>
  <c r="AH276" i="3"/>
  <c r="AG276" i="3"/>
  <c r="AF276" i="3"/>
  <c r="AE276" i="3"/>
  <c r="AD276" i="3"/>
  <c r="AC276" i="3"/>
  <c r="AB276" i="3"/>
  <c r="X276" i="3"/>
  <c r="AA276" i="3" s="1"/>
  <c r="W276" i="3"/>
  <c r="U276" i="3"/>
  <c r="V276" i="3" s="1"/>
  <c r="T276" i="3"/>
  <c r="AI276" i="3" s="1"/>
  <c r="AO275" i="3"/>
  <c r="AP275" i="3" s="1"/>
  <c r="AL275" i="3"/>
  <c r="AK275" i="3"/>
  <c r="AJ275" i="3"/>
  <c r="AH275" i="3"/>
  <c r="AG275" i="3"/>
  <c r="AF275" i="3"/>
  <c r="AE275" i="3"/>
  <c r="AD275" i="3"/>
  <c r="AC275" i="3"/>
  <c r="AB275" i="3"/>
  <c r="X275" i="3"/>
  <c r="AA275" i="3" s="1"/>
  <c r="W275" i="3"/>
  <c r="U275" i="3"/>
  <c r="V275" i="3" s="1"/>
  <c r="T275" i="3"/>
  <c r="AI275" i="3" s="1"/>
  <c r="AO274" i="3"/>
  <c r="AP274" i="3" s="1"/>
  <c r="AL274" i="3"/>
  <c r="AK274" i="3"/>
  <c r="AJ274" i="3"/>
  <c r="AH274" i="3"/>
  <c r="AG274" i="3"/>
  <c r="AF274" i="3"/>
  <c r="AE274" i="3"/>
  <c r="AD274" i="3"/>
  <c r="AC274" i="3"/>
  <c r="AB274" i="3"/>
  <c r="X274" i="3"/>
  <c r="AA274" i="3" s="1"/>
  <c r="W274" i="3"/>
  <c r="U274" i="3"/>
  <c r="V274" i="3" s="1"/>
  <c r="T274" i="3"/>
  <c r="AI274" i="3" s="1"/>
  <c r="AO273" i="3"/>
  <c r="AP273" i="3" s="1"/>
  <c r="AL273" i="3"/>
  <c r="AK273" i="3"/>
  <c r="AJ273" i="3"/>
  <c r="AH273" i="3"/>
  <c r="AG273" i="3"/>
  <c r="AF273" i="3"/>
  <c r="AE273" i="3"/>
  <c r="AD273" i="3"/>
  <c r="AC273" i="3"/>
  <c r="AB273" i="3"/>
  <c r="X273" i="3"/>
  <c r="AA273" i="3" s="1"/>
  <c r="W273" i="3"/>
  <c r="U273" i="3"/>
  <c r="V273" i="3" s="1"/>
  <c r="T273" i="3"/>
  <c r="AI273" i="3" s="1"/>
  <c r="AO272" i="3"/>
  <c r="AP272" i="3" s="1"/>
  <c r="AL272" i="3"/>
  <c r="AK272" i="3"/>
  <c r="AJ272" i="3"/>
  <c r="AH272" i="3"/>
  <c r="AG272" i="3"/>
  <c r="AF272" i="3"/>
  <c r="AE272" i="3"/>
  <c r="AD272" i="3"/>
  <c r="AC272" i="3"/>
  <c r="AB272" i="3"/>
  <c r="X272" i="3"/>
  <c r="AA272" i="3" s="1"/>
  <c r="W272" i="3"/>
  <c r="U272" i="3"/>
  <c r="V272" i="3" s="1"/>
  <c r="T272" i="3"/>
  <c r="AI272" i="3" s="1"/>
  <c r="AO271" i="3"/>
  <c r="AP271" i="3" s="1"/>
  <c r="AL271" i="3"/>
  <c r="AK271" i="3"/>
  <c r="AJ271" i="3"/>
  <c r="AH271" i="3"/>
  <c r="AG271" i="3"/>
  <c r="AF271" i="3"/>
  <c r="AE271" i="3"/>
  <c r="AD271" i="3"/>
  <c r="AC271" i="3"/>
  <c r="AB271" i="3"/>
  <c r="X271" i="3"/>
  <c r="AA271" i="3" s="1"/>
  <c r="W271" i="3"/>
  <c r="U271" i="3"/>
  <c r="V271" i="3" s="1"/>
  <c r="T271" i="3"/>
  <c r="AI271" i="3" s="1"/>
  <c r="AO270" i="3"/>
  <c r="AP270" i="3" s="1"/>
  <c r="AL270" i="3"/>
  <c r="AK270" i="3"/>
  <c r="AJ270" i="3"/>
  <c r="AH270" i="3"/>
  <c r="AG270" i="3"/>
  <c r="AF270" i="3"/>
  <c r="AE270" i="3"/>
  <c r="AD270" i="3"/>
  <c r="AC270" i="3"/>
  <c r="AB270" i="3"/>
  <c r="X270" i="3"/>
  <c r="AA270" i="3" s="1"/>
  <c r="W270" i="3"/>
  <c r="U270" i="3"/>
  <c r="V270" i="3" s="1"/>
  <c r="T270" i="3"/>
  <c r="AI270" i="3" s="1"/>
  <c r="AO269" i="3"/>
  <c r="AP269" i="3" s="1"/>
  <c r="AL269" i="3"/>
  <c r="AK269" i="3"/>
  <c r="AJ269" i="3"/>
  <c r="AH269" i="3"/>
  <c r="AG269" i="3"/>
  <c r="AF269" i="3"/>
  <c r="AE269" i="3"/>
  <c r="AD269" i="3"/>
  <c r="AC269" i="3"/>
  <c r="AB269" i="3"/>
  <c r="X269" i="3"/>
  <c r="AA269" i="3" s="1"/>
  <c r="W269" i="3"/>
  <c r="U269" i="3"/>
  <c r="V269" i="3" s="1"/>
  <c r="T269" i="3"/>
  <c r="AI269" i="3" s="1"/>
  <c r="AO268" i="3"/>
  <c r="AP268" i="3" s="1"/>
  <c r="AL268" i="3"/>
  <c r="AK268" i="3"/>
  <c r="AJ268" i="3"/>
  <c r="AH268" i="3"/>
  <c r="AG268" i="3"/>
  <c r="AF268" i="3"/>
  <c r="AE268" i="3"/>
  <c r="AD268" i="3"/>
  <c r="AC268" i="3"/>
  <c r="AB268" i="3"/>
  <c r="X268" i="3"/>
  <c r="AA268" i="3" s="1"/>
  <c r="W268" i="3"/>
  <c r="U268" i="3"/>
  <c r="V268" i="3" s="1"/>
  <c r="T268" i="3"/>
  <c r="AI268" i="3" s="1"/>
  <c r="AO267" i="3"/>
  <c r="AP267" i="3" s="1"/>
  <c r="AL267" i="3"/>
  <c r="AK267" i="3"/>
  <c r="AJ267" i="3"/>
  <c r="AH267" i="3"/>
  <c r="AG267" i="3"/>
  <c r="AF267" i="3"/>
  <c r="AE267" i="3"/>
  <c r="AD267" i="3"/>
  <c r="AC267" i="3"/>
  <c r="AB267" i="3"/>
  <c r="X267" i="3"/>
  <c r="AA267" i="3" s="1"/>
  <c r="W267" i="3"/>
  <c r="U267" i="3"/>
  <c r="V267" i="3" s="1"/>
  <c r="T267" i="3"/>
  <c r="AI267" i="3" s="1"/>
  <c r="AO266" i="3"/>
  <c r="AP266" i="3" s="1"/>
  <c r="AL266" i="3"/>
  <c r="AK266" i="3"/>
  <c r="AJ266" i="3"/>
  <c r="AH266" i="3"/>
  <c r="AG266" i="3"/>
  <c r="AF266" i="3"/>
  <c r="AE266" i="3"/>
  <c r="AD266" i="3"/>
  <c r="AC266" i="3"/>
  <c r="AB266" i="3"/>
  <c r="X266" i="3"/>
  <c r="AA266" i="3" s="1"/>
  <c r="W266" i="3"/>
  <c r="U266" i="3"/>
  <c r="V266" i="3" s="1"/>
  <c r="T266" i="3"/>
  <c r="AI266" i="3" s="1"/>
  <c r="AO265" i="3"/>
  <c r="AP265" i="3" s="1"/>
  <c r="AL265" i="3"/>
  <c r="AK265" i="3"/>
  <c r="AJ265" i="3"/>
  <c r="AH265" i="3"/>
  <c r="AG265" i="3"/>
  <c r="AF265" i="3"/>
  <c r="AE265" i="3"/>
  <c r="AD265" i="3"/>
  <c r="AC265" i="3"/>
  <c r="AB265" i="3"/>
  <c r="X265" i="3"/>
  <c r="AA265" i="3" s="1"/>
  <c r="W265" i="3"/>
  <c r="U265" i="3"/>
  <c r="V265" i="3" s="1"/>
  <c r="T265" i="3"/>
  <c r="AI265" i="3" s="1"/>
  <c r="AO264" i="3"/>
  <c r="AP264" i="3" s="1"/>
  <c r="AL264" i="3"/>
  <c r="AK264" i="3"/>
  <c r="AJ264" i="3"/>
  <c r="AH264" i="3"/>
  <c r="AG264" i="3"/>
  <c r="AF264" i="3"/>
  <c r="AE264" i="3"/>
  <c r="AD264" i="3"/>
  <c r="AC264" i="3"/>
  <c r="AB264" i="3"/>
  <c r="X264" i="3"/>
  <c r="AA264" i="3" s="1"/>
  <c r="W264" i="3"/>
  <c r="U264" i="3"/>
  <c r="V264" i="3" s="1"/>
  <c r="T264" i="3"/>
  <c r="AI264" i="3" s="1"/>
  <c r="AO263" i="3"/>
  <c r="AP263" i="3" s="1"/>
  <c r="AL263" i="3"/>
  <c r="AK263" i="3"/>
  <c r="AJ263" i="3"/>
  <c r="AH263" i="3"/>
  <c r="AG263" i="3"/>
  <c r="AF263" i="3"/>
  <c r="AE263" i="3"/>
  <c r="AD263" i="3"/>
  <c r="AC263" i="3"/>
  <c r="AB263" i="3"/>
  <c r="X263" i="3"/>
  <c r="AA263" i="3" s="1"/>
  <c r="W263" i="3"/>
  <c r="U263" i="3"/>
  <c r="V263" i="3" s="1"/>
  <c r="T263" i="3"/>
  <c r="AI263" i="3" s="1"/>
  <c r="AO262" i="3"/>
  <c r="AP262" i="3" s="1"/>
  <c r="AL262" i="3"/>
  <c r="AK262" i="3"/>
  <c r="AJ262" i="3"/>
  <c r="AH262" i="3"/>
  <c r="AG262" i="3"/>
  <c r="AF262" i="3"/>
  <c r="AE262" i="3"/>
  <c r="AD262" i="3"/>
  <c r="AC262" i="3"/>
  <c r="AB262" i="3"/>
  <c r="X262" i="3"/>
  <c r="AA262" i="3" s="1"/>
  <c r="W262" i="3"/>
  <c r="U262" i="3"/>
  <c r="V262" i="3" s="1"/>
  <c r="T262" i="3"/>
  <c r="AI262" i="3" s="1"/>
  <c r="AO261" i="3"/>
  <c r="AP261" i="3" s="1"/>
  <c r="AL261" i="3"/>
  <c r="AK261" i="3"/>
  <c r="AJ261" i="3"/>
  <c r="AH261" i="3"/>
  <c r="AG261" i="3"/>
  <c r="AF261" i="3"/>
  <c r="AE261" i="3"/>
  <c r="AD261" i="3"/>
  <c r="AC261" i="3"/>
  <c r="AB261" i="3"/>
  <c r="X261" i="3"/>
  <c r="AA261" i="3" s="1"/>
  <c r="W261" i="3"/>
  <c r="U261" i="3"/>
  <c r="V261" i="3" s="1"/>
  <c r="T261" i="3"/>
  <c r="AI261" i="3" s="1"/>
  <c r="AO260" i="3"/>
  <c r="AP260" i="3" s="1"/>
  <c r="AL260" i="3"/>
  <c r="AK260" i="3"/>
  <c r="AJ260" i="3"/>
  <c r="AH260" i="3"/>
  <c r="AG260" i="3"/>
  <c r="AF260" i="3"/>
  <c r="AE260" i="3"/>
  <c r="AD260" i="3"/>
  <c r="AC260" i="3"/>
  <c r="AB260" i="3"/>
  <c r="X260" i="3"/>
  <c r="AA260" i="3" s="1"/>
  <c r="W260" i="3"/>
  <c r="U260" i="3"/>
  <c r="V260" i="3" s="1"/>
  <c r="T260" i="3"/>
  <c r="AI260" i="3" s="1"/>
  <c r="AO259" i="3"/>
  <c r="AP259" i="3" s="1"/>
  <c r="AL259" i="3"/>
  <c r="AK259" i="3"/>
  <c r="AJ259" i="3"/>
  <c r="AH259" i="3"/>
  <c r="AG259" i="3"/>
  <c r="AF259" i="3"/>
  <c r="AE259" i="3"/>
  <c r="AD259" i="3"/>
  <c r="AC259" i="3"/>
  <c r="AB259" i="3"/>
  <c r="X259" i="3"/>
  <c r="AA259" i="3" s="1"/>
  <c r="W259" i="3"/>
  <c r="U259" i="3"/>
  <c r="V259" i="3" s="1"/>
  <c r="T259" i="3"/>
  <c r="AI259" i="3" s="1"/>
  <c r="AO258" i="3"/>
  <c r="AP258" i="3" s="1"/>
  <c r="AL258" i="3"/>
  <c r="AK258" i="3"/>
  <c r="AJ258" i="3"/>
  <c r="AH258" i="3"/>
  <c r="AG258" i="3"/>
  <c r="AF258" i="3"/>
  <c r="AE258" i="3"/>
  <c r="AD258" i="3"/>
  <c r="AC258" i="3"/>
  <c r="AB258" i="3"/>
  <c r="X258" i="3"/>
  <c r="AA258" i="3" s="1"/>
  <c r="W258" i="3"/>
  <c r="U258" i="3"/>
  <c r="V258" i="3" s="1"/>
  <c r="T258" i="3"/>
  <c r="AI258" i="3" s="1"/>
  <c r="AO257" i="3"/>
  <c r="AP257" i="3" s="1"/>
  <c r="AL257" i="3"/>
  <c r="AK257" i="3"/>
  <c r="AJ257" i="3"/>
  <c r="AH257" i="3"/>
  <c r="AG257" i="3"/>
  <c r="AF257" i="3"/>
  <c r="AE257" i="3"/>
  <c r="AD257" i="3"/>
  <c r="AC257" i="3"/>
  <c r="AB257" i="3"/>
  <c r="X257" i="3"/>
  <c r="AA257" i="3" s="1"/>
  <c r="W257" i="3"/>
  <c r="U257" i="3"/>
  <c r="V257" i="3" s="1"/>
  <c r="T257" i="3"/>
  <c r="AI257" i="3" s="1"/>
  <c r="AO256" i="3"/>
  <c r="AP256" i="3" s="1"/>
  <c r="AL256" i="3"/>
  <c r="AK256" i="3"/>
  <c r="AJ256" i="3"/>
  <c r="AH256" i="3"/>
  <c r="AG256" i="3"/>
  <c r="AF256" i="3"/>
  <c r="AE256" i="3"/>
  <c r="AD256" i="3"/>
  <c r="AC256" i="3"/>
  <c r="AB256" i="3"/>
  <c r="X256" i="3"/>
  <c r="AA256" i="3" s="1"/>
  <c r="W256" i="3"/>
  <c r="U256" i="3"/>
  <c r="V256" i="3" s="1"/>
  <c r="T256" i="3"/>
  <c r="AI256" i="3" s="1"/>
  <c r="AO255" i="3"/>
  <c r="AP255" i="3" s="1"/>
  <c r="AL255" i="3"/>
  <c r="AK255" i="3"/>
  <c r="AJ255" i="3"/>
  <c r="AH255" i="3"/>
  <c r="AG255" i="3"/>
  <c r="AF255" i="3"/>
  <c r="AE255" i="3"/>
  <c r="AD255" i="3"/>
  <c r="AC255" i="3"/>
  <c r="AB255" i="3"/>
  <c r="X255" i="3"/>
  <c r="AA255" i="3" s="1"/>
  <c r="W255" i="3"/>
  <c r="U255" i="3"/>
  <c r="V255" i="3" s="1"/>
  <c r="T255" i="3"/>
  <c r="AI255" i="3" s="1"/>
  <c r="AO254" i="3"/>
  <c r="AP254" i="3" s="1"/>
  <c r="AL254" i="3"/>
  <c r="AK254" i="3"/>
  <c r="AJ254" i="3"/>
  <c r="AH254" i="3"/>
  <c r="AG254" i="3"/>
  <c r="AF254" i="3"/>
  <c r="AE254" i="3"/>
  <c r="AD254" i="3"/>
  <c r="AC254" i="3"/>
  <c r="AB254" i="3"/>
  <c r="X254" i="3"/>
  <c r="AA254" i="3" s="1"/>
  <c r="W254" i="3"/>
  <c r="U254" i="3"/>
  <c r="V254" i="3" s="1"/>
  <c r="T254" i="3"/>
  <c r="AI254" i="3" s="1"/>
  <c r="AO253" i="3"/>
  <c r="AP253" i="3" s="1"/>
  <c r="AL253" i="3"/>
  <c r="AK253" i="3"/>
  <c r="AJ253" i="3"/>
  <c r="AH253" i="3"/>
  <c r="AG253" i="3"/>
  <c r="AF253" i="3"/>
  <c r="AE253" i="3"/>
  <c r="AD253" i="3"/>
  <c r="AC253" i="3"/>
  <c r="AB253" i="3"/>
  <c r="X253" i="3"/>
  <c r="AA253" i="3" s="1"/>
  <c r="W253" i="3"/>
  <c r="U253" i="3"/>
  <c r="V253" i="3" s="1"/>
  <c r="T253" i="3"/>
  <c r="AI253" i="3" s="1"/>
  <c r="AO252" i="3"/>
  <c r="AP252" i="3" s="1"/>
  <c r="AL252" i="3"/>
  <c r="AK252" i="3"/>
  <c r="AJ252" i="3"/>
  <c r="AH252" i="3"/>
  <c r="AG252" i="3"/>
  <c r="AF252" i="3"/>
  <c r="AE252" i="3"/>
  <c r="AD252" i="3"/>
  <c r="AC252" i="3"/>
  <c r="AB252" i="3"/>
  <c r="X252" i="3"/>
  <c r="AA252" i="3" s="1"/>
  <c r="W252" i="3"/>
  <c r="U252" i="3"/>
  <c r="V252" i="3" s="1"/>
  <c r="T252" i="3"/>
  <c r="AI252" i="3" s="1"/>
  <c r="AO251" i="3"/>
  <c r="AP251" i="3" s="1"/>
  <c r="AL251" i="3"/>
  <c r="AK251" i="3"/>
  <c r="AJ251" i="3"/>
  <c r="AH251" i="3"/>
  <c r="AG251" i="3"/>
  <c r="AF251" i="3"/>
  <c r="AE251" i="3"/>
  <c r="AD251" i="3"/>
  <c r="AC251" i="3"/>
  <c r="AB251" i="3"/>
  <c r="X251" i="3"/>
  <c r="AA251" i="3" s="1"/>
  <c r="W251" i="3"/>
  <c r="U251" i="3"/>
  <c r="V251" i="3" s="1"/>
  <c r="T251" i="3"/>
  <c r="AI251" i="3" s="1"/>
  <c r="AO250" i="3"/>
  <c r="AP250" i="3" s="1"/>
  <c r="AL250" i="3"/>
  <c r="AK250" i="3"/>
  <c r="AJ250" i="3"/>
  <c r="AH250" i="3"/>
  <c r="AG250" i="3"/>
  <c r="AF250" i="3"/>
  <c r="AE250" i="3"/>
  <c r="AD250" i="3"/>
  <c r="AC250" i="3"/>
  <c r="AB250" i="3"/>
  <c r="X250" i="3"/>
  <c r="AA250" i="3" s="1"/>
  <c r="W250" i="3"/>
  <c r="U250" i="3"/>
  <c r="V250" i="3" s="1"/>
  <c r="T250" i="3"/>
  <c r="AI250" i="3" s="1"/>
  <c r="AO249" i="3"/>
  <c r="AP249" i="3" s="1"/>
  <c r="AL249" i="3"/>
  <c r="AK249" i="3"/>
  <c r="AJ249" i="3"/>
  <c r="AH249" i="3"/>
  <c r="AG249" i="3"/>
  <c r="AF249" i="3"/>
  <c r="AE249" i="3"/>
  <c r="AD249" i="3"/>
  <c r="AC249" i="3"/>
  <c r="AB249" i="3"/>
  <c r="X249" i="3"/>
  <c r="AA249" i="3" s="1"/>
  <c r="W249" i="3"/>
  <c r="U249" i="3"/>
  <c r="V249" i="3" s="1"/>
  <c r="T249" i="3"/>
  <c r="AI249" i="3" s="1"/>
  <c r="AO248" i="3"/>
  <c r="AP248" i="3" s="1"/>
  <c r="AL248" i="3"/>
  <c r="AK248" i="3"/>
  <c r="AJ248" i="3"/>
  <c r="AH248" i="3"/>
  <c r="AG248" i="3"/>
  <c r="AF248" i="3"/>
  <c r="AE248" i="3"/>
  <c r="AD248" i="3"/>
  <c r="AC248" i="3"/>
  <c r="AB248" i="3"/>
  <c r="X248" i="3"/>
  <c r="AA248" i="3" s="1"/>
  <c r="W248" i="3"/>
  <c r="U248" i="3"/>
  <c r="V248" i="3" s="1"/>
  <c r="T248" i="3"/>
  <c r="AI248" i="3" s="1"/>
  <c r="AO247" i="3"/>
  <c r="AP247" i="3" s="1"/>
  <c r="AL247" i="3"/>
  <c r="AK247" i="3"/>
  <c r="AJ247" i="3"/>
  <c r="AH247" i="3"/>
  <c r="AG247" i="3"/>
  <c r="AF247" i="3"/>
  <c r="AE247" i="3"/>
  <c r="AD247" i="3"/>
  <c r="AC247" i="3"/>
  <c r="AB247" i="3"/>
  <c r="X247" i="3"/>
  <c r="AA247" i="3" s="1"/>
  <c r="W247" i="3"/>
  <c r="U247" i="3"/>
  <c r="V247" i="3" s="1"/>
  <c r="T247" i="3"/>
  <c r="AI247" i="3" s="1"/>
  <c r="AO246" i="3"/>
  <c r="AP246" i="3" s="1"/>
  <c r="AL246" i="3"/>
  <c r="AK246" i="3"/>
  <c r="AJ246" i="3"/>
  <c r="AH246" i="3"/>
  <c r="AG246" i="3"/>
  <c r="AF246" i="3"/>
  <c r="AE246" i="3"/>
  <c r="AD246" i="3"/>
  <c r="AC246" i="3"/>
  <c r="AB246" i="3"/>
  <c r="X246" i="3"/>
  <c r="AA246" i="3" s="1"/>
  <c r="W246" i="3"/>
  <c r="U246" i="3"/>
  <c r="V246" i="3" s="1"/>
  <c r="T246" i="3"/>
  <c r="AI246" i="3" s="1"/>
  <c r="AO245" i="3"/>
  <c r="AP245" i="3" s="1"/>
  <c r="AL245" i="3"/>
  <c r="AK245" i="3"/>
  <c r="AJ245" i="3"/>
  <c r="AH245" i="3"/>
  <c r="AG245" i="3"/>
  <c r="AF245" i="3"/>
  <c r="AE245" i="3"/>
  <c r="AD245" i="3"/>
  <c r="AC245" i="3"/>
  <c r="AB245" i="3"/>
  <c r="X245" i="3"/>
  <c r="AA245" i="3" s="1"/>
  <c r="W245" i="3"/>
  <c r="U245" i="3"/>
  <c r="V245" i="3" s="1"/>
  <c r="T245" i="3"/>
  <c r="AI245" i="3" s="1"/>
  <c r="AO244" i="3"/>
  <c r="AP244" i="3" s="1"/>
  <c r="AL244" i="3"/>
  <c r="AK244" i="3"/>
  <c r="AJ244" i="3"/>
  <c r="AH244" i="3"/>
  <c r="AG244" i="3"/>
  <c r="AF244" i="3"/>
  <c r="AE244" i="3"/>
  <c r="AD244" i="3"/>
  <c r="AC244" i="3"/>
  <c r="AB244" i="3"/>
  <c r="X244" i="3"/>
  <c r="AA244" i="3" s="1"/>
  <c r="W244" i="3"/>
  <c r="U244" i="3"/>
  <c r="V244" i="3" s="1"/>
  <c r="T244" i="3"/>
  <c r="AI244" i="3" s="1"/>
  <c r="AO243" i="3"/>
  <c r="AP243" i="3" s="1"/>
  <c r="AL243" i="3"/>
  <c r="AK243" i="3"/>
  <c r="AJ243" i="3"/>
  <c r="AH243" i="3"/>
  <c r="AG243" i="3"/>
  <c r="AF243" i="3"/>
  <c r="AE243" i="3"/>
  <c r="AD243" i="3"/>
  <c r="AC243" i="3"/>
  <c r="AB243" i="3"/>
  <c r="X243" i="3"/>
  <c r="AA243" i="3" s="1"/>
  <c r="W243" i="3"/>
  <c r="U243" i="3"/>
  <c r="V243" i="3" s="1"/>
  <c r="T243" i="3"/>
  <c r="AI243" i="3" s="1"/>
  <c r="AO242" i="3"/>
  <c r="AP242" i="3" s="1"/>
  <c r="AL242" i="3"/>
  <c r="AK242" i="3"/>
  <c r="AJ242" i="3"/>
  <c r="AH242" i="3"/>
  <c r="AG242" i="3"/>
  <c r="AF242" i="3"/>
  <c r="AE242" i="3"/>
  <c r="AD242" i="3"/>
  <c r="AC242" i="3"/>
  <c r="AB242" i="3"/>
  <c r="X242" i="3"/>
  <c r="AA242" i="3" s="1"/>
  <c r="W242" i="3"/>
  <c r="U242" i="3"/>
  <c r="V242" i="3" s="1"/>
  <c r="T242" i="3"/>
  <c r="AI242" i="3" s="1"/>
  <c r="AO241" i="3"/>
  <c r="AP241" i="3" s="1"/>
  <c r="AL241" i="3"/>
  <c r="AK241" i="3"/>
  <c r="AJ241" i="3"/>
  <c r="AH241" i="3"/>
  <c r="AG241" i="3"/>
  <c r="AF241" i="3"/>
  <c r="AE241" i="3"/>
  <c r="AD241" i="3"/>
  <c r="AC241" i="3"/>
  <c r="AB241" i="3"/>
  <c r="X241" i="3"/>
  <c r="AA241" i="3" s="1"/>
  <c r="W241" i="3"/>
  <c r="U241" i="3"/>
  <c r="V241" i="3" s="1"/>
  <c r="T241" i="3"/>
  <c r="AI241" i="3" s="1"/>
  <c r="AO240" i="3"/>
  <c r="AP240" i="3" s="1"/>
  <c r="AL240" i="3"/>
  <c r="AK240" i="3"/>
  <c r="AJ240" i="3"/>
  <c r="AH240" i="3"/>
  <c r="AG240" i="3"/>
  <c r="AF240" i="3"/>
  <c r="AE240" i="3"/>
  <c r="AD240" i="3"/>
  <c r="AC240" i="3"/>
  <c r="AB240" i="3"/>
  <c r="X240" i="3"/>
  <c r="AA240" i="3" s="1"/>
  <c r="W240" i="3"/>
  <c r="U240" i="3"/>
  <c r="V240" i="3" s="1"/>
  <c r="T240" i="3"/>
  <c r="AI240" i="3" s="1"/>
  <c r="AO239" i="3"/>
  <c r="AP239" i="3" s="1"/>
  <c r="AL239" i="3"/>
  <c r="AK239" i="3"/>
  <c r="AJ239" i="3"/>
  <c r="AH239" i="3"/>
  <c r="AG239" i="3"/>
  <c r="AF239" i="3"/>
  <c r="AE239" i="3"/>
  <c r="AD239" i="3"/>
  <c r="AC239" i="3"/>
  <c r="AB239" i="3"/>
  <c r="X239" i="3"/>
  <c r="AA239" i="3" s="1"/>
  <c r="W239" i="3"/>
  <c r="U239" i="3"/>
  <c r="V239" i="3" s="1"/>
  <c r="T239" i="3"/>
  <c r="AI239" i="3" s="1"/>
  <c r="AO238" i="3"/>
  <c r="AP238" i="3" s="1"/>
  <c r="AL238" i="3"/>
  <c r="AK238" i="3"/>
  <c r="AJ238" i="3"/>
  <c r="AH238" i="3"/>
  <c r="AG238" i="3"/>
  <c r="AF238" i="3"/>
  <c r="AE238" i="3"/>
  <c r="AD238" i="3"/>
  <c r="AC238" i="3"/>
  <c r="AB238" i="3"/>
  <c r="X238" i="3"/>
  <c r="AA238" i="3" s="1"/>
  <c r="W238" i="3"/>
  <c r="U238" i="3"/>
  <c r="V238" i="3" s="1"/>
  <c r="T238" i="3"/>
  <c r="AI238" i="3" s="1"/>
  <c r="AO237" i="3"/>
  <c r="AP237" i="3" s="1"/>
  <c r="AL237" i="3"/>
  <c r="AK237" i="3"/>
  <c r="AJ237" i="3"/>
  <c r="AH237" i="3"/>
  <c r="AG237" i="3"/>
  <c r="AF237" i="3"/>
  <c r="AE237" i="3"/>
  <c r="AD237" i="3"/>
  <c r="AC237" i="3"/>
  <c r="AB237" i="3"/>
  <c r="X237" i="3"/>
  <c r="AA237" i="3" s="1"/>
  <c r="W237" i="3"/>
  <c r="U237" i="3"/>
  <c r="V237" i="3" s="1"/>
  <c r="T237" i="3"/>
  <c r="AI237" i="3" s="1"/>
  <c r="AO236" i="3"/>
  <c r="AP236" i="3" s="1"/>
  <c r="AL236" i="3"/>
  <c r="AK236" i="3"/>
  <c r="AJ236" i="3"/>
  <c r="AH236" i="3"/>
  <c r="AG236" i="3"/>
  <c r="AF236" i="3"/>
  <c r="AE236" i="3"/>
  <c r="AD236" i="3"/>
  <c r="AC236" i="3"/>
  <c r="AB236" i="3"/>
  <c r="X236" i="3"/>
  <c r="AA236" i="3" s="1"/>
  <c r="W236" i="3"/>
  <c r="U236" i="3"/>
  <c r="V236" i="3" s="1"/>
  <c r="T236" i="3"/>
  <c r="AI236" i="3" s="1"/>
  <c r="AO235" i="3"/>
  <c r="AP235" i="3" s="1"/>
  <c r="AL235" i="3"/>
  <c r="AK235" i="3"/>
  <c r="AJ235" i="3"/>
  <c r="AH235" i="3"/>
  <c r="AG235" i="3"/>
  <c r="AF235" i="3"/>
  <c r="AE235" i="3"/>
  <c r="AD235" i="3"/>
  <c r="AC235" i="3"/>
  <c r="AB235" i="3"/>
  <c r="X235" i="3"/>
  <c r="AA235" i="3" s="1"/>
  <c r="W235" i="3"/>
  <c r="U235" i="3"/>
  <c r="V235" i="3" s="1"/>
  <c r="T235" i="3"/>
  <c r="AI235" i="3" s="1"/>
  <c r="AO234" i="3"/>
  <c r="AP234" i="3" s="1"/>
  <c r="AL234" i="3"/>
  <c r="AK234" i="3"/>
  <c r="AJ234" i="3"/>
  <c r="AH234" i="3"/>
  <c r="AG234" i="3"/>
  <c r="AF234" i="3"/>
  <c r="AE234" i="3"/>
  <c r="AD234" i="3"/>
  <c r="AC234" i="3"/>
  <c r="AB234" i="3"/>
  <c r="X234" i="3"/>
  <c r="AA234" i="3" s="1"/>
  <c r="W234" i="3"/>
  <c r="U234" i="3"/>
  <c r="V234" i="3" s="1"/>
  <c r="T234" i="3"/>
  <c r="AI234" i="3" s="1"/>
  <c r="AO233" i="3"/>
  <c r="AP233" i="3" s="1"/>
  <c r="AL233" i="3"/>
  <c r="AK233" i="3"/>
  <c r="AJ233" i="3"/>
  <c r="AH233" i="3"/>
  <c r="AG233" i="3"/>
  <c r="AF233" i="3"/>
  <c r="AE233" i="3"/>
  <c r="AD233" i="3"/>
  <c r="AC233" i="3"/>
  <c r="AB233" i="3"/>
  <c r="X233" i="3"/>
  <c r="AA233" i="3" s="1"/>
  <c r="W233" i="3"/>
  <c r="U233" i="3"/>
  <c r="V233" i="3" s="1"/>
  <c r="T233" i="3"/>
  <c r="AI233" i="3" s="1"/>
  <c r="AO232" i="3"/>
  <c r="AP232" i="3" s="1"/>
  <c r="AL232" i="3"/>
  <c r="AK232" i="3"/>
  <c r="AJ232" i="3"/>
  <c r="AH232" i="3"/>
  <c r="AG232" i="3"/>
  <c r="AF232" i="3"/>
  <c r="AE232" i="3"/>
  <c r="AD232" i="3"/>
  <c r="AC232" i="3"/>
  <c r="AB232" i="3"/>
  <c r="X232" i="3"/>
  <c r="AA232" i="3" s="1"/>
  <c r="W232" i="3"/>
  <c r="U232" i="3"/>
  <c r="V232" i="3" s="1"/>
  <c r="T232" i="3"/>
  <c r="AI232" i="3" s="1"/>
  <c r="AO231" i="3"/>
  <c r="AP231" i="3" s="1"/>
  <c r="AL231" i="3"/>
  <c r="AK231" i="3"/>
  <c r="AJ231" i="3"/>
  <c r="AH231" i="3"/>
  <c r="AG231" i="3"/>
  <c r="AF231" i="3"/>
  <c r="AE231" i="3"/>
  <c r="AD231" i="3"/>
  <c r="AC231" i="3"/>
  <c r="AB231" i="3"/>
  <c r="X231" i="3"/>
  <c r="AA231" i="3" s="1"/>
  <c r="W231" i="3"/>
  <c r="U231" i="3"/>
  <c r="V231" i="3" s="1"/>
  <c r="T231" i="3"/>
  <c r="AI231" i="3" s="1"/>
  <c r="AO230" i="3"/>
  <c r="AP230" i="3" s="1"/>
  <c r="AL230" i="3"/>
  <c r="AK230" i="3"/>
  <c r="AJ230" i="3"/>
  <c r="AH230" i="3"/>
  <c r="AG230" i="3"/>
  <c r="AF230" i="3"/>
  <c r="AE230" i="3"/>
  <c r="AD230" i="3"/>
  <c r="AC230" i="3"/>
  <c r="AB230" i="3"/>
  <c r="X230" i="3"/>
  <c r="AA230" i="3" s="1"/>
  <c r="W230" i="3"/>
  <c r="U230" i="3"/>
  <c r="V230" i="3" s="1"/>
  <c r="T230" i="3"/>
  <c r="AI230" i="3" s="1"/>
  <c r="AO229" i="3"/>
  <c r="AP229" i="3" s="1"/>
  <c r="AL229" i="3"/>
  <c r="AK229" i="3"/>
  <c r="AJ229" i="3"/>
  <c r="AH229" i="3"/>
  <c r="AG229" i="3"/>
  <c r="AF229" i="3"/>
  <c r="AE229" i="3"/>
  <c r="AD229" i="3"/>
  <c r="AC229" i="3"/>
  <c r="AB229" i="3"/>
  <c r="X229" i="3"/>
  <c r="AA229" i="3" s="1"/>
  <c r="W229" i="3"/>
  <c r="U229" i="3"/>
  <c r="V229" i="3" s="1"/>
  <c r="T229" i="3"/>
  <c r="AI229" i="3" s="1"/>
  <c r="AO228" i="3"/>
  <c r="AP228" i="3" s="1"/>
  <c r="AL228" i="3"/>
  <c r="AK228" i="3"/>
  <c r="AJ228" i="3"/>
  <c r="AH228" i="3"/>
  <c r="AG228" i="3"/>
  <c r="AF228" i="3"/>
  <c r="AE228" i="3"/>
  <c r="AD228" i="3"/>
  <c r="AC228" i="3"/>
  <c r="AB228" i="3"/>
  <c r="X228" i="3"/>
  <c r="AA228" i="3" s="1"/>
  <c r="W228" i="3"/>
  <c r="U228" i="3"/>
  <c r="V228" i="3" s="1"/>
  <c r="T228" i="3"/>
  <c r="AI228" i="3" s="1"/>
  <c r="AO227" i="3"/>
  <c r="AP227" i="3" s="1"/>
  <c r="AL227" i="3"/>
  <c r="AK227" i="3"/>
  <c r="AJ227" i="3"/>
  <c r="AH227" i="3"/>
  <c r="AG227" i="3"/>
  <c r="AF227" i="3"/>
  <c r="AE227" i="3"/>
  <c r="AD227" i="3"/>
  <c r="AC227" i="3"/>
  <c r="AB227" i="3"/>
  <c r="X227" i="3"/>
  <c r="AA227" i="3" s="1"/>
  <c r="W227" i="3"/>
  <c r="U227" i="3"/>
  <c r="V227" i="3" s="1"/>
  <c r="T227" i="3"/>
  <c r="AI227" i="3" s="1"/>
  <c r="AO226" i="3"/>
  <c r="AP226" i="3" s="1"/>
  <c r="AL226" i="3"/>
  <c r="AK226" i="3"/>
  <c r="AJ226" i="3"/>
  <c r="AH226" i="3"/>
  <c r="AG226" i="3"/>
  <c r="AF226" i="3"/>
  <c r="AE226" i="3"/>
  <c r="AD226" i="3"/>
  <c r="AC226" i="3"/>
  <c r="AB226" i="3"/>
  <c r="X226" i="3"/>
  <c r="AA226" i="3" s="1"/>
  <c r="W226" i="3"/>
  <c r="U226" i="3"/>
  <c r="V226" i="3" s="1"/>
  <c r="T226" i="3"/>
  <c r="AI226" i="3" s="1"/>
  <c r="AO225" i="3"/>
  <c r="AP225" i="3" s="1"/>
  <c r="AL225" i="3"/>
  <c r="AK225" i="3"/>
  <c r="AJ225" i="3"/>
  <c r="AH225" i="3"/>
  <c r="AG225" i="3"/>
  <c r="AF225" i="3"/>
  <c r="AE225" i="3"/>
  <c r="AD225" i="3"/>
  <c r="AC225" i="3"/>
  <c r="AB225" i="3"/>
  <c r="X225" i="3"/>
  <c r="AA225" i="3" s="1"/>
  <c r="W225" i="3"/>
  <c r="U225" i="3"/>
  <c r="V225" i="3" s="1"/>
  <c r="T225" i="3"/>
  <c r="AI225" i="3" s="1"/>
  <c r="AO224" i="3"/>
  <c r="AP224" i="3" s="1"/>
  <c r="AL224" i="3"/>
  <c r="AK224" i="3"/>
  <c r="AJ224" i="3"/>
  <c r="AH224" i="3"/>
  <c r="AG224" i="3"/>
  <c r="AF224" i="3"/>
  <c r="AE224" i="3"/>
  <c r="AD224" i="3"/>
  <c r="AC224" i="3"/>
  <c r="AB224" i="3"/>
  <c r="X224" i="3"/>
  <c r="AA224" i="3" s="1"/>
  <c r="W224" i="3"/>
  <c r="U224" i="3"/>
  <c r="V224" i="3" s="1"/>
  <c r="T224" i="3"/>
  <c r="AI224" i="3" s="1"/>
  <c r="AO223" i="3"/>
  <c r="AP223" i="3" s="1"/>
  <c r="AL223" i="3"/>
  <c r="AK223" i="3"/>
  <c r="AJ223" i="3"/>
  <c r="AH223" i="3"/>
  <c r="AG223" i="3"/>
  <c r="AF223" i="3"/>
  <c r="AE223" i="3"/>
  <c r="AD223" i="3"/>
  <c r="AC223" i="3"/>
  <c r="AB223" i="3"/>
  <c r="X223" i="3"/>
  <c r="AA223" i="3" s="1"/>
  <c r="W223" i="3"/>
  <c r="U223" i="3"/>
  <c r="V223" i="3" s="1"/>
  <c r="T223" i="3"/>
  <c r="AI223" i="3" s="1"/>
  <c r="AO222" i="3"/>
  <c r="AP222" i="3" s="1"/>
  <c r="AL222" i="3"/>
  <c r="AK222" i="3"/>
  <c r="AJ222" i="3"/>
  <c r="AH222" i="3"/>
  <c r="AG222" i="3"/>
  <c r="AF222" i="3"/>
  <c r="AE222" i="3"/>
  <c r="AD222" i="3"/>
  <c r="AC222" i="3"/>
  <c r="AB222" i="3"/>
  <c r="X222" i="3"/>
  <c r="AA222" i="3" s="1"/>
  <c r="W222" i="3"/>
  <c r="U222" i="3"/>
  <c r="V222" i="3" s="1"/>
  <c r="T222" i="3"/>
  <c r="AI222" i="3" s="1"/>
  <c r="AO221" i="3"/>
  <c r="AP221" i="3" s="1"/>
  <c r="AL221" i="3"/>
  <c r="AK221" i="3"/>
  <c r="AJ221" i="3"/>
  <c r="AH221" i="3"/>
  <c r="AG221" i="3"/>
  <c r="AF221" i="3"/>
  <c r="AE221" i="3"/>
  <c r="AD221" i="3"/>
  <c r="AC221" i="3"/>
  <c r="AB221" i="3"/>
  <c r="X221" i="3"/>
  <c r="AA221" i="3" s="1"/>
  <c r="W221" i="3"/>
  <c r="U221" i="3"/>
  <c r="V221" i="3" s="1"/>
  <c r="T221" i="3"/>
  <c r="AI221" i="3" s="1"/>
  <c r="AO220" i="3"/>
  <c r="AP220" i="3" s="1"/>
  <c r="AL220" i="3"/>
  <c r="AK220" i="3"/>
  <c r="AJ220" i="3"/>
  <c r="AH220" i="3"/>
  <c r="AG220" i="3"/>
  <c r="AF220" i="3"/>
  <c r="AE220" i="3"/>
  <c r="AD220" i="3"/>
  <c r="AC220" i="3"/>
  <c r="AB220" i="3"/>
  <c r="X220" i="3"/>
  <c r="AA220" i="3" s="1"/>
  <c r="W220" i="3"/>
  <c r="U220" i="3"/>
  <c r="V220" i="3" s="1"/>
  <c r="T220" i="3"/>
  <c r="AI220" i="3" s="1"/>
  <c r="AO219" i="3"/>
  <c r="AP219" i="3" s="1"/>
  <c r="AL219" i="3"/>
  <c r="AK219" i="3"/>
  <c r="AJ219" i="3"/>
  <c r="AH219" i="3"/>
  <c r="AG219" i="3"/>
  <c r="AF219" i="3"/>
  <c r="AE219" i="3"/>
  <c r="AD219" i="3"/>
  <c r="AC219" i="3"/>
  <c r="AB219" i="3"/>
  <c r="X219" i="3"/>
  <c r="AA219" i="3" s="1"/>
  <c r="W219" i="3"/>
  <c r="U219" i="3"/>
  <c r="V219" i="3" s="1"/>
  <c r="T219" i="3"/>
  <c r="AI219" i="3" s="1"/>
  <c r="AO218" i="3"/>
  <c r="AP218" i="3" s="1"/>
  <c r="AL218" i="3"/>
  <c r="AK218" i="3"/>
  <c r="AJ218" i="3"/>
  <c r="AH218" i="3"/>
  <c r="AG218" i="3"/>
  <c r="AF218" i="3"/>
  <c r="AE218" i="3"/>
  <c r="AD218" i="3"/>
  <c r="AC218" i="3"/>
  <c r="AB218" i="3"/>
  <c r="X218" i="3"/>
  <c r="AA218" i="3" s="1"/>
  <c r="W218" i="3"/>
  <c r="U218" i="3"/>
  <c r="V218" i="3" s="1"/>
  <c r="T218" i="3"/>
  <c r="AI218" i="3" s="1"/>
  <c r="AO217" i="3"/>
  <c r="AP217" i="3" s="1"/>
  <c r="AL217" i="3"/>
  <c r="AK217" i="3"/>
  <c r="AJ217" i="3"/>
  <c r="AH217" i="3"/>
  <c r="AG217" i="3"/>
  <c r="AF217" i="3"/>
  <c r="AE217" i="3"/>
  <c r="AD217" i="3"/>
  <c r="AC217" i="3"/>
  <c r="AB217" i="3"/>
  <c r="X217" i="3"/>
  <c r="AA217" i="3" s="1"/>
  <c r="W217" i="3"/>
  <c r="U217" i="3"/>
  <c r="V217" i="3" s="1"/>
  <c r="T217" i="3"/>
  <c r="AI217" i="3" s="1"/>
  <c r="AO216" i="3"/>
  <c r="AP216" i="3" s="1"/>
  <c r="AL216" i="3"/>
  <c r="AK216" i="3"/>
  <c r="AJ216" i="3"/>
  <c r="AH216" i="3"/>
  <c r="AG216" i="3"/>
  <c r="AF216" i="3"/>
  <c r="AE216" i="3"/>
  <c r="AD216" i="3"/>
  <c r="AC216" i="3"/>
  <c r="AB216" i="3"/>
  <c r="X216" i="3"/>
  <c r="AA216" i="3" s="1"/>
  <c r="W216" i="3"/>
  <c r="U216" i="3"/>
  <c r="V216" i="3" s="1"/>
  <c r="T216" i="3"/>
  <c r="AI216" i="3" s="1"/>
  <c r="AO215" i="3"/>
  <c r="AP215" i="3" s="1"/>
  <c r="AL215" i="3"/>
  <c r="AK215" i="3"/>
  <c r="AJ215" i="3"/>
  <c r="AH215" i="3"/>
  <c r="AG215" i="3"/>
  <c r="AF215" i="3"/>
  <c r="AE215" i="3"/>
  <c r="AD215" i="3"/>
  <c r="AC215" i="3"/>
  <c r="AB215" i="3"/>
  <c r="X215" i="3"/>
  <c r="AA215" i="3" s="1"/>
  <c r="W215" i="3"/>
  <c r="U215" i="3"/>
  <c r="V215" i="3" s="1"/>
  <c r="T215" i="3"/>
  <c r="AI215" i="3" s="1"/>
  <c r="AO214" i="3"/>
  <c r="AP214" i="3" s="1"/>
  <c r="AL214" i="3"/>
  <c r="AK214" i="3"/>
  <c r="AJ214" i="3"/>
  <c r="AH214" i="3"/>
  <c r="AG214" i="3"/>
  <c r="AF214" i="3"/>
  <c r="AE214" i="3"/>
  <c r="AD214" i="3"/>
  <c r="AC214" i="3"/>
  <c r="AB214" i="3"/>
  <c r="X214" i="3"/>
  <c r="AA214" i="3" s="1"/>
  <c r="W214" i="3"/>
  <c r="U214" i="3"/>
  <c r="V214" i="3" s="1"/>
  <c r="T214" i="3"/>
  <c r="AI214" i="3" s="1"/>
  <c r="AO213" i="3"/>
  <c r="AP213" i="3" s="1"/>
  <c r="AL213" i="3"/>
  <c r="AK213" i="3"/>
  <c r="AJ213" i="3"/>
  <c r="AH213" i="3"/>
  <c r="AG213" i="3"/>
  <c r="AF213" i="3"/>
  <c r="AE213" i="3"/>
  <c r="AD213" i="3"/>
  <c r="AC213" i="3"/>
  <c r="AB213" i="3"/>
  <c r="X213" i="3"/>
  <c r="AA213" i="3" s="1"/>
  <c r="W213" i="3"/>
  <c r="U213" i="3"/>
  <c r="V213" i="3" s="1"/>
  <c r="T213" i="3"/>
  <c r="AI213" i="3" s="1"/>
  <c r="AO212" i="3"/>
  <c r="AP212" i="3" s="1"/>
  <c r="AL212" i="3"/>
  <c r="AK212" i="3"/>
  <c r="AJ212" i="3"/>
  <c r="AH212" i="3"/>
  <c r="AG212" i="3"/>
  <c r="AF212" i="3"/>
  <c r="AE212" i="3"/>
  <c r="AD212" i="3"/>
  <c r="AC212" i="3"/>
  <c r="AB212" i="3"/>
  <c r="X212" i="3"/>
  <c r="AA212" i="3" s="1"/>
  <c r="W212" i="3"/>
  <c r="U212" i="3"/>
  <c r="V212" i="3" s="1"/>
  <c r="T212" i="3"/>
  <c r="AI212" i="3" s="1"/>
  <c r="AO211" i="3"/>
  <c r="AP211" i="3" s="1"/>
  <c r="AL211" i="3"/>
  <c r="AK211" i="3"/>
  <c r="AJ211" i="3"/>
  <c r="AH211" i="3"/>
  <c r="AG211" i="3"/>
  <c r="AF211" i="3"/>
  <c r="AE211" i="3"/>
  <c r="AD211" i="3"/>
  <c r="AC211" i="3"/>
  <c r="AB211" i="3"/>
  <c r="X211" i="3"/>
  <c r="AA211" i="3" s="1"/>
  <c r="W211" i="3"/>
  <c r="U211" i="3"/>
  <c r="V211" i="3" s="1"/>
  <c r="T211" i="3"/>
  <c r="AI211" i="3" s="1"/>
  <c r="AO210" i="3"/>
  <c r="AP210" i="3" s="1"/>
  <c r="AL210" i="3"/>
  <c r="AK210" i="3"/>
  <c r="AJ210" i="3"/>
  <c r="AH210" i="3"/>
  <c r="AG210" i="3"/>
  <c r="AF210" i="3"/>
  <c r="AE210" i="3"/>
  <c r="AD210" i="3"/>
  <c r="AC210" i="3"/>
  <c r="AB210" i="3"/>
  <c r="X210" i="3"/>
  <c r="AA210" i="3" s="1"/>
  <c r="W210" i="3"/>
  <c r="U210" i="3"/>
  <c r="V210" i="3" s="1"/>
  <c r="T210" i="3"/>
  <c r="AI210" i="3" s="1"/>
  <c r="AO209" i="3"/>
  <c r="AP209" i="3" s="1"/>
  <c r="AL209" i="3"/>
  <c r="AK209" i="3"/>
  <c r="AJ209" i="3"/>
  <c r="AH209" i="3"/>
  <c r="AG209" i="3"/>
  <c r="AF209" i="3"/>
  <c r="AE209" i="3"/>
  <c r="AD209" i="3"/>
  <c r="AC209" i="3"/>
  <c r="AB209" i="3"/>
  <c r="X209" i="3"/>
  <c r="AA209" i="3" s="1"/>
  <c r="W209" i="3"/>
  <c r="U209" i="3"/>
  <c r="V209" i="3" s="1"/>
  <c r="T209" i="3"/>
  <c r="AI209" i="3" s="1"/>
  <c r="AO208" i="3"/>
  <c r="AP208" i="3" s="1"/>
  <c r="AL208" i="3"/>
  <c r="AK208" i="3"/>
  <c r="AJ208" i="3"/>
  <c r="AH208" i="3"/>
  <c r="AG208" i="3"/>
  <c r="AF208" i="3"/>
  <c r="AE208" i="3"/>
  <c r="AD208" i="3"/>
  <c r="AC208" i="3"/>
  <c r="AB208" i="3"/>
  <c r="X208" i="3"/>
  <c r="AA208" i="3" s="1"/>
  <c r="W208" i="3"/>
  <c r="U208" i="3"/>
  <c r="V208" i="3" s="1"/>
  <c r="T208" i="3"/>
  <c r="AI208" i="3" s="1"/>
  <c r="AO207" i="3"/>
  <c r="AP207" i="3" s="1"/>
  <c r="AL207" i="3"/>
  <c r="AK207" i="3"/>
  <c r="AJ207" i="3"/>
  <c r="AH207" i="3"/>
  <c r="AG207" i="3"/>
  <c r="AF207" i="3"/>
  <c r="AE207" i="3"/>
  <c r="AD207" i="3"/>
  <c r="AC207" i="3"/>
  <c r="AB207" i="3"/>
  <c r="X207" i="3"/>
  <c r="AA207" i="3" s="1"/>
  <c r="W207" i="3"/>
  <c r="U207" i="3"/>
  <c r="V207" i="3" s="1"/>
  <c r="T207" i="3"/>
  <c r="AI207" i="3" s="1"/>
  <c r="AO206" i="3"/>
  <c r="AP206" i="3" s="1"/>
  <c r="AL206" i="3"/>
  <c r="AK206" i="3"/>
  <c r="AJ206" i="3"/>
  <c r="AH206" i="3"/>
  <c r="AG206" i="3"/>
  <c r="AF206" i="3"/>
  <c r="AE206" i="3"/>
  <c r="AD206" i="3"/>
  <c r="AC206" i="3"/>
  <c r="AB206" i="3"/>
  <c r="X206" i="3"/>
  <c r="AA206" i="3" s="1"/>
  <c r="W206" i="3"/>
  <c r="U206" i="3"/>
  <c r="V206" i="3" s="1"/>
  <c r="T206" i="3"/>
  <c r="AI206" i="3" s="1"/>
  <c r="AO205" i="3"/>
  <c r="AP205" i="3" s="1"/>
  <c r="AL205" i="3"/>
  <c r="AK205" i="3"/>
  <c r="AJ205" i="3"/>
  <c r="AH205" i="3"/>
  <c r="AG205" i="3"/>
  <c r="AF205" i="3"/>
  <c r="AE205" i="3"/>
  <c r="AD205" i="3"/>
  <c r="AC205" i="3"/>
  <c r="AB205" i="3"/>
  <c r="X205" i="3"/>
  <c r="AA205" i="3" s="1"/>
  <c r="W205" i="3"/>
  <c r="U205" i="3"/>
  <c r="V205" i="3" s="1"/>
  <c r="T205" i="3"/>
  <c r="AI205" i="3" s="1"/>
  <c r="AO204" i="3"/>
  <c r="AP204" i="3" s="1"/>
  <c r="AL204" i="3"/>
  <c r="AK204" i="3"/>
  <c r="AJ204" i="3"/>
  <c r="AH204" i="3"/>
  <c r="AG204" i="3"/>
  <c r="AF204" i="3"/>
  <c r="AE204" i="3"/>
  <c r="AD204" i="3"/>
  <c r="AC204" i="3"/>
  <c r="AB204" i="3"/>
  <c r="X204" i="3"/>
  <c r="AA204" i="3" s="1"/>
  <c r="W204" i="3"/>
  <c r="U204" i="3"/>
  <c r="V204" i="3" s="1"/>
  <c r="T204" i="3"/>
  <c r="AI204" i="3" s="1"/>
  <c r="AO203" i="3"/>
  <c r="AP203" i="3" s="1"/>
  <c r="AL203" i="3"/>
  <c r="AK203" i="3"/>
  <c r="AJ203" i="3"/>
  <c r="AH203" i="3"/>
  <c r="AG203" i="3"/>
  <c r="AF203" i="3"/>
  <c r="AE203" i="3"/>
  <c r="AD203" i="3"/>
  <c r="AC203" i="3"/>
  <c r="AB203" i="3"/>
  <c r="X203" i="3"/>
  <c r="AA203" i="3" s="1"/>
  <c r="W203" i="3"/>
  <c r="U203" i="3"/>
  <c r="V203" i="3" s="1"/>
  <c r="T203" i="3"/>
  <c r="AI203" i="3" s="1"/>
  <c r="AO202" i="3"/>
  <c r="AP202" i="3" s="1"/>
  <c r="AL202" i="3"/>
  <c r="AK202" i="3"/>
  <c r="AJ202" i="3"/>
  <c r="AH202" i="3"/>
  <c r="AG202" i="3"/>
  <c r="AF202" i="3"/>
  <c r="AE202" i="3"/>
  <c r="AD202" i="3"/>
  <c r="AC202" i="3"/>
  <c r="AB202" i="3"/>
  <c r="X202" i="3"/>
  <c r="AA202" i="3" s="1"/>
  <c r="W202" i="3"/>
  <c r="U202" i="3"/>
  <c r="V202" i="3" s="1"/>
  <c r="T202" i="3"/>
  <c r="AI202" i="3" s="1"/>
  <c r="AO201" i="3"/>
  <c r="AP201" i="3" s="1"/>
  <c r="AL201" i="3"/>
  <c r="AK201" i="3"/>
  <c r="AJ201" i="3"/>
  <c r="AH201" i="3"/>
  <c r="AG201" i="3"/>
  <c r="AF201" i="3"/>
  <c r="AE201" i="3"/>
  <c r="AD201" i="3"/>
  <c r="AC201" i="3"/>
  <c r="AB201" i="3"/>
  <c r="X201" i="3"/>
  <c r="AA201" i="3" s="1"/>
  <c r="W201" i="3"/>
  <c r="U201" i="3"/>
  <c r="V201" i="3" s="1"/>
  <c r="T201" i="3"/>
  <c r="AI201" i="3" s="1"/>
  <c r="AO200" i="3"/>
  <c r="AP200" i="3" s="1"/>
  <c r="AL200" i="3"/>
  <c r="AK200" i="3"/>
  <c r="AJ200" i="3"/>
  <c r="AH200" i="3"/>
  <c r="AG200" i="3"/>
  <c r="AF200" i="3"/>
  <c r="AE200" i="3"/>
  <c r="AD200" i="3"/>
  <c r="AC200" i="3"/>
  <c r="AB200" i="3"/>
  <c r="X200" i="3"/>
  <c r="AA200" i="3" s="1"/>
  <c r="W200" i="3"/>
  <c r="U200" i="3"/>
  <c r="V200" i="3" s="1"/>
  <c r="T200" i="3"/>
  <c r="AI200" i="3" s="1"/>
  <c r="AO199" i="3"/>
  <c r="AP199" i="3" s="1"/>
  <c r="AL199" i="3"/>
  <c r="AK199" i="3"/>
  <c r="AJ199" i="3"/>
  <c r="AH199" i="3"/>
  <c r="AG199" i="3"/>
  <c r="AF199" i="3"/>
  <c r="AE199" i="3"/>
  <c r="AD199" i="3"/>
  <c r="AC199" i="3"/>
  <c r="AB199" i="3"/>
  <c r="X199" i="3"/>
  <c r="AA199" i="3" s="1"/>
  <c r="W199" i="3"/>
  <c r="U199" i="3"/>
  <c r="V199" i="3" s="1"/>
  <c r="T199" i="3"/>
  <c r="AI199" i="3" s="1"/>
  <c r="AO198" i="3"/>
  <c r="AP198" i="3" s="1"/>
  <c r="AL198" i="3"/>
  <c r="AK198" i="3"/>
  <c r="AJ198" i="3"/>
  <c r="AH198" i="3"/>
  <c r="AG198" i="3"/>
  <c r="AF198" i="3"/>
  <c r="AE198" i="3"/>
  <c r="AD198" i="3"/>
  <c r="AC198" i="3"/>
  <c r="AB198" i="3"/>
  <c r="X198" i="3"/>
  <c r="AA198" i="3" s="1"/>
  <c r="W198" i="3"/>
  <c r="U198" i="3"/>
  <c r="V198" i="3" s="1"/>
  <c r="T198" i="3"/>
  <c r="AI198" i="3" s="1"/>
  <c r="AO197" i="3"/>
  <c r="AP197" i="3" s="1"/>
  <c r="AL197" i="3"/>
  <c r="AK197" i="3"/>
  <c r="AJ197" i="3"/>
  <c r="AH197" i="3"/>
  <c r="AG197" i="3"/>
  <c r="AF197" i="3"/>
  <c r="AE197" i="3"/>
  <c r="AD197" i="3"/>
  <c r="AC197" i="3"/>
  <c r="AB197" i="3"/>
  <c r="X197" i="3"/>
  <c r="AA197" i="3" s="1"/>
  <c r="W197" i="3"/>
  <c r="U197" i="3"/>
  <c r="V197" i="3" s="1"/>
  <c r="T197" i="3"/>
  <c r="AI197" i="3" s="1"/>
  <c r="AO196" i="3"/>
  <c r="AP196" i="3" s="1"/>
  <c r="AL196" i="3"/>
  <c r="AK196" i="3"/>
  <c r="AJ196" i="3"/>
  <c r="AH196" i="3"/>
  <c r="AG196" i="3"/>
  <c r="AF196" i="3"/>
  <c r="AE196" i="3"/>
  <c r="AD196" i="3"/>
  <c r="AC196" i="3"/>
  <c r="AB196" i="3"/>
  <c r="X196" i="3"/>
  <c r="AA196" i="3" s="1"/>
  <c r="W196" i="3"/>
  <c r="U196" i="3"/>
  <c r="V196" i="3" s="1"/>
  <c r="T196" i="3"/>
  <c r="AI196" i="3" s="1"/>
  <c r="AO195" i="3"/>
  <c r="AP195" i="3" s="1"/>
  <c r="AL195" i="3"/>
  <c r="AK195" i="3"/>
  <c r="AJ195" i="3"/>
  <c r="AH195" i="3"/>
  <c r="AG195" i="3"/>
  <c r="AF195" i="3"/>
  <c r="AE195" i="3"/>
  <c r="AD195" i="3"/>
  <c r="AC195" i="3"/>
  <c r="AB195" i="3"/>
  <c r="X195" i="3"/>
  <c r="AA195" i="3" s="1"/>
  <c r="W195" i="3"/>
  <c r="U195" i="3"/>
  <c r="V195" i="3" s="1"/>
  <c r="T195" i="3"/>
  <c r="AI195" i="3" s="1"/>
  <c r="AO194" i="3"/>
  <c r="AP194" i="3" s="1"/>
  <c r="AL194" i="3"/>
  <c r="AK194" i="3"/>
  <c r="AJ194" i="3"/>
  <c r="AH194" i="3"/>
  <c r="AG194" i="3"/>
  <c r="AF194" i="3"/>
  <c r="AE194" i="3"/>
  <c r="AD194" i="3"/>
  <c r="AC194" i="3"/>
  <c r="AB194" i="3"/>
  <c r="X194" i="3"/>
  <c r="AA194" i="3" s="1"/>
  <c r="W194" i="3"/>
  <c r="U194" i="3"/>
  <c r="V194" i="3" s="1"/>
  <c r="T194" i="3"/>
  <c r="AI194" i="3" s="1"/>
  <c r="AO193" i="3"/>
  <c r="AP193" i="3" s="1"/>
  <c r="AL193" i="3"/>
  <c r="AK193" i="3"/>
  <c r="AJ193" i="3"/>
  <c r="AH193" i="3"/>
  <c r="AG193" i="3"/>
  <c r="AF193" i="3"/>
  <c r="AE193" i="3"/>
  <c r="AD193" i="3"/>
  <c r="AC193" i="3"/>
  <c r="AB193" i="3"/>
  <c r="X193" i="3"/>
  <c r="AA193" i="3" s="1"/>
  <c r="W193" i="3"/>
  <c r="U193" i="3"/>
  <c r="V193" i="3" s="1"/>
  <c r="T193" i="3"/>
  <c r="AI193" i="3" s="1"/>
  <c r="AO192" i="3"/>
  <c r="AP192" i="3" s="1"/>
  <c r="AL192" i="3"/>
  <c r="AK192" i="3"/>
  <c r="AJ192" i="3"/>
  <c r="AH192" i="3"/>
  <c r="AG192" i="3"/>
  <c r="AF192" i="3"/>
  <c r="AE192" i="3"/>
  <c r="AD192" i="3"/>
  <c r="AC192" i="3"/>
  <c r="AB192" i="3"/>
  <c r="X192" i="3"/>
  <c r="AA192" i="3" s="1"/>
  <c r="W192" i="3"/>
  <c r="U192" i="3"/>
  <c r="V192" i="3" s="1"/>
  <c r="T192" i="3"/>
  <c r="AI192" i="3" s="1"/>
  <c r="AO191" i="3"/>
  <c r="AP191" i="3" s="1"/>
  <c r="AL191" i="3"/>
  <c r="AK191" i="3"/>
  <c r="AJ191" i="3"/>
  <c r="AH191" i="3"/>
  <c r="AG191" i="3"/>
  <c r="AF191" i="3"/>
  <c r="AE191" i="3"/>
  <c r="AD191" i="3"/>
  <c r="AC191" i="3"/>
  <c r="AB191" i="3"/>
  <c r="X191" i="3"/>
  <c r="AA191" i="3" s="1"/>
  <c r="W191" i="3"/>
  <c r="U191" i="3"/>
  <c r="V191" i="3" s="1"/>
  <c r="T191" i="3"/>
  <c r="AI191" i="3" s="1"/>
  <c r="AO190" i="3"/>
  <c r="AP190" i="3" s="1"/>
  <c r="AL190" i="3"/>
  <c r="AK190" i="3"/>
  <c r="AJ190" i="3"/>
  <c r="AH190" i="3"/>
  <c r="AG190" i="3"/>
  <c r="AF190" i="3"/>
  <c r="AE190" i="3"/>
  <c r="AD190" i="3"/>
  <c r="AC190" i="3"/>
  <c r="AB190" i="3"/>
  <c r="X190" i="3"/>
  <c r="AA190" i="3" s="1"/>
  <c r="W190" i="3"/>
  <c r="U190" i="3"/>
  <c r="V190" i="3" s="1"/>
  <c r="T190" i="3"/>
  <c r="AI190" i="3" s="1"/>
  <c r="AO189" i="3"/>
  <c r="AP189" i="3" s="1"/>
  <c r="AL189" i="3"/>
  <c r="AK189" i="3"/>
  <c r="AJ189" i="3"/>
  <c r="AH189" i="3"/>
  <c r="AG189" i="3"/>
  <c r="AF189" i="3"/>
  <c r="AE189" i="3"/>
  <c r="AD189" i="3"/>
  <c r="AC189" i="3"/>
  <c r="AB189" i="3"/>
  <c r="X189" i="3"/>
  <c r="AA189" i="3" s="1"/>
  <c r="W189" i="3"/>
  <c r="U189" i="3"/>
  <c r="V189" i="3" s="1"/>
  <c r="T189" i="3"/>
  <c r="AI189" i="3" s="1"/>
  <c r="AO188" i="3"/>
  <c r="AP188" i="3" s="1"/>
  <c r="AL188" i="3"/>
  <c r="AK188" i="3"/>
  <c r="AJ188" i="3"/>
  <c r="AH188" i="3"/>
  <c r="AG188" i="3"/>
  <c r="AF188" i="3"/>
  <c r="AE188" i="3"/>
  <c r="AD188" i="3"/>
  <c r="AC188" i="3"/>
  <c r="AB188" i="3"/>
  <c r="X188" i="3"/>
  <c r="AA188" i="3" s="1"/>
  <c r="W188" i="3"/>
  <c r="U188" i="3"/>
  <c r="V188" i="3" s="1"/>
  <c r="T188" i="3"/>
  <c r="AI188" i="3" s="1"/>
  <c r="AO187" i="3"/>
  <c r="AP187" i="3" s="1"/>
  <c r="AL187" i="3"/>
  <c r="AK187" i="3"/>
  <c r="AJ187" i="3"/>
  <c r="AH187" i="3"/>
  <c r="AG187" i="3"/>
  <c r="AF187" i="3"/>
  <c r="AE187" i="3"/>
  <c r="AD187" i="3"/>
  <c r="AC187" i="3"/>
  <c r="AB187" i="3"/>
  <c r="X187" i="3"/>
  <c r="AA187" i="3" s="1"/>
  <c r="W187" i="3"/>
  <c r="U187" i="3"/>
  <c r="V187" i="3" s="1"/>
  <c r="T187" i="3"/>
  <c r="AI187" i="3" s="1"/>
  <c r="AO186" i="3"/>
  <c r="AP186" i="3" s="1"/>
  <c r="AL186" i="3"/>
  <c r="AK186" i="3"/>
  <c r="AJ186" i="3"/>
  <c r="AH186" i="3"/>
  <c r="AG186" i="3"/>
  <c r="AF186" i="3"/>
  <c r="AE186" i="3"/>
  <c r="AD186" i="3"/>
  <c r="AC186" i="3"/>
  <c r="AB186" i="3"/>
  <c r="X186" i="3"/>
  <c r="AA186" i="3" s="1"/>
  <c r="W186" i="3"/>
  <c r="U186" i="3"/>
  <c r="V186" i="3" s="1"/>
  <c r="T186" i="3"/>
  <c r="AI186" i="3" s="1"/>
  <c r="AO185" i="3"/>
  <c r="AP185" i="3" s="1"/>
  <c r="AL185" i="3"/>
  <c r="AK185" i="3"/>
  <c r="AJ185" i="3"/>
  <c r="AH185" i="3"/>
  <c r="AG185" i="3"/>
  <c r="AF185" i="3"/>
  <c r="AE185" i="3"/>
  <c r="AD185" i="3"/>
  <c r="AC185" i="3"/>
  <c r="AB185" i="3"/>
  <c r="X185" i="3"/>
  <c r="AA185" i="3" s="1"/>
  <c r="W185" i="3"/>
  <c r="U185" i="3"/>
  <c r="V185" i="3" s="1"/>
  <c r="T185" i="3"/>
  <c r="AI185" i="3" s="1"/>
  <c r="AO184" i="3"/>
  <c r="AP184" i="3" s="1"/>
  <c r="AL184" i="3"/>
  <c r="AK184" i="3"/>
  <c r="AJ184" i="3"/>
  <c r="AH184" i="3"/>
  <c r="AG184" i="3"/>
  <c r="AF184" i="3"/>
  <c r="AE184" i="3"/>
  <c r="AD184" i="3"/>
  <c r="AC184" i="3"/>
  <c r="AB184" i="3"/>
  <c r="X184" i="3"/>
  <c r="AA184" i="3" s="1"/>
  <c r="W184" i="3"/>
  <c r="U184" i="3"/>
  <c r="V184" i="3" s="1"/>
  <c r="T184" i="3"/>
  <c r="AI184" i="3" s="1"/>
  <c r="AO183" i="3"/>
  <c r="AP183" i="3" s="1"/>
  <c r="AL183" i="3"/>
  <c r="AK183" i="3"/>
  <c r="AJ183" i="3"/>
  <c r="AH183" i="3"/>
  <c r="AG183" i="3"/>
  <c r="AF183" i="3"/>
  <c r="AE183" i="3"/>
  <c r="AD183" i="3"/>
  <c r="AC183" i="3"/>
  <c r="AB183" i="3"/>
  <c r="X183" i="3"/>
  <c r="AA183" i="3" s="1"/>
  <c r="W183" i="3"/>
  <c r="U183" i="3"/>
  <c r="V183" i="3" s="1"/>
  <c r="T183" i="3"/>
  <c r="AI183" i="3" s="1"/>
  <c r="AO182" i="3"/>
  <c r="AP182" i="3" s="1"/>
  <c r="AL182" i="3"/>
  <c r="AK182" i="3"/>
  <c r="AJ182" i="3"/>
  <c r="AH182" i="3"/>
  <c r="AG182" i="3"/>
  <c r="AF182" i="3"/>
  <c r="AE182" i="3"/>
  <c r="AD182" i="3"/>
  <c r="AC182" i="3"/>
  <c r="AB182" i="3"/>
  <c r="X182" i="3"/>
  <c r="AA182" i="3" s="1"/>
  <c r="W182" i="3"/>
  <c r="U182" i="3"/>
  <c r="V182" i="3" s="1"/>
  <c r="T182" i="3"/>
  <c r="AI182" i="3" s="1"/>
  <c r="AO181" i="3"/>
  <c r="AP181" i="3" s="1"/>
  <c r="AL181" i="3"/>
  <c r="AK181" i="3"/>
  <c r="AJ181" i="3"/>
  <c r="AH181" i="3"/>
  <c r="AG181" i="3"/>
  <c r="AF181" i="3"/>
  <c r="AE181" i="3"/>
  <c r="AD181" i="3"/>
  <c r="AC181" i="3"/>
  <c r="AB181" i="3"/>
  <c r="X181" i="3"/>
  <c r="AA181" i="3" s="1"/>
  <c r="W181" i="3"/>
  <c r="U181" i="3"/>
  <c r="V181" i="3" s="1"/>
  <c r="T181" i="3"/>
  <c r="AI181" i="3" s="1"/>
  <c r="AO180" i="3"/>
  <c r="AP180" i="3" s="1"/>
  <c r="AL180" i="3"/>
  <c r="AK180" i="3"/>
  <c r="AJ180" i="3"/>
  <c r="AH180" i="3"/>
  <c r="AG180" i="3"/>
  <c r="AF180" i="3"/>
  <c r="AE180" i="3"/>
  <c r="AD180" i="3"/>
  <c r="AC180" i="3"/>
  <c r="AB180" i="3"/>
  <c r="X180" i="3"/>
  <c r="AA180" i="3" s="1"/>
  <c r="W180" i="3"/>
  <c r="U180" i="3"/>
  <c r="V180" i="3" s="1"/>
  <c r="T180" i="3"/>
  <c r="AI180" i="3" s="1"/>
  <c r="AO179" i="3"/>
  <c r="AP179" i="3" s="1"/>
  <c r="AL179" i="3"/>
  <c r="AK179" i="3"/>
  <c r="AJ179" i="3"/>
  <c r="AH179" i="3"/>
  <c r="AG179" i="3"/>
  <c r="AF179" i="3"/>
  <c r="AE179" i="3"/>
  <c r="AD179" i="3"/>
  <c r="AC179" i="3"/>
  <c r="AB179" i="3"/>
  <c r="X179" i="3"/>
  <c r="AA179" i="3" s="1"/>
  <c r="W179" i="3"/>
  <c r="U179" i="3"/>
  <c r="V179" i="3" s="1"/>
  <c r="T179" i="3"/>
  <c r="AI179" i="3" s="1"/>
  <c r="AO178" i="3"/>
  <c r="AP178" i="3" s="1"/>
  <c r="AL178" i="3"/>
  <c r="AK178" i="3"/>
  <c r="AJ178" i="3"/>
  <c r="AH178" i="3"/>
  <c r="AG178" i="3"/>
  <c r="AF178" i="3"/>
  <c r="AE178" i="3"/>
  <c r="AD178" i="3"/>
  <c r="AC178" i="3"/>
  <c r="AB178" i="3"/>
  <c r="X178" i="3"/>
  <c r="AA178" i="3" s="1"/>
  <c r="W178" i="3"/>
  <c r="U178" i="3"/>
  <c r="V178" i="3" s="1"/>
  <c r="T178" i="3"/>
  <c r="AI178" i="3" s="1"/>
  <c r="AO177" i="3"/>
  <c r="AP177" i="3" s="1"/>
  <c r="AL177" i="3"/>
  <c r="AK177" i="3"/>
  <c r="AJ177" i="3"/>
  <c r="AH177" i="3"/>
  <c r="AG177" i="3"/>
  <c r="AF177" i="3"/>
  <c r="AE177" i="3"/>
  <c r="AD177" i="3"/>
  <c r="AC177" i="3"/>
  <c r="AB177" i="3"/>
  <c r="X177" i="3"/>
  <c r="AA177" i="3" s="1"/>
  <c r="W177" i="3"/>
  <c r="U177" i="3"/>
  <c r="V177" i="3" s="1"/>
  <c r="T177" i="3"/>
  <c r="AI177" i="3" s="1"/>
  <c r="AO176" i="3"/>
  <c r="AP176" i="3" s="1"/>
  <c r="AL176" i="3"/>
  <c r="AK176" i="3"/>
  <c r="AJ176" i="3"/>
  <c r="AH176" i="3"/>
  <c r="AG176" i="3"/>
  <c r="AF176" i="3"/>
  <c r="AE176" i="3"/>
  <c r="AD176" i="3"/>
  <c r="AC176" i="3"/>
  <c r="AB176" i="3"/>
  <c r="X176" i="3"/>
  <c r="AA176" i="3" s="1"/>
  <c r="W176" i="3"/>
  <c r="U176" i="3"/>
  <c r="V176" i="3" s="1"/>
  <c r="T176" i="3"/>
  <c r="AI176" i="3" s="1"/>
  <c r="AO175" i="3"/>
  <c r="AP175" i="3" s="1"/>
  <c r="AL175" i="3"/>
  <c r="AK175" i="3"/>
  <c r="AJ175" i="3"/>
  <c r="AH175" i="3"/>
  <c r="AG175" i="3"/>
  <c r="AF175" i="3"/>
  <c r="AE175" i="3"/>
  <c r="AD175" i="3"/>
  <c r="AC175" i="3"/>
  <c r="AB175" i="3"/>
  <c r="X175" i="3"/>
  <c r="AA175" i="3" s="1"/>
  <c r="W175" i="3"/>
  <c r="U175" i="3"/>
  <c r="V175" i="3" s="1"/>
  <c r="T175" i="3"/>
  <c r="AI175" i="3" s="1"/>
  <c r="AO174" i="3"/>
  <c r="AP174" i="3" s="1"/>
  <c r="AL174" i="3"/>
  <c r="AK174" i="3"/>
  <c r="AJ174" i="3"/>
  <c r="AH174" i="3"/>
  <c r="AG174" i="3"/>
  <c r="AF174" i="3"/>
  <c r="AE174" i="3"/>
  <c r="AD174" i="3"/>
  <c r="AC174" i="3"/>
  <c r="AB174" i="3"/>
  <c r="X174" i="3"/>
  <c r="AA174" i="3" s="1"/>
  <c r="W174" i="3"/>
  <c r="U174" i="3"/>
  <c r="V174" i="3" s="1"/>
  <c r="T174" i="3"/>
  <c r="AI174" i="3" s="1"/>
  <c r="AO173" i="3"/>
  <c r="AP173" i="3" s="1"/>
  <c r="AL173" i="3"/>
  <c r="AK173" i="3"/>
  <c r="AJ173" i="3"/>
  <c r="AH173" i="3"/>
  <c r="AG173" i="3"/>
  <c r="AF173" i="3"/>
  <c r="AE173" i="3"/>
  <c r="AD173" i="3"/>
  <c r="AC173" i="3"/>
  <c r="AB173" i="3"/>
  <c r="X173" i="3"/>
  <c r="AA173" i="3" s="1"/>
  <c r="W173" i="3"/>
  <c r="U173" i="3"/>
  <c r="V173" i="3" s="1"/>
  <c r="T173" i="3"/>
  <c r="AI173" i="3" s="1"/>
  <c r="AO172" i="3"/>
  <c r="AP172" i="3" s="1"/>
  <c r="AL172" i="3"/>
  <c r="AK172" i="3"/>
  <c r="AJ172" i="3"/>
  <c r="AH172" i="3"/>
  <c r="AG172" i="3"/>
  <c r="AF172" i="3"/>
  <c r="AE172" i="3"/>
  <c r="AD172" i="3"/>
  <c r="AC172" i="3"/>
  <c r="AB172" i="3"/>
  <c r="X172" i="3"/>
  <c r="AA172" i="3" s="1"/>
  <c r="W172" i="3"/>
  <c r="U172" i="3"/>
  <c r="V172" i="3" s="1"/>
  <c r="T172" i="3"/>
  <c r="AI172" i="3" s="1"/>
  <c r="AO171" i="3"/>
  <c r="AP171" i="3" s="1"/>
  <c r="AL171" i="3"/>
  <c r="AK171" i="3"/>
  <c r="AJ171" i="3"/>
  <c r="AH171" i="3"/>
  <c r="AG171" i="3"/>
  <c r="AF171" i="3"/>
  <c r="AE171" i="3"/>
  <c r="AD171" i="3"/>
  <c r="AC171" i="3"/>
  <c r="AB171" i="3"/>
  <c r="X171" i="3"/>
  <c r="AA171" i="3" s="1"/>
  <c r="W171" i="3"/>
  <c r="U171" i="3"/>
  <c r="V171" i="3" s="1"/>
  <c r="T171" i="3"/>
  <c r="AI171" i="3" s="1"/>
  <c r="AO170" i="3"/>
  <c r="AP170" i="3" s="1"/>
  <c r="AL170" i="3"/>
  <c r="AK170" i="3"/>
  <c r="AJ170" i="3"/>
  <c r="AH170" i="3"/>
  <c r="AG170" i="3"/>
  <c r="AF170" i="3"/>
  <c r="AE170" i="3"/>
  <c r="AD170" i="3"/>
  <c r="AC170" i="3"/>
  <c r="AB170" i="3"/>
  <c r="X170" i="3"/>
  <c r="AA170" i="3" s="1"/>
  <c r="W170" i="3"/>
  <c r="U170" i="3"/>
  <c r="V170" i="3" s="1"/>
  <c r="T170" i="3"/>
  <c r="AI170" i="3" s="1"/>
  <c r="AO169" i="3"/>
  <c r="AP169" i="3" s="1"/>
  <c r="AL169" i="3"/>
  <c r="AK169" i="3"/>
  <c r="AJ169" i="3"/>
  <c r="AH169" i="3"/>
  <c r="AG169" i="3"/>
  <c r="AF169" i="3"/>
  <c r="AE169" i="3"/>
  <c r="AD169" i="3"/>
  <c r="AC169" i="3"/>
  <c r="AB169" i="3"/>
  <c r="X169" i="3"/>
  <c r="AA169" i="3" s="1"/>
  <c r="W169" i="3"/>
  <c r="U169" i="3"/>
  <c r="V169" i="3" s="1"/>
  <c r="T169" i="3"/>
  <c r="AI169" i="3" s="1"/>
  <c r="AO168" i="3"/>
  <c r="AP168" i="3" s="1"/>
  <c r="AL168" i="3"/>
  <c r="AK168" i="3"/>
  <c r="AJ168" i="3"/>
  <c r="AH168" i="3"/>
  <c r="AG168" i="3"/>
  <c r="AF168" i="3"/>
  <c r="AE168" i="3"/>
  <c r="AD168" i="3"/>
  <c r="AC168" i="3"/>
  <c r="AB168" i="3"/>
  <c r="X168" i="3"/>
  <c r="AA168" i="3" s="1"/>
  <c r="W168" i="3"/>
  <c r="U168" i="3"/>
  <c r="V168" i="3" s="1"/>
  <c r="T168" i="3"/>
  <c r="AI168" i="3" s="1"/>
  <c r="AO167" i="3"/>
  <c r="AP167" i="3" s="1"/>
  <c r="AL167" i="3"/>
  <c r="AK167" i="3"/>
  <c r="AJ167" i="3"/>
  <c r="AH167" i="3"/>
  <c r="AG167" i="3"/>
  <c r="AF167" i="3"/>
  <c r="AE167" i="3"/>
  <c r="AD167" i="3"/>
  <c r="AC167" i="3"/>
  <c r="AB167" i="3"/>
  <c r="X167" i="3"/>
  <c r="AA167" i="3" s="1"/>
  <c r="W167" i="3"/>
  <c r="U167" i="3"/>
  <c r="V167" i="3" s="1"/>
  <c r="T167" i="3"/>
  <c r="AI167" i="3" s="1"/>
  <c r="AO166" i="3"/>
  <c r="AP166" i="3" s="1"/>
  <c r="AL166" i="3"/>
  <c r="AK166" i="3"/>
  <c r="AJ166" i="3"/>
  <c r="AH166" i="3"/>
  <c r="AG166" i="3"/>
  <c r="AF166" i="3"/>
  <c r="AE166" i="3"/>
  <c r="AD166" i="3"/>
  <c r="AC166" i="3"/>
  <c r="AB166" i="3"/>
  <c r="X166" i="3"/>
  <c r="AA166" i="3" s="1"/>
  <c r="W166" i="3"/>
  <c r="U166" i="3"/>
  <c r="V166" i="3" s="1"/>
  <c r="T166" i="3"/>
  <c r="AI166" i="3" s="1"/>
  <c r="AO165" i="3"/>
  <c r="AP165" i="3" s="1"/>
  <c r="AL165" i="3"/>
  <c r="AK165" i="3"/>
  <c r="AJ165" i="3"/>
  <c r="AH165" i="3"/>
  <c r="AG165" i="3"/>
  <c r="AF165" i="3"/>
  <c r="AE165" i="3"/>
  <c r="AD165" i="3"/>
  <c r="AC165" i="3"/>
  <c r="AB165" i="3"/>
  <c r="X165" i="3"/>
  <c r="AA165" i="3" s="1"/>
  <c r="W165" i="3"/>
  <c r="U165" i="3"/>
  <c r="V165" i="3" s="1"/>
  <c r="T165" i="3"/>
  <c r="AI165" i="3" s="1"/>
  <c r="AO164" i="3"/>
  <c r="AP164" i="3" s="1"/>
  <c r="AL164" i="3"/>
  <c r="AK164" i="3"/>
  <c r="AJ164" i="3"/>
  <c r="AH164" i="3"/>
  <c r="AG164" i="3"/>
  <c r="AF164" i="3"/>
  <c r="AE164" i="3"/>
  <c r="AD164" i="3"/>
  <c r="AC164" i="3"/>
  <c r="AB164" i="3"/>
  <c r="X164" i="3"/>
  <c r="AA164" i="3" s="1"/>
  <c r="W164" i="3"/>
  <c r="U164" i="3"/>
  <c r="V164" i="3" s="1"/>
  <c r="T164" i="3"/>
  <c r="AI164" i="3" s="1"/>
  <c r="AO163" i="3"/>
  <c r="AP163" i="3" s="1"/>
  <c r="AL163" i="3"/>
  <c r="AK163" i="3"/>
  <c r="AJ163" i="3"/>
  <c r="AH163" i="3"/>
  <c r="AG163" i="3"/>
  <c r="AF163" i="3"/>
  <c r="AE163" i="3"/>
  <c r="AD163" i="3"/>
  <c r="AC163" i="3"/>
  <c r="AB163" i="3"/>
  <c r="X163" i="3"/>
  <c r="AA163" i="3" s="1"/>
  <c r="W163" i="3"/>
  <c r="U163" i="3"/>
  <c r="V163" i="3" s="1"/>
  <c r="T163" i="3"/>
  <c r="AI163" i="3" s="1"/>
  <c r="AO162" i="3"/>
  <c r="AP162" i="3" s="1"/>
  <c r="AL162" i="3"/>
  <c r="AK162" i="3"/>
  <c r="AJ162" i="3"/>
  <c r="AH162" i="3"/>
  <c r="AG162" i="3"/>
  <c r="AF162" i="3"/>
  <c r="AE162" i="3"/>
  <c r="AD162" i="3"/>
  <c r="AC162" i="3"/>
  <c r="AB162" i="3"/>
  <c r="X162" i="3"/>
  <c r="AA162" i="3" s="1"/>
  <c r="W162" i="3"/>
  <c r="U162" i="3"/>
  <c r="V162" i="3" s="1"/>
  <c r="T162" i="3"/>
  <c r="AI162" i="3" s="1"/>
  <c r="AO161" i="3"/>
  <c r="AP161" i="3" s="1"/>
  <c r="AL161" i="3"/>
  <c r="AK161" i="3"/>
  <c r="AJ161" i="3"/>
  <c r="AH161" i="3"/>
  <c r="AG161" i="3"/>
  <c r="AF161" i="3"/>
  <c r="AE161" i="3"/>
  <c r="AD161" i="3"/>
  <c r="AC161" i="3"/>
  <c r="AB161" i="3"/>
  <c r="X161" i="3"/>
  <c r="AA161" i="3" s="1"/>
  <c r="W161" i="3"/>
  <c r="U161" i="3"/>
  <c r="V161" i="3" s="1"/>
  <c r="T161" i="3"/>
  <c r="AI161" i="3" s="1"/>
  <c r="AO160" i="3"/>
  <c r="AP160" i="3" s="1"/>
  <c r="AL160" i="3"/>
  <c r="AK160" i="3"/>
  <c r="AJ160" i="3"/>
  <c r="AH160" i="3"/>
  <c r="AG160" i="3"/>
  <c r="AF160" i="3"/>
  <c r="AE160" i="3"/>
  <c r="AD160" i="3"/>
  <c r="AC160" i="3"/>
  <c r="AB160" i="3"/>
  <c r="X160" i="3"/>
  <c r="AA160" i="3" s="1"/>
  <c r="W160" i="3"/>
  <c r="U160" i="3"/>
  <c r="V160" i="3" s="1"/>
  <c r="T160" i="3"/>
  <c r="AI160" i="3" s="1"/>
  <c r="AO159" i="3"/>
  <c r="AP159" i="3" s="1"/>
  <c r="AL159" i="3"/>
  <c r="AK159" i="3"/>
  <c r="AJ159" i="3"/>
  <c r="AH159" i="3"/>
  <c r="AG159" i="3"/>
  <c r="AF159" i="3"/>
  <c r="AE159" i="3"/>
  <c r="AD159" i="3"/>
  <c r="AC159" i="3"/>
  <c r="AB159" i="3"/>
  <c r="X159" i="3"/>
  <c r="AA159" i="3" s="1"/>
  <c r="W159" i="3"/>
  <c r="U159" i="3"/>
  <c r="V159" i="3" s="1"/>
  <c r="T159" i="3"/>
  <c r="AI159" i="3" s="1"/>
  <c r="AO158" i="3"/>
  <c r="AP158" i="3" s="1"/>
  <c r="AL158" i="3"/>
  <c r="AK158" i="3"/>
  <c r="AJ158" i="3"/>
  <c r="AH158" i="3"/>
  <c r="AG158" i="3"/>
  <c r="AF158" i="3"/>
  <c r="AE158" i="3"/>
  <c r="AD158" i="3"/>
  <c r="AC158" i="3"/>
  <c r="AB158" i="3"/>
  <c r="X158" i="3"/>
  <c r="AA158" i="3" s="1"/>
  <c r="W158" i="3"/>
  <c r="U158" i="3"/>
  <c r="V158" i="3" s="1"/>
  <c r="T158" i="3"/>
  <c r="AI158" i="3" s="1"/>
  <c r="AO157" i="3"/>
  <c r="AP157" i="3" s="1"/>
  <c r="AL157" i="3"/>
  <c r="AK157" i="3"/>
  <c r="AJ157" i="3"/>
  <c r="AH157" i="3"/>
  <c r="AG157" i="3"/>
  <c r="AF157" i="3"/>
  <c r="AE157" i="3"/>
  <c r="AD157" i="3"/>
  <c r="AC157" i="3"/>
  <c r="AB157" i="3"/>
  <c r="X157" i="3"/>
  <c r="AA157" i="3" s="1"/>
  <c r="W157" i="3"/>
  <c r="U157" i="3"/>
  <c r="V157" i="3" s="1"/>
  <c r="T157" i="3"/>
  <c r="AI157" i="3" s="1"/>
  <c r="AO156" i="3"/>
  <c r="AP156" i="3" s="1"/>
  <c r="AL156" i="3"/>
  <c r="AK156" i="3"/>
  <c r="AJ156" i="3"/>
  <c r="AH156" i="3"/>
  <c r="AG156" i="3"/>
  <c r="AF156" i="3"/>
  <c r="AE156" i="3"/>
  <c r="AD156" i="3"/>
  <c r="AC156" i="3"/>
  <c r="AB156" i="3"/>
  <c r="X156" i="3"/>
  <c r="AA156" i="3" s="1"/>
  <c r="W156" i="3"/>
  <c r="U156" i="3"/>
  <c r="V156" i="3" s="1"/>
  <c r="T156" i="3"/>
  <c r="AI156" i="3" s="1"/>
  <c r="AO155" i="3"/>
  <c r="AP155" i="3" s="1"/>
  <c r="AL155" i="3"/>
  <c r="AK155" i="3"/>
  <c r="AJ155" i="3"/>
  <c r="AH155" i="3"/>
  <c r="AG155" i="3"/>
  <c r="AF155" i="3"/>
  <c r="AE155" i="3"/>
  <c r="AD155" i="3"/>
  <c r="AC155" i="3"/>
  <c r="AB155" i="3"/>
  <c r="X155" i="3"/>
  <c r="AA155" i="3" s="1"/>
  <c r="W155" i="3"/>
  <c r="U155" i="3"/>
  <c r="V155" i="3" s="1"/>
  <c r="T155" i="3"/>
  <c r="AI155" i="3" s="1"/>
  <c r="AO154" i="3"/>
  <c r="AP154" i="3" s="1"/>
  <c r="AL154" i="3"/>
  <c r="AK154" i="3"/>
  <c r="AJ154" i="3"/>
  <c r="AH154" i="3"/>
  <c r="AG154" i="3"/>
  <c r="AF154" i="3"/>
  <c r="AE154" i="3"/>
  <c r="AD154" i="3"/>
  <c r="AC154" i="3"/>
  <c r="AB154" i="3"/>
  <c r="X154" i="3"/>
  <c r="AA154" i="3" s="1"/>
  <c r="W154" i="3"/>
  <c r="U154" i="3"/>
  <c r="V154" i="3" s="1"/>
  <c r="T154" i="3"/>
  <c r="AI154" i="3" s="1"/>
  <c r="AO153" i="3"/>
  <c r="AP153" i="3" s="1"/>
  <c r="AL153" i="3"/>
  <c r="AK153" i="3"/>
  <c r="AJ153" i="3"/>
  <c r="AH153" i="3"/>
  <c r="AG153" i="3"/>
  <c r="AF153" i="3"/>
  <c r="AE153" i="3"/>
  <c r="AD153" i="3"/>
  <c r="AC153" i="3"/>
  <c r="AB153" i="3"/>
  <c r="X153" i="3"/>
  <c r="AA153" i="3" s="1"/>
  <c r="W153" i="3"/>
  <c r="U153" i="3"/>
  <c r="V153" i="3" s="1"/>
  <c r="T153" i="3"/>
  <c r="AI153" i="3" s="1"/>
  <c r="AO152" i="3"/>
  <c r="AP152" i="3" s="1"/>
  <c r="AL152" i="3"/>
  <c r="AK152" i="3"/>
  <c r="AJ152" i="3"/>
  <c r="AH152" i="3"/>
  <c r="AG152" i="3"/>
  <c r="AF152" i="3"/>
  <c r="AE152" i="3"/>
  <c r="AD152" i="3"/>
  <c r="AC152" i="3"/>
  <c r="AB152" i="3"/>
  <c r="X152" i="3"/>
  <c r="AA152" i="3" s="1"/>
  <c r="W152" i="3"/>
  <c r="U152" i="3"/>
  <c r="V152" i="3" s="1"/>
  <c r="T152" i="3"/>
  <c r="AI152" i="3" s="1"/>
  <c r="AO151" i="3"/>
  <c r="AP151" i="3" s="1"/>
  <c r="AL151" i="3"/>
  <c r="AK151" i="3"/>
  <c r="AJ151" i="3"/>
  <c r="AH151" i="3"/>
  <c r="AG151" i="3"/>
  <c r="AF151" i="3"/>
  <c r="AE151" i="3"/>
  <c r="AD151" i="3"/>
  <c r="AC151" i="3"/>
  <c r="AB151" i="3"/>
  <c r="X151" i="3"/>
  <c r="AA151" i="3" s="1"/>
  <c r="W151" i="3"/>
  <c r="U151" i="3"/>
  <c r="V151" i="3" s="1"/>
  <c r="T151" i="3"/>
  <c r="AI151" i="3" s="1"/>
  <c r="AO150" i="3"/>
  <c r="AP150" i="3" s="1"/>
  <c r="AL150" i="3"/>
  <c r="AK150" i="3"/>
  <c r="AJ150" i="3"/>
  <c r="AH150" i="3"/>
  <c r="AG150" i="3"/>
  <c r="AF150" i="3"/>
  <c r="AE150" i="3"/>
  <c r="AD150" i="3"/>
  <c r="AC150" i="3"/>
  <c r="AB150" i="3"/>
  <c r="X150" i="3"/>
  <c r="AA150" i="3" s="1"/>
  <c r="W150" i="3"/>
  <c r="U150" i="3"/>
  <c r="V150" i="3" s="1"/>
  <c r="T150" i="3"/>
  <c r="AI150" i="3" s="1"/>
  <c r="AO149" i="3"/>
  <c r="AP149" i="3" s="1"/>
  <c r="AL149" i="3"/>
  <c r="AK149" i="3"/>
  <c r="AJ149" i="3"/>
  <c r="AH149" i="3"/>
  <c r="AG149" i="3"/>
  <c r="AF149" i="3"/>
  <c r="AE149" i="3"/>
  <c r="AD149" i="3"/>
  <c r="AC149" i="3"/>
  <c r="AB149" i="3"/>
  <c r="X149" i="3"/>
  <c r="AA149" i="3" s="1"/>
  <c r="W149" i="3"/>
  <c r="U149" i="3"/>
  <c r="V149" i="3" s="1"/>
  <c r="T149" i="3"/>
  <c r="AI149" i="3" s="1"/>
  <c r="AO148" i="3"/>
  <c r="AP148" i="3" s="1"/>
  <c r="AL148" i="3"/>
  <c r="AK148" i="3"/>
  <c r="AJ148" i="3"/>
  <c r="AH148" i="3"/>
  <c r="AG148" i="3"/>
  <c r="AF148" i="3"/>
  <c r="AE148" i="3"/>
  <c r="AD148" i="3"/>
  <c r="AC148" i="3"/>
  <c r="AB148" i="3"/>
  <c r="X148" i="3"/>
  <c r="AA148" i="3" s="1"/>
  <c r="W148" i="3"/>
  <c r="U148" i="3"/>
  <c r="V148" i="3" s="1"/>
  <c r="T148" i="3"/>
  <c r="AI148" i="3" s="1"/>
  <c r="AO147" i="3"/>
  <c r="AP147" i="3" s="1"/>
  <c r="AL147" i="3"/>
  <c r="AK147" i="3"/>
  <c r="AJ147" i="3"/>
  <c r="AH147" i="3"/>
  <c r="AG147" i="3"/>
  <c r="AF147" i="3"/>
  <c r="AE147" i="3"/>
  <c r="AD147" i="3"/>
  <c r="AC147" i="3"/>
  <c r="AB147" i="3"/>
  <c r="X147" i="3"/>
  <c r="AA147" i="3" s="1"/>
  <c r="W147" i="3"/>
  <c r="U147" i="3"/>
  <c r="V147" i="3" s="1"/>
  <c r="T147" i="3"/>
  <c r="AI147" i="3" s="1"/>
  <c r="AO146" i="3"/>
  <c r="AP146" i="3" s="1"/>
  <c r="AL146" i="3"/>
  <c r="AK146" i="3"/>
  <c r="AJ146" i="3"/>
  <c r="AH146" i="3"/>
  <c r="AG146" i="3"/>
  <c r="AF146" i="3"/>
  <c r="AE146" i="3"/>
  <c r="AD146" i="3"/>
  <c r="AC146" i="3"/>
  <c r="AB146" i="3"/>
  <c r="X146" i="3"/>
  <c r="AA146" i="3" s="1"/>
  <c r="W146" i="3"/>
  <c r="U146" i="3"/>
  <c r="V146" i="3" s="1"/>
  <c r="T146" i="3"/>
  <c r="AI146" i="3" s="1"/>
  <c r="AO145" i="3"/>
  <c r="AP145" i="3" s="1"/>
  <c r="AL145" i="3"/>
  <c r="AK145" i="3"/>
  <c r="AJ145" i="3"/>
  <c r="AH145" i="3"/>
  <c r="AG145" i="3"/>
  <c r="AF145" i="3"/>
  <c r="AE145" i="3"/>
  <c r="AD145" i="3"/>
  <c r="AC145" i="3"/>
  <c r="AB145" i="3"/>
  <c r="X145" i="3"/>
  <c r="AA145" i="3" s="1"/>
  <c r="W145" i="3"/>
  <c r="U145" i="3"/>
  <c r="V145" i="3" s="1"/>
  <c r="T145" i="3"/>
  <c r="AI145" i="3" s="1"/>
  <c r="AO144" i="3"/>
  <c r="AP144" i="3" s="1"/>
  <c r="AL144" i="3"/>
  <c r="AK144" i="3"/>
  <c r="AJ144" i="3"/>
  <c r="AH144" i="3"/>
  <c r="AG144" i="3"/>
  <c r="AF144" i="3"/>
  <c r="AE144" i="3"/>
  <c r="AD144" i="3"/>
  <c r="AC144" i="3"/>
  <c r="AB144" i="3"/>
  <c r="X144" i="3"/>
  <c r="AA144" i="3" s="1"/>
  <c r="W144" i="3"/>
  <c r="U144" i="3"/>
  <c r="V144" i="3" s="1"/>
  <c r="T144" i="3"/>
  <c r="AI144" i="3" s="1"/>
  <c r="AO143" i="3"/>
  <c r="AP143" i="3" s="1"/>
  <c r="AL143" i="3"/>
  <c r="AK143" i="3"/>
  <c r="AJ143" i="3"/>
  <c r="AH143" i="3"/>
  <c r="AG143" i="3"/>
  <c r="AF143" i="3"/>
  <c r="AE143" i="3"/>
  <c r="AD143" i="3"/>
  <c r="AC143" i="3"/>
  <c r="AB143" i="3"/>
  <c r="X143" i="3"/>
  <c r="AA143" i="3" s="1"/>
  <c r="W143" i="3"/>
  <c r="U143" i="3"/>
  <c r="V143" i="3" s="1"/>
  <c r="T143" i="3"/>
  <c r="AI143" i="3" s="1"/>
  <c r="AO142" i="3"/>
  <c r="AP142" i="3" s="1"/>
  <c r="AL142" i="3"/>
  <c r="AK142" i="3"/>
  <c r="AJ142" i="3"/>
  <c r="AH142" i="3"/>
  <c r="AG142" i="3"/>
  <c r="AF142" i="3"/>
  <c r="AE142" i="3"/>
  <c r="AD142" i="3"/>
  <c r="AC142" i="3"/>
  <c r="AB142" i="3"/>
  <c r="X142" i="3"/>
  <c r="AA142" i="3" s="1"/>
  <c r="W142" i="3"/>
  <c r="U142" i="3"/>
  <c r="V142" i="3" s="1"/>
  <c r="T142" i="3"/>
  <c r="AI142" i="3" s="1"/>
  <c r="AO141" i="3"/>
  <c r="AP141" i="3" s="1"/>
  <c r="AL141" i="3"/>
  <c r="AK141" i="3"/>
  <c r="AJ141" i="3"/>
  <c r="AH141" i="3"/>
  <c r="AG141" i="3"/>
  <c r="AF141" i="3"/>
  <c r="AE141" i="3"/>
  <c r="AD141" i="3"/>
  <c r="AC141" i="3"/>
  <c r="AB141" i="3"/>
  <c r="X141" i="3"/>
  <c r="AA141" i="3" s="1"/>
  <c r="W141" i="3"/>
  <c r="U141" i="3"/>
  <c r="V141" i="3" s="1"/>
  <c r="T141" i="3"/>
  <c r="AI141" i="3" s="1"/>
  <c r="AO140" i="3"/>
  <c r="AP140" i="3" s="1"/>
  <c r="AL140" i="3"/>
  <c r="AK140" i="3"/>
  <c r="AJ140" i="3"/>
  <c r="AH140" i="3"/>
  <c r="AG140" i="3"/>
  <c r="AF140" i="3"/>
  <c r="AE140" i="3"/>
  <c r="AD140" i="3"/>
  <c r="AC140" i="3"/>
  <c r="AB140" i="3"/>
  <c r="X140" i="3"/>
  <c r="AA140" i="3" s="1"/>
  <c r="W140" i="3"/>
  <c r="U140" i="3"/>
  <c r="V140" i="3" s="1"/>
  <c r="T140" i="3"/>
  <c r="AI140" i="3" s="1"/>
  <c r="AO139" i="3"/>
  <c r="AP139" i="3" s="1"/>
  <c r="AL139" i="3"/>
  <c r="AK139" i="3"/>
  <c r="AJ139" i="3"/>
  <c r="AH139" i="3"/>
  <c r="AG139" i="3"/>
  <c r="AF139" i="3"/>
  <c r="AE139" i="3"/>
  <c r="AD139" i="3"/>
  <c r="AC139" i="3"/>
  <c r="AB139" i="3"/>
  <c r="X139" i="3"/>
  <c r="AA139" i="3" s="1"/>
  <c r="W139" i="3"/>
  <c r="U139" i="3"/>
  <c r="V139" i="3" s="1"/>
  <c r="T139" i="3"/>
  <c r="AI139" i="3" s="1"/>
  <c r="AO138" i="3"/>
  <c r="AP138" i="3" s="1"/>
  <c r="AL138" i="3"/>
  <c r="AK138" i="3"/>
  <c r="AJ138" i="3"/>
  <c r="AH138" i="3"/>
  <c r="AG138" i="3"/>
  <c r="AF138" i="3"/>
  <c r="AE138" i="3"/>
  <c r="AD138" i="3"/>
  <c r="AC138" i="3"/>
  <c r="AB138" i="3"/>
  <c r="X138" i="3"/>
  <c r="AA138" i="3" s="1"/>
  <c r="W138" i="3"/>
  <c r="U138" i="3"/>
  <c r="V138" i="3" s="1"/>
  <c r="T138" i="3"/>
  <c r="AI138" i="3" s="1"/>
  <c r="AO137" i="3"/>
  <c r="AP137" i="3" s="1"/>
  <c r="AL137" i="3"/>
  <c r="AK137" i="3"/>
  <c r="AJ137" i="3"/>
  <c r="AH137" i="3"/>
  <c r="AG137" i="3"/>
  <c r="AF137" i="3"/>
  <c r="AE137" i="3"/>
  <c r="AD137" i="3"/>
  <c r="AC137" i="3"/>
  <c r="AB137" i="3"/>
  <c r="X137" i="3"/>
  <c r="AA137" i="3" s="1"/>
  <c r="W137" i="3"/>
  <c r="U137" i="3"/>
  <c r="V137" i="3" s="1"/>
  <c r="T137" i="3"/>
  <c r="AI137" i="3" s="1"/>
  <c r="AO136" i="3"/>
  <c r="AP136" i="3" s="1"/>
  <c r="AL136" i="3"/>
  <c r="AK136" i="3"/>
  <c r="AJ136" i="3"/>
  <c r="AH136" i="3"/>
  <c r="AG136" i="3"/>
  <c r="AF136" i="3"/>
  <c r="AE136" i="3"/>
  <c r="AD136" i="3"/>
  <c r="AC136" i="3"/>
  <c r="AB136" i="3"/>
  <c r="X136" i="3"/>
  <c r="AA136" i="3" s="1"/>
  <c r="W136" i="3"/>
  <c r="U136" i="3"/>
  <c r="V136" i="3" s="1"/>
  <c r="T136" i="3"/>
  <c r="AI136" i="3" s="1"/>
  <c r="AO135" i="3"/>
  <c r="AP135" i="3" s="1"/>
  <c r="AL135" i="3"/>
  <c r="AK135" i="3"/>
  <c r="AJ135" i="3"/>
  <c r="AH135" i="3"/>
  <c r="AG135" i="3"/>
  <c r="AF135" i="3"/>
  <c r="AE135" i="3"/>
  <c r="AD135" i="3"/>
  <c r="AC135" i="3"/>
  <c r="AB135" i="3"/>
  <c r="X135" i="3"/>
  <c r="AA135" i="3" s="1"/>
  <c r="W135" i="3"/>
  <c r="U135" i="3"/>
  <c r="V135" i="3" s="1"/>
  <c r="T135" i="3"/>
  <c r="AI135" i="3" s="1"/>
  <c r="AO134" i="3"/>
  <c r="AP134" i="3" s="1"/>
  <c r="AL134" i="3"/>
  <c r="AK134" i="3"/>
  <c r="AJ134" i="3"/>
  <c r="AH134" i="3"/>
  <c r="AG134" i="3"/>
  <c r="AF134" i="3"/>
  <c r="AE134" i="3"/>
  <c r="AD134" i="3"/>
  <c r="AC134" i="3"/>
  <c r="AB134" i="3"/>
  <c r="X134" i="3"/>
  <c r="AA134" i="3" s="1"/>
  <c r="W134" i="3"/>
  <c r="U134" i="3"/>
  <c r="V134" i="3" s="1"/>
  <c r="T134" i="3"/>
  <c r="AI134" i="3" s="1"/>
  <c r="AO133" i="3"/>
  <c r="AP133" i="3" s="1"/>
  <c r="AL133" i="3"/>
  <c r="AK133" i="3"/>
  <c r="AJ133" i="3"/>
  <c r="AH133" i="3"/>
  <c r="AG133" i="3"/>
  <c r="AF133" i="3"/>
  <c r="AE133" i="3"/>
  <c r="AD133" i="3"/>
  <c r="AC133" i="3"/>
  <c r="AB133" i="3"/>
  <c r="X133" i="3"/>
  <c r="AA133" i="3" s="1"/>
  <c r="W133" i="3"/>
  <c r="V133" i="3"/>
  <c r="U133" i="3"/>
  <c r="T133" i="3"/>
  <c r="AI133" i="3" s="1"/>
  <c r="AO132" i="3"/>
  <c r="AP132" i="3" s="1"/>
  <c r="AL132" i="3"/>
  <c r="AK132" i="3"/>
  <c r="AJ132" i="3"/>
  <c r="AH132" i="3"/>
  <c r="AG132" i="3"/>
  <c r="AF132" i="3"/>
  <c r="AE132" i="3"/>
  <c r="AD132" i="3"/>
  <c r="AC132" i="3"/>
  <c r="AB132" i="3"/>
  <c r="X132" i="3"/>
  <c r="AA132" i="3" s="1"/>
  <c r="W132" i="3"/>
  <c r="U132" i="3"/>
  <c r="V132" i="3" s="1"/>
  <c r="T132" i="3"/>
  <c r="AI132" i="3" s="1"/>
  <c r="AO131" i="3"/>
  <c r="AP131" i="3" s="1"/>
  <c r="AL131" i="3"/>
  <c r="AK131" i="3"/>
  <c r="AJ131" i="3"/>
  <c r="AH131" i="3"/>
  <c r="AG131" i="3"/>
  <c r="AF131" i="3"/>
  <c r="AE131" i="3"/>
  <c r="AD131" i="3"/>
  <c r="AC131" i="3"/>
  <c r="AB131" i="3"/>
  <c r="X131" i="3"/>
  <c r="AA131" i="3" s="1"/>
  <c r="W131" i="3"/>
  <c r="V131" i="3"/>
  <c r="U131" i="3"/>
  <c r="T131" i="3"/>
  <c r="AI131" i="3" s="1"/>
  <c r="AO130" i="3"/>
  <c r="AP130" i="3" s="1"/>
  <c r="AL130" i="3"/>
  <c r="AK130" i="3"/>
  <c r="AJ130" i="3"/>
  <c r="AH130" i="3"/>
  <c r="AG130" i="3"/>
  <c r="AF130" i="3"/>
  <c r="AE130" i="3"/>
  <c r="AD130" i="3"/>
  <c r="AC130" i="3"/>
  <c r="AB130" i="3"/>
  <c r="X130" i="3"/>
  <c r="AA130" i="3" s="1"/>
  <c r="W130" i="3"/>
  <c r="U130" i="3"/>
  <c r="V130" i="3" s="1"/>
  <c r="T130" i="3"/>
  <c r="AI130" i="3" s="1"/>
  <c r="AO129" i="3"/>
  <c r="AP129" i="3" s="1"/>
  <c r="AL129" i="3"/>
  <c r="AK129" i="3"/>
  <c r="AJ129" i="3"/>
  <c r="AH129" i="3"/>
  <c r="AG129" i="3"/>
  <c r="AF129" i="3"/>
  <c r="AE129" i="3"/>
  <c r="AD129" i="3"/>
  <c r="AC129" i="3"/>
  <c r="AB129" i="3"/>
  <c r="X129" i="3"/>
  <c r="AA129" i="3" s="1"/>
  <c r="W129" i="3"/>
  <c r="U129" i="3"/>
  <c r="V129" i="3" s="1"/>
  <c r="T129" i="3"/>
  <c r="AI129" i="3" s="1"/>
  <c r="AO128" i="3"/>
  <c r="AP128" i="3" s="1"/>
  <c r="AL128" i="3"/>
  <c r="AK128" i="3"/>
  <c r="AJ128" i="3"/>
  <c r="AH128" i="3"/>
  <c r="AG128" i="3"/>
  <c r="AF128" i="3"/>
  <c r="AE128" i="3"/>
  <c r="AD128" i="3"/>
  <c r="AC128" i="3"/>
  <c r="AB128" i="3"/>
  <c r="X128" i="3"/>
  <c r="AA128" i="3" s="1"/>
  <c r="W128" i="3"/>
  <c r="U128" i="3"/>
  <c r="V128" i="3" s="1"/>
  <c r="T128" i="3"/>
  <c r="AI128" i="3" s="1"/>
  <c r="AO127" i="3"/>
  <c r="AP127" i="3" s="1"/>
  <c r="AL127" i="3"/>
  <c r="AK127" i="3"/>
  <c r="AJ127" i="3"/>
  <c r="AH127" i="3"/>
  <c r="AG127" i="3"/>
  <c r="AF127" i="3"/>
  <c r="AE127" i="3"/>
  <c r="AD127" i="3"/>
  <c r="AC127" i="3"/>
  <c r="AB127" i="3"/>
  <c r="X127" i="3"/>
  <c r="AA127" i="3" s="1"/>
  <c r="W127" i="3"/>
  <c r="U127" i="3"/>
  <c r="V127" i="3" s="1"/>
  <c r="T127" i="3"/>
  <c r="AI127" i="3" s="1"/>
  <c r="AO126" i="3"/>
  <c r="AP126" i="3" s="1"/>
  <c r="AL126" i="3"/>
  <c r="AK126" i="3"/>
  <c r="AJ126" i="3"/>
  <c r="AH126" i="3"/>
  <c r="AG126" i="3"/>
  <c r="AF126" i="3"/>
  <c r="AE126" i="3"/>
  <c r="AD126" i="3"/>
  <c r="AC126" i="3"/>
  <c r="AB126" i="3"/>
  <c r="X126" i="3"/>
  <c r="AA126" i="3" s="1"/>
  <c r="W126" i="3"/>
  <c r="U126" i="3"/>
  <c r="V126" i="3" s="1"/>
  <c r="T126" i="3"/>
  <c r="AI126" i="3" s="1"/>
  <c r="AO125" i="3"/>
  <c r="AP125" i="3" s="1"/>
  <c r="AL125" i="3"/>
  <c r="AK125" i="3"/>
  <c r="AJ125" i="3"/>
  <c r="AH125" i="3"/>
  <c r="AG125" i="3"/>
  <c r="AF125" i="3"/>
  <c r="AE125" i="3"/>
  <c r="AD125" i="3"/>
  <c r="AC125" i="3"/>
  <c r="AB125" i="3"/>
  <c r="X125" i="3"/>
  <c r="AA125" i="3" s="1"/>
  <c r="W125" i="3"/>
  <c r="U125" i="3"/>
  <c r="V125" i="3" s="1"/>
  <c r="T125" i="3"/>
  <c r="AI125" i="3" s="1"/>
  <c r="AO124" i="3"/>
  <c r="AP124" i="3" s="1"/>
  <c r="AL124" i="3"/>
  <c r="AK124" i="3"/>
  <c r="AJ124" i="3"/>
  <c r="AH124" i="3"/>
  <c r="AG124" i="3"/>
  <c r="AF124" i="3"/>
  <c r="AE124" i="3"/>
  <c r="AD124" i="3"/>
  <c r="AC124" i="3"/>
  <c r="AB124" i="3"/>
  <c r="X124" i="3"/>
  <c r="AA124" i="3" s="1"/>
  <c r="W124" i="3"/>
  <c r="U124" i="3"/>
  <c r="V124" i="3" s="1"/>
  <c r="T124" i="3"/>
  <c r="AI124" i="3" s="1"/>
  <c r="AO123" i="3"/>
  <c r="AP123" i="3" s="1"/>
  <c r="AL123" i="3"/>
  <c r="AK123" i="3"/>
  <c r="AJ123" i="3"/>
  <c r="AI123" i="3"/>
  <c r="AH123" i="3"/>
  <c r="AG123" i="3"/>
  <c r="AF123" i="3"/>
  <c r="AE123" i="3"/>
  <c r="AD123" i="3"/>
  <c r="AC123" i="3"/>
  <c r="AB123" i="3"/>
  <c r="X123" i="3"/>
  <c r="AA123" i="3" s="1"/>
  <c r="W123" i="3"/>
  <c r="U123" i="3"/>
  <c r="V123" i="3" s="1"/>
  <c r="T123" i="3"/>
  <c r="AO122" i="3"/>
  <c r="AP122" i="3" s="1"/>
  <c r="AL122" i="3"/>
  <c r="AK122" i="3"/>
  <c r="AJ122" i="3"/>
  <c r="AH122" i="3"/>
  <c r="AG122" i="3"/>
  <c r="AF122" i="3"/>
  <c r="AE122" i="3"/>
  <c r="AD122" i="3"/>
  <c r="AC122" i="3"/>
  <c r="AB122" i="3"/>
  <c r="X122" i="3"/>
  <c r="AA122" i="3" s="1"/>
  <c r="W122" i="3"/>
  <c r="U122" i="3"/>
  <c r="V122" i="3" s="1"/>
  <c r="T122" i="3"/>
  <c r="AI122" i="3" s="1"/>
  <c r="AO121" i="3"/>
  <c r="AP121" i="3" s="1"/>
  <c r="AL121" i="3"/>
  <c r="AK121" i="3"/>
  <c r="AJ121" i="3"/>
  <c r="AH121" i="3"/>
  <c r="AG121" i="3"/>
  <c r="AF121" i="3"/>
  <c r="AE121" i="3"/>
  <c r="AD121" i="3"/>
  <c r="AC121" i="3"/>
  <c r="AB121" i="3"/>
  <c r="X121" i="3"/>
  <c r="AA121" i="3" s="1"/>
  <c r="W121" i="3"/>
  <c r="U121" i="3"/>
  <c r="V121" i="3" s="1"/>
  <c r="T121" i="3"/>
  <c r="AI121" i="3" s="1"/>
  <c r="AO120" i="3"/>
  <c r="AP120" i="3" s="1"/>
  <c r="AL120" i="3"/>
  <c r="AK120" i="3"/>
  <c r="AJ120" i="3"/>
  <c r="AH120" i="3"/>
  <c r="AG120" i="3"/>
  <c r="AF120" i="3"/>
  <c r="AE120" i="3"/>
  <c r="AD120" i="3"/>
  <c r="AC120" i="3"/>
  <c r="AB120" i="3"/>
  <c r="X120" i="3"/>
  <c r="AA120" i="3" s="1"/>
  <c r="W120" i="3"/>
  <c r="U120" i="3"/>
  <c r="V120" i="3" s="1"/>
  <c r="T120" i="3"/>
  <c r="AI120" i="3" s="1"/>
  <c r="AO119" i="3"/>
  <c r="AP119" i="3" s="1"/>
  <c r="AL119" i="3"/>
  <c r="AK119" i="3"/>
  <c r="AJ119" i="3"/>
  <c r="AH119" i="3"/>
  <c r="AG119" i="3"/>
  <c r="AF119" i="3"/>
  <c r="AE119" i="3"/>
  <c r="AD119" i="3"/>
  <c r="AC119" i="3"/>
  <c r="AB119" i="3"/>
  <c r="X119" i="3"/>
  <c r="AA119" i="3" s="1"/>
  <c r="W119" i="3"/>
  <c r="U119" i="3"/>
  <c r="V119" i="3" s="1"/>
  <c r="T119" i="3"/>
  <c r="AI119" i="3" s="1"/>
  <c r="AO118" i="3"/>
  <c r="AP118" i="3" s="1"/>
  <c r="AL118" i="3"/>
  <c r="AK118" i="3"/>
  <c r="AJ118" i="3"/>
  <c r="AH118" i="3"/>
  <c r="AG118" i="3"/>
  <c r="AF118" i="3"/>
  <c r="AE118" i="3"/>
  <c r="AD118" i="3"/>
  <c r="AC118" i="3"/>
  <c r="AB118" i="3"/>
  <c r="X118" i="3"/>
  <c r="AA118" i="3" s="1"/>
  <c r="W118" i="3"/>
  <c r="U118" i="3"/>
  <c r="V118" i="3" s="1"/>
  <c r="T118" i="3"/>
  <c r="AI118" i="3" s="1"/>
  <c r="AO117" i="3"/>
  <c r="AP117" i="3" s="1"/>
  <c r="AL117" i="3"/>
  <c r="AK117" i="3"/>
  <c r="AJ117" i="3"/>
  <c r="AH117" i="3"/>
  <c r="AG117" i="3"/>
  <c r="AF117" i="3"/>
  <c r="AE117" i="3"/>
  <c r="AD117" i="3"/>
  <c r="AC117" i="3"/>
  <c r="AB117" i="3"/>
  <c r="X117" i="3"/>
  <c r="AA117" i="3" s="1"/>
  <c r="W117" i="3"/>
  <c r="U117" i="3"/>
  <c r="V117" i="3" s="1"/>
  <c r="T117" i="3"/>
  <c r="AI117" i="3" s="1"/>
  <c r="AO116" i="3"/>
  <c r="AP116" i="3" s="1"/>
  <c r="AL116" i="3"/>
  <c r="AK116" i="3"/>
  <c r="AJ116" i="3"/>
  <c r="AH116" i="3"/>
  <c r="AG116" i="3"/>
  <c r="AF116" i="3"/>
  <c r="AE116" i="3"/>
  <c r="AD116" i="3"/>
  <c r="AC116" i="3"/>
  <c r="AB116" i="3"/>
  <c r="X116" i="3"/>
  <c r="AA116" i="3" s="1"/>
  <c r="W116" i="3"/>
  <c r="U116" i="3"/>
  <c r="V116" i="3" s="1"/>
  <c r="T116" i="3"/>
  <c r="AI116" i="3" s="1"/>
  <c r="AO115" i="3"/>
  <c r="AP115" i="3" s="1"/>
  <c r="AL115" i="3"/>
  <c r="AK115" i="3"/>
  <c r="AJ115" i="3"/>
  <c r="AH115" i="3"/>
  <c r="AG115" i="3"/>
  <c r="AF115" i="3"/>
  <c r="AE115" i="3"/>
  <c r="AD115" i="3"/>
  <c r="AC115" i="3"/>
  <c r="AB115" i="3"/>
  <c r="X115" i="3"/>
  <c r="AA115" i="3" s="1"/>
  <c r="W115" i="3"/>
  <c r="U115" i="3"/>
  <c r="V115" i="3" s="1"/>
  <c r="T115" i="3"/>
  <c r="AI115" i="3" s="1"/>
  <c r="AO114" i="3"/>
  <c r="AP114" i="3" s="1"/>
  <c r="AL114" i="3"/>
  <c r="AK114" i="3"/>
  <c r="AJ114" i="3"/>
  <c r="AH114" i="3"/>
  <c r="AG114" i="3"/>
  <c r="AF114" i="3"/>
  <c r="AE114" i="3"/>
  <c r="AD114" i="3"/>
  <c r="AC114" i="3"/>
  <c r="AB114" i="3"/>
  <c r="X114" i="3"/>
  <c r="AA114" i="3" s="1"/>
  <c r="W114" i="3"/>
  <c r="U114" i="3"/>
  <c r="V114" i="3" s="1"/>
  <c r="T114" i="3"/>
  <c r="AI114" i="3" s="1"/>
  <c r="AO113" i="3"/>
  <c r="AP113" i="3" s="1"/>
  <c r="AL113" i="3"/>
  <c r="AK113" i="3"/>
  <c r="AJ113" i="3"/>
  <c r="AH113" i="3"/>
  <c r="AG113" i="3"/>
  <c r="AF113" i="3"/>
  <c r="AE113" i="3"/>
  <c r="AD113" i="3"/>
  <c r="AC113" i="3"/>
  <c r="AB113" i="3"/>
  <c r="X113" i="3"/>
  <c r="AA113" i="3" s="1"/>
  <c r="W113" i="3"/>
  <c r="U113" i="3"/>
  <c r="V113" i="3" s="1"/>
  <c r="T113" i="3"/>
  <c r="AI113" i="3" s="1"/>
  <c r="AO112" i="3"/>
  <c r="AP112" i="3" s="1"/>
  <c r="AL112" i="3"/>
  <c r="AK112" i="3"/>
  <c r="AJ112" i="3"/>
  <c r="AH112" i="3"/>
  <c r="AG112" i="3"/>
  <c r="AF112" i="3"/>
  <c r="AE112" i="3"/>
  <c r="AD112" i="3"/>
  <c r="AC112" i="3"/>
  <c r="AB112" i="3"/>
  <c r="X112" i="3"/>
  <c r="AA112" i="3" s="1"/>
  <c r="W112" i="3"/>
  <c r="U112" i="3"/>
  <c r="V112" i="3" s="1"/>
  <c r="T112" i="3"/>
  <c r="AI112" i="3" s="1"/>
  <c r="AO111" i="3"/>
  <c r="AP111" i="3" s="1"/>
  <c r="AL111" i="3"/>
  <c r="AK111" i="3"/>
  <c r="AJ111" i="3"/>
  <c r="AH111" i="3"/>
  <c r="AG111" i="3"/>
  <c r="AF111" i="3"/>
  <c r="AE111" i="3"/>
  <c r="AD111" i="3"/>
  <c r="AC111" i="3"/>
  <c r="AB111" i="3"/>
  <c r="X111" i="3"/>
  <c r="AA111" i="3" s="1"/>
  <c r="W111" i="3"/>
  <c r="U111" i="3"/>
  <c r="V111" i="3" s="1"/>
  <c r="T111" i="3"/>
  <c r="AI111" i="3" s="1"/>
  <c r="AO110" i="3"/>
  <c r="AP110" i="3" s="1"/>
  <c r="AL110" i="3"/>
  <c r="AK110" i="3"/>
  <c r="AJ110" i="3"/>
  <c r="AH110" i="3"/>
  <c r="AG110" i="3"/>
  <c r="AF110" i="3"/>
  <c r="AE110" i="3"/>
  <c r="AD110" i="3"/>
  <c r="AC110" i="3"/>
  <c r="AB110" i="3"/>
  <c r="X110" i="3"/>
  <c r="AA110" i="3" s="1"/>
  <c r="W110" i="3"/>
  <c r="U110" i="3"/>
  <c r="V110" i="3" s="1"/>
  <c r="T110" i="3"/>
  <c r="AI110" i="3" s="1"/>
  <c r="AO109" i="3"/>
  <c r="AP109" i="3" s="1"/>
  <c r="AL109" i="3"/>
  <c r="AK109" i="3"/>
  <c r="AJ109" i="3"/>
  <c r="AH109" i="3"/>
  <c r="AG109" i="3"/>
  <c r="AF109" i="3"/>
  <c r="AE109" i="3"/>
  <c r="AD109" i="3"/>
  <c r="AC109" i="3"/>
  <c r="AB109" i="3"/>
  <c r="X109" i="3"/>
  <c r="AA109" i="3" s="1"/>
  <c r="W109" i="3"/>
  <c r="U109" i="3"/>
  <c r="V109" i="3" s="1"/>
  <c r="T109" i="3"/>
  <c r="AI109" i="3" s="1"/>
  <c r="AO108" i="3"/>
  <c r="AP108" i="3" s="1"/>
  <c r="AL108" i="3"/>
  <c r="AK108" i="3"/>
  <c r="AJ108" i="3"/>
  <c r="AH108" i="3"/>
  <c r="AG108" i="3"/>
  <c r="AF108" i="3"/>
  <c r="AE108" i="3"/>
  <c r="AD108" i="3"/>
  <c r="AC108" i="3"/>
  <c r="AB108" i="3"/>
  <c r="X108" i="3"/>
  <c r="AA108" i="3" s="1"/>
  <c r="W108" i="3"/>
  <c r="U108" i="3"/>
  <c r="V108" i="3" s="1"/>
  <c r="T108" i="3"/>
  <c r="AI108" i="3" s="1"/>
  <c r="AO107" i="3"/>
  <c r="AP107" i="3" s="1"/>
  <c r="AL107" i="3"/>
  <c r="AK107" i="3"/>
  <c r="AJ107" i="3"/>
  <c r="AH107" i="3"/>
  <c r="AG107" i="3"/>
  <c r="AF107" i="3"/>
  <c r="AE107" i="3"/>
  <c r="AD107" i="3"/>
  <c r="AC107" i="3"/>
  <c r="AB107" i="3"/>
  <c r="X107" i="3"/>
  <c r="AA107" i="3" s="1"/>
  <c r="W107" i="3"/>
  <c r="U107" i="3"/>
  <c r="V107" i="3" s="1"/>
  <c r="T107" i="3"/>
  <c r="AI107" i="3" s="1"/>
  <c r="AO106" i="3"/>
  <c r="AP106" i="3" s="1"/>
  <c r="AL106" i="3"/>
  <c r="AK106" i="3"/>
  <c r="AJ106" i="3"/>
  <c r="AH106" i="3"/>
  <c r="AG106" i="3"/>
  <c r="AF106" i="3"/>
  <c r="AE106" i="3"/>
  <c r="AD106" i="3"/>
  <c r="AC106" i="3"/>
  <c r="AB106" i="3"/>
  <c r="X106" i="3"/>
  <c r="AA106" i="3" s="1"/>
  <c r="W106" i="3"/>
  <c r="U106" i="3"/>
  <c r="V106" i="3" s="1"/>
  <c r="T106" i="3"/>
  <c r="AI106" i="3" s="1"/>
  <c r="AO105" i="3"/>
  <c r="AP105" i="3" s="1"/>
  <c r="AL105" i="3"/>
  <c r="AK105" i="3"/>
  <c r="AJ105" i="3"/>
  <c r="AH105" i="3"/>
  <c r="AG105" i="3"/>
  <c r="AF105" i="3"/>
  <c r="AE105" i="3"/>
  <c r="AD105" i="3"/>
  <c r="AC105" i="3"/>
  <c r="AB105" i="3"/>
  <c r="X105" i="3"/>
  <c r="AA105" i="3" s="1"/>
  <c r="W105" i="3"/>
  <c r="U105" i="3"/>
  <c r="V105" i="3" s="1"/>
  <c r="T105" i="3"/>
  <c r="AI105" i="3" s="1"/>
  <c r="AO104" i="3"/>
  <c r="AP104" i="3" s="1"/>
  <c r="AL104" i="3"/>
  <c r="AK104" i="3"/>
  <c r="AJ104" i="3"/>
  <c r="AH104" i="3"/>
  <c r="AG104" i="3"/>
  <c r="AF104" i="3"/>
  <c r="AE104" i="3"/>
  <c r="AD104" i="3"/>
  <c r="AC104" i="3"/>
  <c r="AB104" i="3"/>
  <c r="X104" i="3"/>
  <c r="AA104" i="3" s="1"/>
  <c r="W104" i="3"/>
  <c r="U104" i="3"/>
  <c r="V104" i="3" s="1"/>
  <c r="T104" i="3"/>
  <c r="AI104" i="3" s="1"/>
  <c r="AO103" i="3"/>
  <c r="AP103" i="3" s="1"/>
  <c r="AL103" i="3"/>
  <c r="AK103" i="3"/>
  <c r="AJ103" i="3"/>
  <c r="AH103" i="3"/>
  <c r="AG103" i="3"/>
  <c r="AF103" i="3"/>
  <c r="AE103" i="3"/>
  <c r="AD103" i="3"/>
  <c r="AC103" i="3"/>
  <c r="AB103" i="3"/>
  <c r="X103" i="3"/>
  <c r="AA103" i="3" s="1"/>
  <c r="W103" i="3"/>
  <c r="U103" i="3"/>
  <c r="V103" i="3" s="1"/>
  <c r="T103" i="3"/>
  <c r="AI103" i="3" s="1"/>
  <c r="AO102" i="3"/>
  <c r="AP102" i="3" s="1"/>
  <c r="AL102" i="3"/>
  <c r="AK102" i="3"/>
  <c r="AJ102" i="3"/>
  <c r="AH102" i="3"/>
  <c r="AG102" i="3"/>
  <c r="AF102" i="3"/>
  <c r="AE102" i="3"/>
  <c r="AD102" i="3"/>
  <c r="AC102" i="3"/>
  <c r="AB102" i="3"/>
  <c r="X102" i="3"/>
  <c r="AA102" i="3" s="1"/>
  <c r="W102" i="3"/>
  <c r="U102" i="3"/>
  <c r="V102" i="3" s="1"/>
  <c r="T102" i="3"/>
  <c r="AI102" i="3" s="1"/>
  <c r="AO101" i="3"/>
  <c r="AP101" i="3" s="1"/>
  <c r="AL101" i="3"/>
  <c r="AK101" i="3"/>
  <c r="AJ101" i="3"/>
  <c r="AH101" i="3"/>
  <c r="AG101" i="3"/>
  <c r="AF101" i="3"/>
  <c r="AE101" i="3"/>
  <c r="AD101" i="3"/>
  <c r="AC101" i="3"/>
  <c r="AB101" i="3"/>
  <c r="X101" i="3"/>
  <c r="AA101" i="3" s="1"/>
  <c r="W101" i="3"/>
  <c r="U101" i="3"/>
  <c r="V101" i="3" s="1"/>
  <c r="T101" i="3"/>
  <c r="AI101" i="3" s="1"/>
  <c r="AO100" i="3"/>
  <c r="AP100" i="3" s="1"/>
  <c r="AL100" i="3"/>
  <c r="AK100" i="3"/>
  <c r="AJ100" i="3"/>
  <c r="AH100" i="3"/>
  <c r="AG100" i="3"/>
  <c r="AF100" i="3"/>
  <c r="AE100" i="3"/>
  <c r="AD100" i="3"/>
  <c r="AC100" i="3"/>
  <c r="AB100" i="3"/>
  <c r="X100" i="3"/>
  <c r="AA100" i="3" s="1"/>
  <c r="W100" i="3"/>
  <c r="U100" i="3"/>
  <c r="V100" i="3" s="1"/>
  <c r="T100" i="3"/>
  <c r="AI100" i="3" s="1"/>
  <c r="AO99" i="3"/>
  <c r="AP99" i="3" s="1"/>
  <c r="AL99" i="3"/>
  <c r="AK99" i="3"/>
  <c r="AJ99" i="3"/>
  <c r="AH99" i="3"/>
  <c r="AG99" i="3"/>
  <c r="AF99" i="3"/>
  <c r="AE99" i="3"/>
  <c r="AD99" i="3"/>
  <c r="AC99" i="3"/>
  <c r="AB99" i="3"/>
  <c r="X99" i="3"/>
  <c r="AA99" i="3" s="1"/>
  <c r="W99" i="3"/>
  <c r="U99" i="3"/>
  <c r="V99" i="3" s="1"/>
  <c r="T99" i="3"/>
  <c r="AI99" i="3" s="1"/>
  <c r="AO98" i="3"/>
  <c r="AP98" i="3" s="1"/>
  <c r="AL98" i="3"/>
  <c r="AK98" i="3"/>
  <c r="AJ98" i="3"/>
  <c r="AH98" i="3"/>
  <c r="AG98" i="3"/>
  <c r="AF98" i="3"/>
  <c r="AE98" i="3"/>
  <c r="AD98" i="3"/>
  <c r="AC98" i="3"/>
  <c r="AB98" i="3"/>
  <c r="X98" i="3"/>
  <c r="AA98" i="3" s="1"/>
  <c r="W98" i="3"/>
  <c r="U98" i="3"/>
  <c r="V98" i="3" s="1"/>
  <c r="T98" i="3"/>
  <c r="AI98" i="3" s="1"/>
  <c r="AO97" i="3"/>
  <c r="AP97" i="3" s="1"/>
  <c r="AL97" i="3"/>
  <c r="AK97" i="3"/>
  <c r="AJ97" i="3"/>
  <c r="AH97" i="3"/>
  <c r="AG97" i="3"/>
  <c r="AF97" i="3"/>
  <c r="AE97" i="3"/>
  <c r="AD97" i="3"/>
  <c r="AC97" i="3"/>
  <c r="AB97" i="3"/>
  <c r="X97" i="3"/>
  <c r="AA97" i="3" s="1"/>
  <c r="W97" i="3"/>
  <c r="U97" i="3"/>
  <c r="V97" i="3" s="1"/>
  <c r="T97" i="3"/>
  <c r="AI97" i="3" s="1"/>
  <c r="AO96" i="3"/>
  <c r="AP96" i="3" s="1"/>
  <c r="AL96" i="3"/>
  <c r="AK96" i="3"/>
  <c r="AJ96" i="3"/>
  <c r="AH96" i="3"/>
  <c r="AG96" i="3"/>
  <c r="AF96" i="3"/>
  <c r="AE96" i="3"/>
  <c r="AD96" i="3"/>
  <c r="AC96" i="3"/>
  <c r="AB96" i="3"/>
  <c r="X96" i="3"/>
  <c r="AA96" i="3" s="1"/>
  <c r="W96" i="3"/>
  <c r="U96" i="3"/>
  <c r="V96" i="3" s="1"/>
  <c r="T96" i="3"/>
  <c r="AI96" i="3" s="1"/>
  <c r="AO95" i="3"/>
  <c r="AP95" i="3" s="1"/>
  <c r="AL95" i="3"/>
  <c r="AK95" i="3"/>
  <c r="AJ95" i="3"/>
  <c r="AH95" i="3"/>
  <c r="AG95" i="3"/>
  <c r="AF95" i="3"/>
  <c r="AE95" i="3"/>
  <c r="AD95" i="3"/>
  <c r="AC95" i="3"/>
  <c r="AB95" i="3"/>
  <c r="X95" i="3"/>
  <c r="AA95" i="3" s="1"/>
  <c r="W95" i="3"/>
  <c r="U95" i="3"/>
  <c r="V95" i="3" s="1"/>
  <c r="T95" i="3"/>
  <c r="AI95" i="3" s="1"/>
  <c r="AO94" i="3"/>
  <c r="AP94" i="3" s="1"/>
  <c r="AL94" i="3"/>
  <c r="AK94" i="3"/>
  <c r="AJ94" i="3"/>
  <c r="AH94" i="3"/>
  <c r="AG94" i="3"/>
  <c r="AF94" i="3"/>
  <c r="AE94" i="3"/>
  <c r="AD94" i="3"/>
  <c r="AC94" i="3"/>
  <c r="AB94" i="3"/>
  <c r="X94" i="3"/>
  <c r="AA94" i="3" s="1"/>
  <c r="W94" i="3"/>
  <c r="U94" i="3"/>
  <c r="V94" i="3" s="1"/>
  <c r="T94" i="3"/>
  <c r="AI94" i="3" s="1"/>
  <c r="AO93" i="3"/>
  <c r="AP93" i="3" s="1"/>
  <c r="AL93" i="3"/>
  <c r="AK93" i="3"/>
  <c r="AJ93" i="3"/>
  <c r="AH93" i="3"/>
  <c r="AG93" i="3"/>
  <c r="AF93" i="3"/>
  <c r="AE93" i="3"/>
  <c r="AD93" i="3"/>
  <c r="AC93" i="3"/>
  <c r="AB93" i="3"/>
  <c r="X93" i="3"/>
  <c r="AA93" i="3" s="1"/>
  <c r="W93" i="3"/>
  <c r="U93" i="3"/>
  <c r="V93" i="3" s="1"/>
  <c r="T93" i="3"/>
  <c r="AI93" i="3" s="1"/>
  <c r="AO92" i="3"/>
  <c r="AP92" i="3" s="1"/>
  <c r="AL92" i="3"/>
  <c r="AK92" i="3"/>
  <c r="AJ92" i="3"/>
  <c r="AH92" i="3"/>
  <c r="AG92" i="3"/>
  <c r="AF92" i="3"/>
  <c r="AE92" i="3"/>
  <c r="AD92" i="3"/>
  <c r="AC92" i="3"/>
  <c r="AB92" i="3"/>
  <c r="X92" i="3"/>
  <c r="AA92" i="3" s="1"/>
  <c r="W92" i="3"/>
  <c r="U92" i="3"/>
  <c r="V92" i="3" s="1"/>
  <c r="T92" i="3"/>
  <c r="AI92" i="3" s="1"/>
  <c r="AO91" i="3"/>
  <c r="AP91" i="3" s="1"/>
  <c r="AL91" i="3"/>
  <c r="AK91" i="3"/>
  <c r="AJ91" i="3"/>
  <c r="AH91" i="3"/>
  <c r="AG91" i="3"/>
  <c r="AF91" i="3"/>
  <c r="AE91" i="3"/>
  <c r="AD91" i="3"/>
  <c r="AC91" i="3"/>
  <c r="AB91" i="3"/>
  <c r="X91" i="3"/>
  <c r="AA91" i="3" s="1"/>
  <c r="W91" i="3"/>
  <c r="U91" i="3"/>
  <c r="V91" i="3" s="1"/>
  <c r="T91" i="3"/>
  <c r="AI91" i="3" s="1"/>
  <c r="AO90" i="3"/>
  <c r="AP90" i="3" s="1"/>
  <c r="AL90" i="3"/>
  <c r="AK90" i="3"/>
  <c r="AJ90" i="3"/>
  <c r="AH90" i="3"/>
  <c r="AG90" i="3"/>
  <c r="AF90" i="3"/>
  <c r="AE90" i="3"/>
  <c r="AD90" i="3"/>
  <c r="AC90" i="3"/>
  <c r="AB90" i="3"/>
  <c r="X90" i="3"/>
  <c r="AA90" i="3" s="1"/>
  <c r="W90" i="3"/>
  <c r="U90" i="3"/>
  <c r="V90" i="3" s="1"/>
  <c r="T90" i="3"/>
  <c r="AI90" i="3" s="1"/>
  <c r="AO89" i="3"/>
  <c r="AP89" i="3" s="1"/>
  <c r="AL89" i="3"/>
  <c r="AK89" i="3"/>
  <c r="AJ89" i="3"/>
  <c r="AH89" i="3"/>
  <c r="AG89" i="3"/>
  <c r="AF89" i="3"/>
  <c r="AE89" i="3"/>
  <c r="AD89" i="3"/>
  <c r="AC89" i="3"/>
  <c r="AB89" i="3"/>
  <c r="X89" i="3"/>
  <c r="AA89" i="3" s="1"/>
  <c r="W89" i="3"/>
  <c r="U89" i="3"/>
  <c r="V89" i="3" s="1"/>
  <c r="T89" i="3"/>
  <c r="AI89" i="3" s="1"/>
  <c r="AO88" i="3"/>
  <c r="AP88" i="3" s="1"/>
  <c r="AL88" i="3"/>
  <c r="AK88" i="3"/>
  <c r="AJ88" i="3"/>
  <c r="AH88" i="3"/>
  <c r="AG88" i="3"/>
  <c r="AF88" i="3"/>
  <c r="AE88" i="3"/>
  <c r="AD88" i="3"/>
  <c r="AC88" i="3"/>
  <c r="AB88" i="3"/>
  <c r="X88" i="3"/>
  <c r="AA88" i="3" s="1"/>
  <c r="W88" i="3"/>
  <c r="U88" i="3"/>
  <c r="V88" i="3" s="1"/>
  <c r="T88" i="3"/>
  <c r="AI88" i="3" s="1"/>
  <c r="AO87" i="3"/>
  <c r="AP87" i="3" s="1"/>
  <c r="AL87" i="3"/>
  <c r="AK87" i="3"/>
  <c r="AJ87" i="3"/>
  <c r="AH87" i="3"/>
  <c r="AG87" i="3"/>
  <c r="AF87" i="3"/>
  <c r="AE87" i="3"/>
  <c r="AD87" i="3"/>
  <c r="AC87" i="3"/>
  <c r="AB87" i="3"/>
  <c r="X87" i="3"/>
  <c r="AA87" i="3" s="1"/>
  <c r="W87" i="3"/>
  <c r="U87" i="3"/>
  <c r="V87" i="3" s="1"/>
  <c r="T87" i="3"/>
  <c r="AI87" i="3" s="1"/>
  <c r="AO86" i="3"/>
  <c r="AP86" i="3" s="1"/>
  <c r="AL86" i="3"/>
  <c r="AK86" i="3"/>
  <c r="AJ86" i="3"/>
  <c r="AH86" i="3"/>
  <c r="AG86" i="3"/>
  <c r="AF86" i="3"/>
  <c r="AE86" i="3"/>
  <c r="AD86" i="3"/>
  <c r="AC86" i="3"/>
  <c r="AB86" i="3"/>
  <c r="X86" i="3"/>
  <c r="AA86" i="3" s="1"/>
  <c r="W86" i="3"/>
  <c r="U86" i="3"/>
  <c r="V86" i="3" s="1"/>
  <c r="T86" i="3"/>
  <c r="AI86" i="3" s="1"/>
  <c r="AO85" i="3"/>
  <c r="AP85" i="3" s="1"/>
  <c r="AL85" i="3"/>
  <c r="AK85" i="3"/>
  <c r="AJ85" i="3"/>
  <c r="AH85" i="3"/>
  <c r="AG85" i="3"/>
  <c r="AF85" i="3"/>
  <c r="AE85" i="3"/>
  <c r="AD85" i="3"/>
  <c r="AC85" i="3"/>
  <c r="AB85" i="3"/>
  <c r="X85" i="3"/>
  <c r="AA85" i="3" s="1"/>
  <c r="W85" i="3"/>
  <c r="U85" i="3"/>
  <c r="V85" i="3" s="1"/>
  <c r="T85" i="3"/>
  <c r="AI85" i="3" s="1"/>
  <c r="AO84" i="3"/>
  <c r="AP84" i="3" s="1"/>
  <c r="AL84" i="3"/>
  <c r="AK84" i="3"/>
  <c r="AJ84" i="3"/>
  <c r="AH84" i="3"/>
  <c r="AG84" i="3"/>
  <c r="AF84" i="3"/>
  <c r="AE84" i="3"/>
  <c r="AD84" i="3"/>
  <c r="AC84" i="3"/>
  <c r="AB84" i="3"/>
  <c r="X84" i="3"/>
  <c r="AA84" i="3" s="1"/>
  <c r="W84" i="3"/>
  <c r="U84" i="3"/>
  <c r="V84" i="3" s="1"/>
  <c r="T84" i="3"/>
  <c r="AI84" i="3" s="1"/>
  <c r="AO83" i="3"/>
  <c r="AP83" i="3" s="1"/>
  <c r="AL83" i="3"/>
  <c r="AK83" i="3"/>
  <c r="AJ83" i="3"/>
  <c r="AH83" i="3"/>
  <c r="AG83" i="3"/>
  <c r="AF83" i="3"/>
  <c r="AE83" i="3"/>
  <c r="AD83" i="3"/>
  <c r="AC83" i="3"/>
  <c r="AB83" i="3"/>
  <c r="X83" i="3"/>
  <c r="AA83" i="3" s="1"/>
  <c r="W83" i="3"/>
  <c r="U83" i="3"/>
  <c r="V83" i="3" s="1"/>
  <c r="T83" i="3"/>
  <c r="AI83" i="3" s="1"/>
  <c r="AO82" i="3"/>
  <c r="AP82" i="3" s="1"/>
  <c r="AL82" i="3"/>
  <c r="AK82" i="3"/>
  <c r="AJ82" i="3"/>
  <c r="AH82" i="3"/>
  <c r="AG82" i="3"/>
  <c r="AF82" i="3"/>
  <c r="AE82" i="3"/>
  <c r="AD82" i="3"/>
  <c r="AC82" i="3"/>
  <c r="AB82" i="3"/>
  <c r="X82" i="3"/>
  <c r="AA82" i="3" s="1"/>
  <c r="W82" i="3"/>
  <c r="U82" i="3"/>
  <c r="V82" i="3" s="1"/>
  <c r="T82" i="3"/>
  <c r="AI82" i="3" s="1"/>
  <c r="AO81" i="3"/>
  <c r="AP81" i="3" s="1"/>
  <c r="AL81" i="3"/>
  <c r="AK81" i="3"/>
  <c r="AJ81" i="3"/>
  <c r="AH81" i="3"/>
  <c r="AG81" i="3"/>
  <c r="AF81" i="3"/>
  <c r="AE81" i="3"/>
  <c r="AD81" i="3"/>
  <c r="AC81" i="3"/>
  <c r="AB81" i="3"/>
  <c r="X81" i="3"/>
  <c r="AA81" i="3" s="1"/>
  <c r="W81" i="3"/>
  <c r="U81" i="3"/>
  <c r="V81" i="3" s="1"/>
  <c r="T81" i="3"/>
  <c r="AI81" i="3" s="1"/>
  <c r="AO80" i="3"/>
  <c r="AP80" i="3" s="1"/>
  <c r="AL80" i="3"/>
  <c r="AK80" i="3"/>
  <c r="AJ80" i="3"/>
  <c r="AH80" i="3"/>
  <c r="AG80" i="3"/>
  <c r="AF80" i="3"/>
  <c r="AE80" i="3"/>
  <c r="AD80" i="3"/>
  <c r="AC80" i="3"/>
  <c r="AB80" i="3"/>
  <c r="X80" i="3"/>
  <c r="AA80" i="3" s="1"/>
  <c r="W80" i="3"/>
  <c r="U80" i="3"/>
  <c r="V80" i="3" s="1"/>
  <c r="T80" i="3"/>
  <c r="AI80" i="3" s="1"/>
  <c r="AO79" i="3"/>
  <c r="AP79" i="3" s="1"/>
  <c r="AL79" i="3"/>
  <c r="AK79" i="3"/>
  <c r="AJ79" i="3"/>
  <c r="AH79" i="3"/>
  <c r="AG79" i="3"/>
  <c r="AF79" i="3"/>
  <c r="AE79" i="3"/>
  <c r="AD79" i="3"/>
  <c r="AC79" i="3"/>
  <c r="AB79" i="3"/>
  <c r="X79" i="3"/>
  <c r="AA79" i="3" s="1"/>
  <c r="W79" i="3"/>
  <c r="U79" i="3"/>
  <c r="V79" i="3" s="1"/>
  <c r="T79" i="3"/>
  <c r="AI79" i="3" s="1"/>
  <c r="AO78" i="3"/>
  <c r="AP78" i="3" s="1"/>
  <c r="AL78" i="3"/>
  <c r="AK78" i="3"/>
  <c r="AJ78" i="3"/>
  <c r="AH78" i="3"/>
  <c r="AG78" i="3"/>
  <c r="AF78" i="3"/>
  <c r="AE78" i="3"/>
  <c r="AD78" i="3"/>
  <c r="AC78" i="3"/>
  <c r="AB78" i="3"/>
  <c r="X78" i="3"/>
  <c r="AA78" i="3" s="1"/>
  <c r="W78" i="3"/>
  <c r="U78" i="3"/>
  <c r="V78" i="3" s="1"/>
  <c r="T78" i="3"/>
  <c r="AI78" i="3" s="1"/>
  <c r="AO77" i="3"/>
  <c r="AP77" i="3" s="1"/>
  <c r="AL77" i="3"/>
  <c r="AK77" i="3"/>
  <c r="AJ77" i="3"/>
  <c r="AH77" i="3"/>
  <c r="AG77" i="3"/>
  <c r="AF77" i="3"/>
  <c r="AE77" i="3"/>
  <c r="AD77" i="3"/>
  <c r="AC77" i="3"/>
  <c r="AB77" i="3"/>
  <c r="X77" i="3"/>
  <c r="AA77" i="3" s="1"/>
  <c r="W77" i="3"/>
  <c r="U77" i="3"/>
  <c r="V77" i="3" s="1"/>
  <c r="T77" i="3"/>
  <c r="AI77" i="3" s="1"/>
  <c r="AO76" i="3"/>
  <c r="AP76" i="3" s="1"/>
  <c r="AL76" i="3"/>
  <c r="AK76" i="3"/>
  <c r="AJ76" i="3"/>
  <c r="AH76" i="3"/>
  <c r="AG76" i="3"/>
  <c r="AF76" i="3"/>
  <c r="AE76" i="3"/>
  <c r="AD76" i="3"/>
  <c r="AC76" i="3"/>
  <c r="AB76" i="3"/>
  <c r="X76" i="3"/>
  <c r="AA76" i="3" s="1"/>
  <c r="W76" i="3"/>
  <c r="U76" i="3"/>
  <c r="V76" i="3" s="1"/>
  <c r="T76" i="3"/>
  <c r="AI76" i="3" s="1"/>
  <c r="AO75" i="3"/>
  <c r="AP75" i="3" s="1"/>
  <c r="AL75" i="3"/>
  <c r="AK75" i="3"/>
  <c r="AJ75" i="3"/>
  <c r="AH75" i="3"/>
  <c r="AG75" i="3"/>
  <c r="AF75" i="3"/>
  <c r="AE75" i="3"/>
  <c r="AD75" i="3"/>
  <c r="AC75" i="3"/>
  <c r="AB75" i="3"/>
  <c r="X75" i="3"/>
  <c r="AA75" i="3" s="1"/>
  <c r="W75" i="3"/>
  <c r="U75" i="3"/>
  <c r="V75" i="3" s="1"/>
  <c r="T75" i="3"/>
  <c r="AI75" i="3" s="1"/>
  <c r="AO74" i="3"/>
  <c r="AP74" i="3" s="1"/>
  <c r="AL74" i="3"/>
  <c r="AK74" i="3"/>
  <c r="AJ74" i="3"/>
  <c r="AH74" i="3"/>
  <c r="AG74" i="3"/>
  <c r="AF74" i="3"/>
  <c r="AE74" i="3"/>
  <c r="AD74" i="3"/>
  <c r="AC74" i="3"/>
  <c r="AB74" i="3"/>
  <c r="X74" i="3"/>
  <c r="AA74" i="3" s="1"/>
  <c r="W74" i="3"/>
  <c r="U74" i="3"/>
  <c r="V74" i="3" s="1"/>
  <c r="T74" i="3"/>
  <c r="AI74" i="3" s="1"/>
  <c r="AO73" i="3"/>
  <c r="AP73" i="3" s="1"/>
  <c r="AL73" i="3"/>
  <c r="AK73" i="3"/>
  <c r="AJ73" i="3"/>
  <c r="AH73" i="3"/>
  <c r="AG73" i="3"/>
  <c r="AF73" i="3"/>
  <c r="AE73" i="3"/>
  <c r="AD73" i="3"/>
  <c r="AC73" i="3"/>
  <c r="AB73" i="3"/>
  <c r="X73" i="3"/>
  <c r="AA73" i="3" s="1"/>
  <c r="W73" i="3"/>
  <c r="U73" i="3"/>
  <c r="V73" i="3" s="1"/>
  <c r="T73" i="3"/>
  <c r="AI73" i="3" s="1"/>
  <c r="AO72" i="3"/>
  <c r="AP72" i="3" s="1"/>
  <c r="AL72" i="3"/>
  <c r="AK72" i="3"/>
  <c r="AJ72" i="3"/>
  <c r="AH72" i="3"/>
  <c r="AG72" i="3"/>
  <c r="AF72" i="3"/>
  <c r="AE72" i="3"/>
  <c r="AD72" i="3"/>
  <c r="AC72" i="3"/>
  <c r="AB72" i="3"/>
  <c r="X72" i="3"/>
  <c r="AA72" i="3" s="1"/>
  <c r="W72" i="3"/>
  <c r="U72" i="3"/>
  <c r="V72" i="3" s="1"/>
  <c r="T72" i="3"/>
  <c r="AI72" i="3" s="1"/>
  <c r="AO71" i="3"/>
  <c r="AP71" i="3" s="1"/>
  <c r="AL71" i="3"/>
  <c r="AK71" i="3"/>
  <c r="AJ71" i="3"/>
  <c r="AH71" i="3"/>
  <c r="AG71" i="3"/>
  <c r="AF71" i="3"/>
  <c r="AE71" i="3"/>
  <c r="AD71" i="3"/>
  <c r="AC71" i="3"/>
  <c r="AB71" i="3"/>
  <c r="X71" i="3"/>
  <c r="AA71" i="3" s="1"/>
  <c r="W71" i="3"/>
  <c r="U71" i="3"/>
  <c r="V71" i="3" s="1"/>
  <c r="T71" i="3"/>
  <c r="AI71" i="3" s="1"/>
  <c r="AO70" i="3"/>
  <c r="AP70" i="3" s="1"/>
  <c r="AL70" i="3"/>
  <c r="AK70" i="3"/>
  <c r="AJ70" i="3"/>
  <c r="AH70" i="3"/>
  <c r="AG70" i="3"/>
  <c r="AF70" i="3"/>
  <c r="AE70" i="3"/>
  <c r="AD70" i="3"/>
  <c r="AC70" i="3"/>
  <c r="AB70" i="3"/>
  <c r="X70" i="3"/>
  <c r="AA70" i="3" s="1"/>
  <c r="W70" i="3"/>
  <c r="U70" i="3"/>
  <c r="V70" i="3" s="1"/>
  <c r="T70" i="3"/>
  <c r="AI70" i="3" s="1"/>
  <c r="AO69" i="3"/>
  <c r="AP69" i="3" s="1"/>
  <c r="AL69" i="3"/>
  <c r="AK69" i="3"/>
  <c r="AJ69" i="3"/>
  <c r="AH69" i="3"/>
  <c r="AG69" i="3"/>
  <c r="AF69" i="3"/>
  <c r="AE69" i="3"/>
  <c r="AD69" i="3"/>
  <c r="AC69" i="3"/>
  <c r="AB69" i="3"/>
  <c r="X69" i="3"/>
  <c r="AA69" i="3" s="1"/>
  <c r="W69" i="3"/>
  <c r="U69" i="3"/>
  <c r="V69" i="3" s="1"/>
  <c r="T69" i="3"/>
  <c r="AI69" i="3" s="1"/>
  <c r="AO68" i="3"/>
  <c r="AP68" i="3" s="1"/>
  <c r="AL68" i="3"/>
  <c r="AK68" i="3"/>
  <c r="AJ68" i="3"/>
  <c r="AH68" i="3"/>
  <c r="AG68" i="3"/>
  <c r="AF68" i="3"/>
  <c r="AE68" i="3"/>
  <c r="AD68" i="3"/>
  <c r="AC68" i="3"/>
  <c r="AB68" i="3"/>
  <c r="X68" i="3"/>
  <c r="AA68" i="3" s="1"/>
  <c r="W68" i="3"/>
  <c r="U68" i="3"/>
  <c r="V68" i="3" s="1"/>
  <c r="T68" i="3"/>
  <c r="AI68" i="3" s="1"/>
  <c r="AO67" i="3"/>
  <c r="AP67" i="3" s="1"/>
  <c r="AL67" i="3"/>
  <c r="AK67" i="3"/>
  <c r="AJ67" i="3"/>
  <c r="AH67" i="3"/>
  <c r="AG67" i="3"/>
  <c r="AF67" i="3"/>
  <c r="AE67" i="3"/>
  <c r="AD67" i="3"/>
  <c r="AC67" i="3"/>
  <c r="AB67" i="3"/>
  <c r="X67" i="3"/>
  <c r="AA67" i="3" s="1"/>
  <c r="W67" i="3"/>
  <c r="U67" i="3"/>
  <c r="V67" i="3" s="1"/>
  <c r="T67" i="3"/>
  <c r="AI67" i="3" s="1"/>
  <c r="AO66" i="3"/>
  <c r="AP66" i="3" s="1"/>
  <c r="AL66" i="3"/>
  <c r="AK66" i="3"/>
  <c r="AJ66" i="3"/>
  <c r="AH66" i="3"/>
  <c r="AG66" i="3"/>
  <c r="AF66" i="3"/>
  <c r="AE66" i="3"/>
  <c r="AD66" i="3"/>
  <c r="AC66" i="3"/>
  <c r="AB66" i="3"/>
  <c r="X66" i="3"/>
  <c r="AA66" i="3" s="1"/>
  <c r="W66" i="3"/>
  <c r="U66" i="3"/>
  <c r="V66" i="3" s="1"/>
  <c r="T66" i="3"/>
  <c r="AI66" i="3" s="1"/>
  <c r="AO65" i="3"/>
  <c r="AP65" i="3" s="1"/>
  <c r="AL65" i="3"/>
  <c r="AK65" i="3"/>
  <c r="AJ65" i="3"/>
  <c r="AH65" i="3"/>
  <c r="AG65" i="3"/>
  <c r="AF65" i="3"/>
  <c r="AE65" i="3"/>
  <c r="AD65" i="3"/>
  <c r="AC65" i="3"/>
  <c r="AB65" i="3"/>
  <c r="X65" i="3"/>
  <c r="AA65" i="3" s="1"/>
  <c r="W65" i="3"/>
  <c r="U65" i="3"/>
  <c r="V65" i="3" s="1"/>
  <c r="T65" i="3"/>
  <c r="AI65" i="3" s="1"/>
  <c r="AO64" i="3"/>
  <c r="AP64" i="3" s="1"/>
  <c r="AL64" i="3"/>
  <c r="AK64" i="3"/>
  <c r="AJ64" i="3"/>
  <c r="AH64" i="3"/>
  <c r="AG64" i="3"/>
  <c r="AF64" i="3"/>
  <c r="AE64" i="3"/>
  <c r="AD64" i="3"/>
  <c r="AC64" i="3"/>
  <c r="AB64" i="3"/>
  <c r="X64" i="3"/>
  <c r="AA64" i="3" s="1"/>
  <c r="W64" i="3"/>
  <c r="U64" i="3"/>
  <c r="V64" i="3" s="1"/>
  <c r="T64" i="3"/>
  <c r="AI64" i="3" s="1"/>
  <c r="AO63" i="3"/>
  <c r="AP63" i="3" s="1"/>
  <c r="AL63" i="3"/>
  <c r="AK63" i="3"/>
  <c r="AJ63" i="3"/>
  <c r="AH63" i="3"/>
  <c r="AG63" i="3"/>
  <c r="AF63" i="3"/>
  <c r="AE63" i="3"/>
  <c r="AD63" i="3"/>
  <c r="AC63" i="3"/>
  <c r="AB63" i="3"/>
  <c r="X63" i="3"/>
  <c r="AA63" i="3" s="1"/>
  <c r="W63" i="3"/>
  <c r="U63" i="3"/>
  <c r="V63" i="3" s="1"/>
  <c r="T63" i="3"/>
  <c r="AI63" i="3" s="1"/>
  <c r="AO62" i="3"/>
  <c r="AP62" i="3" s="1"/>
  <c r="AL62" i="3"/>
  <c r="AK62" i="3"/>
  <c r="AJ62" i="3"/>
  <c r="AH62" i="3"/>
  <c r="AG62" i="3"/>
  <c r="AF62" i="3"/>
  <c r="AE62" i="3"/>
  <c r="AD62" i="3"/>
  <c r="AC62" i="3"/>
  <c r="AB62" i="3"/>
  <c r="X62" i="3"/>
  <c r="AA62" i="3" s="1"/>
  <c r="W62" i="3"/>
  <c r="U62" i="3"/>
  <c r="V62" i="3" s="1"/>
  <c r="T62" i="3"/>
  <c r="AI62" i="3" s="1"/>
  <c r="AO61" i="3"/>
  <c r="AP61" i="3" s="1"/>
  <c r="AL61" i="3"/>
  <c r="AK61" i="3"/>
  <c r="AJ61" i="3"/>
  <c r="AH61" i="3"/>
  <c r="AG61" i="3"/>
  <c r="AF61" i="3"/>
  <c r="AE61" i="3"/>
  <c r="AD61" i="3"/>
  <c r="AC61" i="3"/>
  <c r="AB61" i="3"/>
  <c r="X61" i="3"/>
  <c r="AA61" i="3" s="1"/>
  <c r="W61" i="3"/>
  <c r="U61" i="3"/>
  <c r="V61" i="3" s="1"/>
  <c r="T61" i="3"/>
  <c r="AI61" i="3" s="1"/>
  <c r="AO60" i="3"/>
  <c r="AP60" i="3" s="1"/>
  <c r="AL60" i="3"/>
  <c r="AK60" i="3"/>
  <c r="AJ60" i="3"/>
  <c r="AH60" i="3"/>
  <c r="AG60" i="3"/>
  <c r="AF60" i="3"/>
  <c r="AE60" i="3"/>
  <c r="AD60" i="3"/>
  <c r="AC60" i="3"/>
  <c r="AB60" i="3"/>
  <c r="X60" i="3"/>
  <c r="AA60" i="3" s="1"/>
  <c r="W60" i="3"/>
  <c r="U60" i="3"/>
  <c r="V60" i="3" s="1"/>
  <c r="T60" i="3"/>
  <c r="AI60" i="3" s="1"/>
  <c r="AO59" i="3"/>
  <c r="AP59" i="3" s="1"/>
  <c r="AL59" i="3"/>
  <c r="AK59" i="3"/>
  <c r="AJ59" i="3"/>
  <c r="AH59" i="3"/>
  <c r="AG59" i="3"/>
  <c r="AF59" i="3"/>
  <c r="AE59" i="3"/>
  <c r="AD59" i="3"/>
  <c r="AC59" i="3"/>
  <c r="AB59" i="3"/>
  <c r="X59" i="3"/>
  <c r="AA59" i="3" s="1"/>
  <c r="W59" i="3"/>
  <c r="U59" i="3"/>
  <c r="V59" i="3" s="1"/>
  <c r="T59" i="3"/>
  <c r="AI59" i="3" s="1"/>
  <c r="AO58" i="3"/>
  <c r="AP58" i="3" s="1"/>
  <c r="AL58" i="3"/>
  <c r="AK58" i="3"/>
  <c r="AJ58" i="3"/>
  <c r="AH58" i="3"/>
  <c r="AG58" i="3"/>
  <c r="AF58" i="3"/>
  <c r="AE58" i="3"/>
  <c r="AD58" i="3"/>
  <c r="AC58" i="3"/>
  <c r="AB58" i="3"/>
  <c r="X58" i="3"/>
  <c r="AA58" i="3" s="1"/>
  <c r="W58" i="3"/>
  <c r="U58" i="3"/>
  <c r="V58" i="3" s="1"/>
  <c r="T58" i="3"/>
  <c r="AI58" i="3" s="1"/>
  <c r="AO57" i="3"/>
  <c r="AP57" i="3" s="1"/>
  <c r="AL57" i="3"/>
  <c r="AK57" i="3"/>
  <c r="AJ57" i="3"/>
  <c r="AH57" i="3"/>
  <c r="AG57" i="3"/>
  <c r="AF57" i="3"/>
  <c r="AE57" i="3"/>
  <c r="AD57" i="3"/>
  <c r="AC57" i="3"/>
  <c r="AB57" i="3"/>
  <c r="X57" i="3"/>
  <c r="AA57" i="3" s="1"/>
  <c r="W57" i="3"/>
  <c r="U57" i="3"/>
  <c r="V57" i="3" s="1"/>
  <c r="T57" i="3"/>
  <c r="AI57" i="3" s="1"/>
  <c r="AO56" i="3"/>
  <c r="AP56" i="3" s="1"/>
  <c r="AL56" i="3"/>
  <c r="AK56" i="3"/>
  <c r="AJ56" i="3"/>
  <c r="AH56" i="3"/>
  <c r="AG56" i="3"/>
  <c r="AF56" i="3"/>
  <c r="AE56" i="3"/>
  <c r="AD56" i="3"/>
  <c r="AC56" i="3"/>
  <c r="AB56" i="3"/>
  <c r="X56" i="3"/>
  <c r="AA56" i="3" s="1"/>
  <c r="W56" i="3"/>
  <c r="U56" i="3"/>
  <c r="V56" i="3" s="1"/>
  <c r="T56" i="3"/>
  <c r="AI56" i="3" s="1"/>
  <c r="AO55" i="3"/>
  <c r="AP55" i="3" s="1"/>
  <c r="AL55" i="3"/>
  <c r="AK55" i="3"/>
  <c r="AJ55" i="3"/>
  <c r="AH55" i="3"/>
  <c r="AG55" i="3"/>
  <c r="AF55" i="3"/>
  <c r="AE55" i="3"/>
  <c r="AD55" i="3"/>
  <c r="AC55" i="3"/>
  <c r="AB55" i="3"/>
  <c r="X55" i="3"/>
  <c r="AA55" i="3" s="1"/>
  <c r="W55" i="3"/>
  <c r="U55" i="3"/>
  <c r="V55" i="3" s="1"/>
  <c r="T55" i="3"/>
  <c r="AI55" i="3" s="1"/>
  <c r="AO54" i="3"/>
  <c r="AP54" i="3" s="1"/>
  <c r="AL54" i="3"/>
  <c r="AK54" i="3"/>
  <c r="AJ54" i="3"/>
  <c r="AH54" i="3"/>
  <c r="AG54" i="3"/>
  <c r="AF54" i="3"/>
  <c r="AE54" i="3"/>
  <c r="AD54" i="3"/>
  <c r="AC54" i="3"/>
  <c r="AB54" i="3"/>
  <c r="X54" i="3"/>
  <c r="AA54" i="3" s="1"/>
  <c r="W54" i="3"/>
  <c r="U54" i="3"/>
  <c r="V54" i="3" s="1"/>
  <c r="T54" i="3"/>
  <c r="AI54" i="3" s="1"/>
  <c r="AO53" i="3"/>
  <c r="AP53" i="3" s="1"/>
  <c r="AL53" i="3"/>
  <c r="AK53" i="3"/>
  <c r="AJ53" i="3"/>
  <c r="AH53" i="3"/>
  <c r="AG53" i="3"/>
  <c r="AF53" i="3"/>
  <c r="AE53" i="3"/>
  <c r="AD53" i="3"/>
  <c r="AC53" i="3"/>
  <c r="AB53" i="3"/>
  <c r="X53" i="3"/>
  <c r="AA53" i="3" s="1"/>
  <c r="W53" i="3"/>
  <c r="U53" i="3"/>
  <c r="V53" i="3" s="1"/>
  <c r="T53" i="3"/>
  <c r="AI53" i="3" s="1"/>
  <c r="AO52" i="3"/>
  <c r="AP52" i="3" s="1"/>
  <c r="AL52" i="3"/>
  <c r="AK52" i="3"/>
  <c r="AJ52" i="3"/>
  <c r="AH52" i="3"/>
  <c r="AG52" i="3"/>
  <c r="AF52" i="3"/>
  <c r="AE52" i="3"/>
  <c r="AD52" i="3"/>
  <c r="AC52" i="3"/>
  <c r="AB52" i="3"/>
  <c r="X52" i="3"/>
  <c r="AA52" i="3" s="1"/>
  <c r="W52" i="3"/>
  <c r="U52" i="3"/>
  <c r="V52" i="3" s="1"/>
  <c r="T52" i="3"/>
  <c r="AI52" i="3" s="1"/>
  <c r="AO51" i="3"/>
  <c r="AP51" i="3" s="1"/>
  <c r="AL51" i="3"/>
  <c r="AK51" i="3"/>
  <c r="AJ51" i="3"/>
  <c r="AH51" i="3"/>
  <c r="AG51" i="3"/>
  <c r="AF51" i="3"/>
  <c r="AE51" i="3"/>
  <c r="AD51" i="3"/>
  <c r="AC51" i="3"/>
  <c r="AB51" i="3"/>
  <c r="X51" i="3"/>
  <c r="AA51" i="3" s="1"/>
  <c r="W51" i="3"/>
  <c r="U51" i="3"/>
  <c r="V51" i="3" s="1"/>
  <c r="T51" i="3"/>
  <c r="AI51" i="3" s="1"/>
  <c r="AO50" i="3"/>
  <c r="AP50" i="3" s="1"/>
  <c r="AL50" i="3"/>
  <c r="AK50" i="3"/>
  <c r="AJ50" i="3"/>
  <c r="AH50" i="3"/>
  <c r="AG50" i="3"/>
  <c r="AF50" i="3"/>
  <c r="AE50" i="3"/>
  <c r="AD50" i="3"/>
  <c r="AC50" i="3"/>
  <c r="AB50" i="3"/>
  <c r="X50" i="3"/>
  <c r="AA50" i="3" s="1"/>
  <c r="W50" i="3"/>
  <c r="U50" i="3"/>
  <c r="V50" i="3" s="1"/>
  <c r="T50" i="3"/>
  <c r="AI50" i="3" s="1"/>
  <c r="AO49" i="3"/>
  <c r="AP49" i="3" s="1"/>
  <c r="AL49" i="3"/>
  <c r="AK49" i="3"/>
  <c r="AJ49" i="3"/>
  <c r="AH49" i="3"/>
  <c r="AG49" i="3"/>
  <c r="AF49" i="3"/>
  <c r="AE49" i="3"/>
  <c r="AD49" i="3"/>
  <c r="AC49" i="3"/>
  <c r="AB49" i="3"/>
  <c r="X49" i="3"/>
  <c r="AA49" i="3" s="1"/>
  <c r="W49" i="3"/>
  <c r="U49" i="3"/>
  <c r="V49" i="3" s="1"/>
  <c r="T49" i="3"/>
  <c r="AI49" i="3" s="1"/>
  <c r="AO48" i="3"/>
  <c r="AP48" i="3" s="1"/>
  <c r="AL48" i="3"/>
  <c r="AK48" i="3"/>
  <c r="AJ48" i="3"/>
  <c r="AH48" i="3"/>
  <c r="AG48" i="3"/>
  <c r="AF48" i="3"/>
  <c r="AE48" i="3"/>
  <c r="AD48" i="3"/>
  <c r="AC48" i="3"/>
  <c r="AB48" i="3"/>
  <c r="X48" i="3"/>
  <c r="AA48" i="3" s="1"/>
  <c r="W48" i="3"/>
  <c r="U48" i="3"/>
  <c r="V48" i="3" s="1"/>
  <c r="T48" i="3"/>
  <c r="AI48" i="3" s="1"/>
  <c r="AO47" i="3"/>
  <c r="AP47" i="3" s="1"/>
  <c r="AL47" i="3"/>
  <c r="AK47" i="3"/>
  <c r="AJ47" i="3"/>
  <c r="AH47" i="3"/>
  <c r="AG47" i="3"/>
  <c r="AF47" i="3"/>
  <c r="AE47" i="3"/>
  <c r="AD47" i="3"/>
  <c r="AC47" i="3"/>
  <c r="AB47" i="3"/>
  <c r="X47" i="3"/>
  <c r="AA47" i="3" s="1"/>
  <c r="W47" i="3"/>
  <c r="U47" i="3"/>
  <c r="V47" i="3" s="1"/>
  <c r="T47" i="3"/>
  <c r="AI47" i="3" s="1"/>
  <c r="AO46" i="3"/>
  <c r="AP46" i="3" s="1"/>
  <c r="AL46" i="3"/>
  <c r="AK46" i="3"/>
  <c r="AJ46" i="3"/>
  <c r="AH46" i="3"/>
  <c r="AG46" i="3"/>
  <c r="AF46" i="3"/>
  <c r="AE46" i="3"/>
  <c r="AD46" i="3"/>
  <c r="AC46" i="3"/>
  <c r="AB46" i="3"/>
  <c r="X46" i="3"/>
  <c r="AA46" i="3" s="1"/>
  <c r="W46" i="3"/>
  <c r="U46" i="3"/>
  <c r="V46" i="3" s="1"/>
  <c r="T46" i="3"/>
  <c r="AI46" i="3" s="1"/>
  <c r="AO45" i="3"/>
  <c r="AP45" i="3" s="1"/>
  <c r="AL45" i="3"/>
  <c r="AK45" i="3"/>
  <c r="AJ45" i="3"/>
  <c r="AH45" i="3"/>
  <c r="AG45" i="3"/>
  <c r="AF45" i="3"/>
  <c r="AE45" i="3"/>
  <c r="AD45" i="3"/>
  <c r="AC45" i="3"/>
  <c r="AB45" i="3"/>
  <c r="X45" i="3"/>
  <c r="AA45" i="3" s="1"/>
  <c r="W45" i="3"/>
  <c r="U45" i="3"/>
  <c r="V45" i="3" s="1"/>
  <c r="T45" i="3"/>
  <c r="AI45" i="3" s="1"/>
  <c r="AO44" i="3"/>
  <c r="AP44" i="3" s="1"/>
  <c r="AL44" i="3"/>
  <c r="AK44" i="3"/>
  <c r="AJ44" i="3"/>
  <c r="AH44" i="3"/>
  <c r="AG44" i="3"/>
  <c r="AF44" i="3"/>
  <c r="AE44" i="3"/>
  <c r="AD44" i="3"/>
  <c r="AC44" i="3"/>
  <c r="AB44" i="3"/>
  <c r="X44" i="3"/>
  <c r="AA44" i="3" s="1"/>
  <c r="W44" i="3"/>
  <c r="U44" i="3"/>
  <c r="V44" i="3" s="1"/>
  <c r="T44" i="3"/>
  <c r="AI44" i="3" s="1"/>
  <c r="AO43" i="3"/>
  <c r="AP43" i="3" s="1"/>
  <c r="AL43" i="3"/>
  <c r="AK43" i="3"/>
  <c r="AJ43" i="3"/>
  <c r="AH43" i="3"/>
  <c r="AG43" i="3"/>
  <c r="AF43" i="3"/>
  <c r="AE43" i="3"/>
  <c r="AD43" i="3"/>
  <c r="AC43" i="3"/>
  <c r="AB43" i="3"/>
  <c r="X43" i="3"/>
  <c r="AA43" i="3" s="1"/>
  <c r="W43" i="3"/>
  <c r="U43" i="3"/>
  <c r="V43" i="3" s="1"/>
  <c r="T43" i="3"/>
  <c r="AI43" i="3" s="1"/>
  <c r="AO42" i="3"/>
  <c r="AP42" i="3" s="1"/>
  <c r="AL42" i="3"/>
  <c r="AK42" i="3"/>
  <c r="AJ42" i="3"/>
  <c r="AH42" i="3"/>
  <c r="AG42" i="3"/>
  <c r="AF42" i="3"/>
  <c r="AE42" i="3"/>
  <c r="AD42" i="3"/>
  <c r="AC42" i="3"/>
  <c r="AB42" i="3"/>
  <c r="X42" i="3"/>
  <c r="AA42" i="3" s="1"/>
  <c r="W42" i="3"/>
  <c r="U42" i="3"/>
  <c r="V42" i="3" s="1"/>
  <c r="T42" i="3"/>
  <c r="AI42" i="3" s="1"/>
  <c r="AO41" i="3"/>
  <c r="AP41" i="3" s="1"/>
  <c r="AL41" i="3"/>
  <c r="AK41" i="3"/>
  <c r="AJ41" i="3"/>
  <c r="AH41" i="3"/>
  <c r="AG41" i="3"/>
  <c r="AF41" i="3"/>
  <c r="AE41" i="3"/>
  <c r="AD41" i="3"/>
  <c r="AC41" i="3"/>
  <c r="AB41" i="3"/>
  <c r="X41" i="3"/>
  <c r="AA41" i="3" s="1"/>
  <c r="W41" i="3"/>
  <c r="U41" i="3"/>
  <c r="V41" i="3" s="1"/>
  <c r="T41" i="3"/>
  <c r="AI41" i="3" s="1"/>
  <c r="AO40" i="3"/>
  <c r="AP40" i="3" s="1"/>
  <c r="AL40" i="3"/>
  <c r="AK40" i="3"/>
  <c r="AJ40" i="3"/>
  <c r="AH40" i="3"/>
  <c r="AG40" i="3"/>
  <c r="AF40" i="3"/>
  <c r="AE40" i="3"/>
  <c r="AD40" i="3"/>
  <c r="AC40" i="3"/>
  <c r="AB40" i="3"/>
  <c r="X40" i="3"/>
  <c r="AA40" i="3" s="1"/>
  <c r="W40" i="3"/>
  <c r="U40" i="3"/>
  <c r="V40" i="3" s="1"/>
  <c r="T40" i="3"/>
  <c r="AI40" i="3" s="1"/>
  <c r="AO39" i="3"/>
  <c r="AP39" i="3" s="1"/>
  <c r="AL39" i="3"/>
  <c r="AK39" i="3"/>
  <c r="AJ39" i="3"/>
  <c r="AH39" i="3"/>
  <c r="AG39" i="3"/>
  <c r="AF39" i="3"/>
  <c r="AE39" i="3"/>
  <c r="AD39" i="3"/>
  <c r="AC39" i="3"/>
  <c r="AB39" i="3"/>
  <c r="X39" i="3"/>
  <c r="AA39" i="3" s="1"/>
  <c r="W39" i="3"/>
  <c r="U39" i="3"/>
  <c r="V39" i="3" s="1"/>
  <c r="T39" i="3"/>
  <c r="AI39" i="3" s="1"/>
  <c r="AO38" i="3"/>
  <c r="AP38" i="3" s="1"/>
  <c r="AL38" i="3"/>
  <c r="AK38" i="3"/>
  <c r="AJ38" i="3"/>
  <c r="AH38" i="3"/>
  <c r="AG38" i="3"/>
  <c r="AF38" i="3"/>
  <c r="AE38" i="3"/>
  <c r="AD38" i="3"/>
  <c r="AC38" i="3"/>
  <c r="AB38" i="3"/>
  <c r="X38" i="3"/>
  <c r="AA38" i="3" s="1"/>
  <c r="W38" i="3"/>
  <c r="U38" i="3"/>
  <c r="V38" i="3" s="1"/>
  <c r="T38" i="3"/>
  <c r="AI38" i="3" s="1"/>
  <c r="AO37" i="3"/>
  <c r="AP37" i="3" s="1"/>
  <c r="AL37" i="3"/>
  <c r="AK37" i="3"/>
  <c r="AJ37" i="3"/>
  <c r="AH37" i="3"/>
  <c r="AG37" i="3"/>
  <c r="AF37" i="3"/>
  <c r="AE37" i="3"/>
  <c r="AD37" i="3"/>
  <c r="AC37" i="3"/>
  <c r="AB37" i="3"/>
  <c r="X37" i="3"/>
  <c r="AA37" i="3" s="1"/>
  <c r="W37" i="3"/>
  <c r="U37" i="3"/>
  <c r="V37" i="3" s="1"/>
  <c r="T37" i="3"/>
  <c r="AI37" i="3" s="1"/>
  <c r="AO36" i="3"/>
  <c r="AP36" i="3" s="1"/>
  <c r="AL36" i="3"/>
  <c r="AK36" i="3"/>
  <c r="AJ36" i="3"/>
  <c r="AI36" i="3"/>
  <c r="AH36" i="3"/>
  <c r="AG36" i="3"/>
  <c r="AF36" i="3"/>
  <c r="AE36" i="3"/>
  <c r="AD36" i="3"/>
  <c r="AC36" i="3"/>
  <c r="AB36" i="3"/>
  <c r="X36" i="3"/>
  <c r="AA36" i="3" s="1"/>
  <c r="W36" i="3"/>
  <c r="V36" i="3"/>
  <c r="U36" i="3"/>
  <c r="T36" i="3"/>
  <c r="AO35" i="3"/>
  <c r="AP35" i="3" s="1"/>
  <c r="AL35" i="3"/>
  <c r="AK35" i="3"/>
  <c r="AJ35" i="3"/>
  <c r="AH35" i="3"/>
  <c r="AG35" i="3"/>
  <c r="AF35" i="3"/>
  <c r="AE35" i="3"/>
  <c r="AD35" i="3"/>
  <c r="AC35" i="3"/>
  <c r="AB35" i="3"/>
  <c r="X35" i="3"/>
  <c r="AA35" i="3" s="1"/>
  <c r="W35" i="3"/>
  <c r="U35" i="3"/>
  <c r="V35" i="3" s="1"/>
  <c r="T35" i="3"/>
  <c r="AI35" i="3" s="1"/>
  <c r="AO34" i="3"/>
  <c r="AP34" i="3" s="1"/>
  <c r="AL34" i="3"/>
  <c r="AK34" i="3"/>
  <c r="AJ34" i="3"/>
  <c r="AH34" i="3"/>
  <c r="AG34" i="3"/>
  <c r="AF34" i="3"/>
  <c r="AE34" i="3"/>
  <c r="AD34" i="3"/>
  <c r="AC34" i="3"/>
  <c r="AB34" i="3"/>
  <c r="X34" i="3"/>
  <c r="AA34" i="3" s="1"/>
  <c r="W34" i="3"/>
  <c r="U34" i="3"/>
  <c r="V34" i="3" s="1"/>
  <c r="T34" i="3"/>
  <c r="AI34" i="3" s="1"/>
  <c r="AO33" i="3"/>
  <c r="AP33" i="3" s="1"/>
  <c r="AL33" i="3"/>
  <c r="AK33" i="3"/>
  <c r="AJ33" i="3"/>
  <c r="AH33" i="3"/>
  <c r="AG33" i="3"/>
  <c r="AF33" i="3"/>
  <c r="AE33" i="3"/>
  <c r="AD33" i="3"/>
  <c r="AC33" i="3"/>
  <c r="AB33" i="3"/>
  <c r="X33" i="3"/>
  <c r="AA33" i="3" s="1"/>
  <c r="W33" i="3"/>
  <c r="U33" i="3"/>
  <c r="V33" i="3" s="1"/>
  <c r="T33" i="3"/>
  <c r="AI33" i="3" s="1"/>
  <c r="AO32" i="3"/>
  <c r="AP32" i="3" s="1"/>
  <c r="AL32" i="3"/>
  <c r="AK32" i="3"/>
  <c r="AJ32" i="3"/>
  <c r="AH32" i="3"/>
  <c r="AG32" i="3"/>
  <c r="AF32" i="3"/>
  <c r="AE32" i="3"/>
  <c r="AD32" i="3"/>
  <c r="AC32" i="3"/>
  <c r="AB32" i="3"/>
  <c r="X32" i="3"/>
  <c r="AA32" i="3" s="1"/>
  <c r="W32" i="3"/>
  <c r="U32" i="3"/>
  <c r="V32" i="3" s="1"/>
  <c r="T32" i="3"/>
  <c r="AI32" i="3" s="1"/>
  <c r="AO31" i="3"/>
  <c r="AP31" i="3" s="1"/>
  <c r="AL31" i="3"/>
  <c r="AK31" i="3"/>
  <c r="AJ31" i="3"/>
  <c r="AH31" i="3"/>
  <c r="AG31" i="3"/>
  <c r="AF31" i="3"/>
  <c r="AE31" i="3"/>
  <c r="AD31" i="3"/>
  <c r="AC31" i="3"/>
  <c r="AB31" i="3"/>
  <c r="X31" i="3"/>
  <c r="AA31" i="3" s="1"/>
  <c r="W31" i="3"/>
  <c r="U31" i="3"/>
  <c r="V31" i="3" s="1"/>
  <c r="T31" i="3"/>
  <c r="AI31" i="3" s="1"/>
  <c r="AO30" i="3"/>
  <c r="AP30" i="3" s="1"/>
  <c r="AL30" i="3"/>
  <c r="AK30" i="3"/>
  <c r="AJ30" i="3"/>
  <c r="AH30" i="3"/>
  <c r="AG30" i="3"/>
  <c r="AF30" i="3"/>
  <c r="AE30" i="3"/>
  <c r="AD30" i="3"/>
  <c r="AC30" i="3"/>
  <c r="AB30" i="3"/>
  <c r="X30" i="3"/>
  <c r="AA30" i="3" s="1"/>
  <c r="W30" i="3"/>
  <c r="U30" i="3"/>
  <c r="V30" i="3" s="1"/>
  <c r="T30" i="3"/>
  <c r="AI30" i="3" s="1"/>
  <c r="AO29" i="3"/>
  <c r="AP29" i="3" s="1"/>
  <c r="AL29" i="3"/>
  <c r="AK29" i="3"/>
  <c r="AJ29" i="3"/>
  <c r="AH29" i="3"/>
  <c r="AG29" i="3"/>
  <c r="AF29" i="3"/>
  <c r="AE29" i="3"/>
  <c r="AD29" i="3"/>
  <c r="AC29" i="3"/>
  <c r="AB29" i="3"/>
  <c r="X29" i="3"/>
  <c r="AA29" i="3" s="1"/>
  <c r="W29" i="3"/>
  <c r="U29" i="3"/>
  <c r="V29" i="3" s="1"/>
  <c r="T29" i="3"/>
  <c r="AI29" i="3" s="1"/>
  <c r="AO28" i="3"/>
  <c r="AP28" i="3" s="1"/>
  <c r="AL28" i="3"/>
  <c r="AK28" i="3"/>
  <c r="AJ28" i="3"/>
  <c r="AH28" i="3"/>
  <c r="AG28" i="3"/>
  <c r="AF28" i="3"/>
  <c r="AE28" i="3"/>
  <c r="AD28" i="3"/>
  <c r="AC28" i="3"/>
  <c r="AB28" i="3"/>
  <c r="X28" i="3"/>
  <c r="AA28" i="3" s="1"/>
  <c r="W28" i="3"/>
  <c r="U28" i="3"/>
  <c r="V28" i="3" s="1"/>
  <c r="T28" i="3"/>
  <c r="AI28" i="3" s="1"/>
  <c r="AO27" i="3"/>
  <c r="AP27" i="3" s="1"/>
  <c r="AL27" i="3"/>
  <c r="AK27" i="3"/>
  <c r="AJ27" i="3"/>
  <c r="AH27" i="3"/>
  <c r="AG27" i="3"/>
  <c r="AF27" i="3"/>
  <c r="AE27" i="3"/>
  <c r="AD27" i="3"/>
  <c r="AC27" i="3"/>
  <c r="AB27" i="3"/>
  <c r="X27" i="3"/>
  <c r="AA27" i="3" s="1"/>
  <c r="W27" i="3"/>
  <c r="U27" i="3"/>
  <c r="V27" i="3" s="1"/>
  <c r="T27" i="3"/>
  <c r="AI27" i="3" s="1"/>
  <c r="AO26" i="3"/>
  <c r="AP26" i="3" s="1"/>
  <c r="AL26" i="3"/>
  <c r="AK26" i="3"/>
  <c r="AJ26" i="3"/>
  <c r="AH26" i="3"/>
  <c r="AG26" i="3"/>
  <c r="AF26" i="3"/>
  <c r="AE26" i="3"/>
  <c r="AD26" i="3"/>
  <c r="AC26" i="3"/>
  <c r="AB26" i="3"/>
  <c r="X26" i="3"/>
  <c r="AA26" i="3" s="1"/>
  <c r="W26" i="3"/>
  <c r="U26" i="3"/>
  <c r="V26" i="3" s="1"/>
  <c r="T26" i="3"/>
  <c r="AI26" i="3" s="1"/>
  <c r="AO25" i="3"/>
  <c r="AP25" i="3" s="1"/>
  <c r="AL25" i="3"/>
  <c r="AK25" i="3"/>
  <c r="AJ25" i="3"/>
  <c r="AH25" i="3"/>
  <c r="AG25" i="3"/>
  <c r="AF25" i="3"/>
  <c r="AE25" i="3"/>
  <c r="AD25" i="3"/>
  <c r="AC25" i="3"/>
  <c r="AB25" i="3"/>
  <c r="X25" i="3"/>
  <c r="AA25" i="3" s="1"/>
  <c r="W25" i="3"/>
  <c r="U25" i="3"/>
  <c r="V25" i="3" s="1"/>
  <c r="T25" i="3"/>
  <c r="AI25" i="3" s="1"/>
  <c r="AO24" i="3"/>
  <c r="AP24" i="3" s="1"/>
  <c r="AL24" i="3"/>
  <c r="AK24" i="3"/>
  <c r="AJ24" i="3"/>
  <c r="AH24" i="3"/>
  <c r="AG24" i="3"/>
  <c r="AF24" i="3"/>
  <c r="AE24" i="3"/>
  <c r="AD24" i="3"/>
  <c r="AC24" i="3"/>
  <c r="AB24" i="3"/>
  <c r="X24" i="3"/>
  <c r="AA24" i="3" s="1"/>
  <c r="W24" i="3"/>
  <c r="U24" i="3"/>
  <c r="V24" i="3" s="1"/>
  <c r="T24" i="3"/>
  <c r="AI24" i="3" s="1"/>
  <c r="AO23" i="3"/>
  <c r="AP23" i="3" s="1"/>
  <c r="AL23" i="3"/>
  <c r="AK23" i="3"/>
  <c r="AJ23" i="3"/>
  <c r="AH23" i="3"/>
  <c r="AG23" i="3"/>
  <c r="AF23" i="3"/>
  <c r="AE23" i="3"/>
  <c r="AD23" i="3"/>
  <c r="AC23" i="3"/>
  <c r="AB23" i="3"/>
  <c r="X23" i="3"/>
  <c r="AA23" i="3" s="1"/>
  <c r="W23" i="3"/>
  <c r="U23" i="3"/>
  <c r="V23" i="3" s="1"/>
  <c r="T23" i="3"/>
  <c r="AI23" i="3" s="1"/>
  <c r="AO22" i="3"/>
  <c r="AP22" i="3" s="1"/>
  <c r="AL22" i="3"/>
  <c r="AK22" i="3"/>
  <c r="AJ22" i="3"/>
  <c r="AH22" i="3"/>
  <c r="AG22" i="3"/>
  <c r="AF22" i="3"/>
  <c r="AE22" i="3"/>
  <c r="AD22" i="3"/>
  <c r="AC22" i="3"/>
  <c r="AB22" i="3"/>
  <c r="X22" i="3"/>
  <c r="AA22" i="3" s="1"/>
  <c r="W22" i="3"/>
  <c r="U22" i="3"/>
  <c r="V22" i="3" s="1"/>
  <c r="T22" i="3"/>
  <c r="AI22" i="3" s="1"/>
  <c r="AO21" i="3"/>
  <c r="AP21" i="3" s="1"/>
  <c r="AL21" i="3"/>
  <c r="AK21" i="3"/>
  <c r="AJ21" i="3"/>
  <c r="AH21" i="3"/>
  <c r="AG21" i="3"/>
  <c r="AF21" i="3"/>
  <c r="AE21" i="3"/>
  <c r="AD21" i="3"/>
  <c r="AC21" i="3"/>
  <c r="AB21" i="3"/>
  <c r="X21" i="3"/>
  <c r="AA21" i="3" s="1"/>
  <c r="W21" i="3"/>
  <c r="U21" i="3"/>
  <c r="V21" i="3" s="1"/>
  <c r="T21" i="3"/>
  <c r="AI21" i="3" s="1"/>
  <c r="AO20" i="3"/>
  <c r="AP20" i="3" s="1"/>
  <c r="AL20" i="3"/>
  <c r="AK20" i="3"/>
  <c r="AJ20" i="3"/>
  <c r="AH20" i="3"/>
  <c r="AG20" i="3"/>
  <c r="AF20" i="3"/>
  <c r="AE20" i="3"/>
  <c r="AD20" i="3"/>
  <c r="AC20" i="3"/>
  <c r="AB20" i="3"/>
  <c r="X20" i="3"/>
  <c r="AA20" i="3" s="1"/>
  <c r="W20" i="3"/>
  <c r="U20" i="3"/>
  <c r="V20" i="3" s="1"/>
  <c r="T20" i="3"/>
  <c r="AI20" i="3" s="1"/>
  <c r="AO19" i="3"/>
  <c r="AP19" i="3" s="1"/>
  <c r="AL19" i="3"/>
  <c r="AK19" i="3"/>
  <c r="AJ19" i="3"/>
  <c r="AH19" i="3"/>
  <c r="AG19" i="3"/>
  <c r="AF19" i="3"/>
  <c r="AE19" i="3"/>
  <c r="AD19" i="3"/>
  <c r="AC19" i="3"/>
  <c r="AB19" i="3"/>
  <c r="X19" i="3"/>
  <c r="AA19" i="3" s="1"/>
  <c r="W19" i="3"/>
  <c r="U19" i="3"/>
  <c r="V19" i="3" s="1"/>
  <c r="T19" i="3"/>
  <c r="AI19" i="3" s="1"/>
  <c r="AO18" i="3"/>
  <c r="AP18" i="3" s="1"/>
  <c r="AL18" i="3"/>
  <c r="AK18" i="3"/>
  <c r="AJ18" i="3"/>
  <c r="AH18" i="3"/>
  <c r="AG18" i="3"/>
  <c r="AF18" i="3"/>
  <c r="AE18" i="3"/>
  <c r="AD18" i="3"/>
  <c r="AC18" i="3"/>
  <c r="AB18" i="3"/>
  <c r="X18" i="3"/>
  <c r="AA18" i="3" s="1"/>
  <c r="W18" i="3"/>
  <c r="U18" i="3"/>
  <c r="V18" i="3" s="1"/>
  <c r="T18" i="3"/>
  <c r="AI18" i="3" s="1"/>
  <c r="AO17" i="3"/>
  <c r="AP17" i="3" s="1"/>
  <c r="AL17" i="3"/>
  <c r="AK17" i="3"/>
  <c r="AJ17" i="3"/>
  <c r="AH17" i="3"/>
  <c r="AG17" i="3"/>
  <c r="AF17" i="3"/>
  <c r="AE17" i="3"/>
  <c r="AD17" i="3"/>
  <c r="AC17" i="3"/>
  <c r="AB17" i="3"/>
  <c r="X17" i="3"/>
  <c r="AA17" i="3" s="1"/>
  <c r="W17" i="3"/>
  <c r="U17" i="3"/>
  <c r="V17" i="3" s="1"/>
  <c r="T17" i="3"/>
  <c r="AI17" i="3" s="1"/>
  <c r="AO16" i="3"/>
  <c r="AP16" i="3" s="1"/>
  <c r="AL16" i="3"/>
  <c r="AK16" i="3"/>
  <c r="AJ16" i="3"/>
  <c r="AH16" i="3"/>
  <c r="AG16" i="3"/>
  <c r="AF16" i="3"/>
  <c r="AE16" i="3"/>
  <c r="AD16" i="3"/>
  <c r="AC16" i="3"/>
  <c r="AB16" i="3"/>
  <c r="X16" i="3"/>
  <c r="AA16" i="3" s="1"/>
  <c r="W16" i="3"/>
  <c r="U16" i="3"/>
  <c r="V16" i="3" s="1"/>
  <c r="T16" i="3"/>
  <c r="AI16" i="3" s="1"/>
  <c r="AO15" i="3"/>
  <c r="AP15" i="3" s="1"/>
  <c r="AL15" i="3"/>
  <c r="AK15" i="3"/>
  <c r="AJ15" i="3"/>
  <c r="AH15" i="3"/>
  <c r="AG15" i="3"/>
  <c r="AF15" i="3"/>
  <c r="AE15" i="3"/>
  <c r="AD15" i="3"/>
  <c r="AC15" i="3"/>
  <c r="AB15" i="3"/>
  <c r="X15" i="3"/>
  <c r="AA15" i="3" s="1"/>
  <c r="W15" i="3"/>
  <c r="U15" i="3"/>
  <c r="V15" i="3" s="1"/>
  <c r="T15" i="3"/>
  <c r="AI15" i="3" s="1"/>
  <c r="AO14" i="3"/>
  <c r="AP14" i="3" s="1"/>
  <c r="AL14" i="3"/>
  <c r="AK14" i="3"/>
  <c r="AJ14" i="3"/>
  <c r="AH14" i="3"/>
  <c r="AG14" i="3"/>
  <c r="AF14" i="3"/>
  <c r="AE14" i="3"/>
  <c r="AD14" i="3"/>
  <c r="AC14" i="3"/>
  <c r="AB14" i="3"/>
  <c r="X14" i="3"/>
  <c r="AA14" i="3" s="1"/>
  <c r="W14" i="3"/>
  <c r="U14" i="3"/>
  <c r="V14" i="3" s="1"/>
  <c r="T14" i="3"/>
  <c r="AI14" i="3" s="1"/>
  <c r="AO13" i="3"/>
  <c r="AP13" i="3" s="1"/>
  <c r="AH13" i="3"/>
  <c r="AB13" i="3"/>
  <c r="X13" i="3"/>
  <c r="AA13" i="3" s="1"/>
  <c r="W13" i="3"/>
  <c r="U13" i="3"/>
  <c r="V13" i="3" s="1"/>
  <c r="T13" i="3"/>
  <c r="AO12" i="3"/>
  <c r="AP12" i="3" s="1"/>
  <c r="AH12" i="3"/>
  <c r="AF12" i="3"/>
  <c r="AE12" i="3"/>
  <c r="AD12" i="3"/>
  <c r="AC12" i="3"/>
  <c r="AG12" i="3" s="1"/>
  <c r="AK12" i="3" s="1"/>
  <c r="AB12" i="3"/>
  <c r="X12" i="3"/>
  <c r="AA12" i="3" s="1"/>
  <c r="W12" i="3"/>
  <c r="U12" i="3"/>
  <c r="V12" i="3" s="1"/>
  <c r="T12" i="3"/>
  <c r="AO11" i="3"/>
  <c r="AP11" i="3" s="1"/>
  <c r="AH11" i="3"/>
  <c r="AF11" i="3"/>
  <c r="AE11" i="3"/>
  <c r="AD11" i="3"/>
  <c r="AC11" i="3"/>
  <c r="AG11" i="3" s="1"/>
  <c r="AB11" i="3"/>
  <c r="X11" i="3"/>
  <c r="AA11" i="3" s="1"/>
  <c r="W11" i="3"/>
  <c r="U11" i="3"/>
  <c r="V11" i="3" s="1"/>
  <c r="T11" i="3"/>
  <c r="AO10" i="3"/>
  <c r="AP10" i="3" s="1"/>
  <c r="AH10" i="3"/>
  <c r="AF10" i="3"/>
  <c r="AE10" i="3"/>
  <c r="AD10" i="3"/>
  <c r="AC10" i="3"/>
  <c r="AG10" i="3" s="1"/>
  <c r="AK10" i="3" s="1"/>
  <c r="AB10" i="3"/>
  <c r="X10" i="3"/>
  <c r="AA10" i="3" s="1"/>
  <c r="W10" i="3"/>
  <c r="U10" i="3"/>
  <c r="V10" i="3" s="1"/>
  <c r="T10" i="3"/>
  <c r="AO9" i="3"/>
  <c r="AH9" i="3"/>
  <c r="AF9" i="3"/>
  <c r="AE9" i="3"/>
  <c r="AD9" i="3"/>
  <c r="AC9" i="3"/>
  <c r="AG9" i="3" s="1"/>
  <c r="AB9" i="3"/>
  <c r="X9" i="3"/>
  <c r="AA9" i="3" s="1"/>
  <c r="W9" i="3"/>
  <c r="U9" i="3"/>
  <c r="V9" i="3" s="1"/>
  <c r="T9" i="3"/>
  <c r="AO8" i="3"/>
  <c r="AP8" i="3" s="1"/>
  <c r="AH8" i="3"/>
  <c r="AF8" i="3"/>
  <c r="AE8" i="3"/>
  <c r="AD8" i="3"/>
  <c r="AC8" i="3"/>
  <c r="AG8" i="3" s="1"/>
  <c r="AB8" i="3"/>
  <c r="X8" i="3"/>
  <c r="AA8" i="3" s="1"/>
  <c r="W8" i="3"/>
  <c r="U8" i="3"/>
  <c r="V8" i="3" s="1"/>
  <c r="T8" i="3"/>
  <c r="AO7" i="3"/>
  <c r="AP7" i="3" s="1"/>
  <c r="AH7" i="3"/>
  <c r="AF7" i="3"/>
  <c r="AE7" i="3"/>
  <c r="AD7" i="3"/>
  <c r="AC7" i="3"/>
  <c r="AG7" i="3" s="1"/>
  <c r="AK7" i="3" s="1"/>
  <c r="AB7" i="3"/>
  <c r="X7" i="3"/>
  <c r="AA7" i="3" s="1"/>
  <c r="W7" i="3"/>
  <c r="U7" i="3"/>
  <c r="V7" i="3" s="1"/>
  <c r="T7" i="3"/>
  <c r="AO6" i="3"/>
  <c r="AP6" i="3" s="1"/>
  <c r="AH6" i="3"/>
  <c r="AF6" i="3"/>
  <c r="AE6" i="3"/>
  <c r="AD6" i="3"/>
  <c r="AC6" i="3"/>
  <c r="AG6" i="3" s="1"/>
  <c r="AK6" i="3" s="1"/>
  <c r="AB6" i="3"/>
  <c r="X6" i="3"/>
  <c r="AA6" i="3" s="1"/>
  <c r="W6" i="3"/>
  <c r="U6" i="3"/>
  <c r="V6" i="3" s="1"/>
  <c r="T6" i="3"/>
  <c r="AH5" i="3"/>
  <c r="AF5" i="3"/>
  <c r="AE5" i="3"/>
  <c r="AD5" i="3"/>
  <c r="AC5" i="3"/>
  <c r="AG5" i="3" s="1"/>
  <c r="AB5" i="3"/>
  <c r="X5" i="3"/>
  <c r="AA5" i="3" s="1"/>
  <c r="W5" i="3"/>
  <c r="U5" i="3"/>
  <c r="V5" i="3" s="1"/>
  <c r="T5" i="3"/>
  <c r="U604" i="2"/>
  <c r="R604" i="2"/>
  <c r="S604" i="2" s="1"/>
  <c r="T604" i="2" s="1"/>
  <c r="A604" i="2"/>
  <c r="U603" i="2"/>
  <c r="R603" i="2"/>
  <c r="S603" i="2" s="1"/>
  <c r="T603" i="2" s="1"/>
  <c r="A603" i="2"/>
  <c r="U602" i="2"/>
  <c r="R602" i="2"/>
  <c r="S602" i="2" s="1"/>
  <c r="T602" i="2" s="1"/>
  <c r="A602" i="2"/>
  <c r="U601" i="2"/>
  <c r="R601" i="2"/>
  <c r="S601" i="2" s="1"/>
  <c r="T601" i="2" s="1"/>
  <c r="A601" i="2"/>
  <c r="U600" i="2"/>
  <c r="R600" i="2"/>
  <c r="S600" i="2" s="1"/>
  <c r="T600" i="2" s="1"/>
  <c r="A600" i="2"/>
  <c r="U599" i="2"/>
  <c r="R599" i="2"/>
  <c r="S599" i="2" s="1"/>
  <c r="T599" i="2" s="1"/>
  <c r="A599" i="2"/>
  <c r="U598" i="2"/>
  <c r="R598" i="2"/>
  <c r="S598" i="2" s="1"/>
  <c r="T598" i="2" s="1"/>
  <c r="A598" i="2"/>
  <c r="U597" i="2"/>
  <c r="R597" i="2"/>
  <c r="S597" i="2" s="1"/>
  <c r="T597" i="2" s="1"/>
  <c r="A597" i="2"/>
  <c r="U596" i="2"/>
  <c r="R596" i="2"/>
  <c r="S596" i="2" s="1"/>
  <c r="T596" i="2" s="1"/>
  <c r="A596" i="2"/>
  <c r="U595" i="2"/>
  <c r="R595" i="2"/>
  <c r="S595" i="2" s="1"/>
  <c r="T595" i="2" s="1"/>
  <c r="A595" i="2"/>
  <c r="U594" i="2"/>
  <c r="R594" i="2"/>
  <c r="S594" i="2" s="1"/>
  <c r="T594" i="2" s="1"/>
  <c r="A594" i="2"/>
  <c r="U593" i="2"/>
  <c r="R593" i="2"/>
  <c r="S593" i="2" s="1"/>
  <c r="T593" i="2" s="1"/>
  <c r="A593" i="2"/>
  <c r="U592" i="2"/>
  <c r="R592" i="2"/>
  <c r="S592" i="2" s="1"/>
  <c r="T592" i="2" s="1"/>
  <c r="A592" i="2"/>
  <c r="U591" i="2"/>
  <c r="R591" i="2"/>
  <c r="S591" i="2" s="1"/>
  <c r="T591" i="2" s="1"/>
  <c r="A591" i="2"/>
  <c r="U590" i="2"/>
  <c r="R590" i="2"/>
  <c r="S590" i="2" s="1"/>
  <c r="T590" i="2" s="1"/>
  <c r="A590" i="2"/>
  <c r="U589" i="2"/>
  <c r="R589" i="2"/>
  <c r="S589" i="2" s="1"/>
  <c r="T589" i="2" s="1"/>
  <c r="A589" i="2"/>
  <c r="U588" i="2"/>
  <c r="R588" i="2"/>
  <c r="S588" i="2" s="1"/>
  <c r="T588" i="2" s="1"/>
  <c r="A588" i="2"/>
  <c r="U587" i="2"/>
  <c r="R587" i="2"/>
  <c r="S587" i="2" s="1"/>
  <c r="T587" i="2" s="1"/>
  <c r="A587" i="2"/>
  <c r="U586" i="2"/>
  <c r="R586" i="2"/>
  <c r="S586" i="2" s="1"/>
  <c r="T586" i="2" s="1"/>
  <c r="A586" i="2"/>
  <c r="U585" i="2"/>
  <c r="R585" i="2"/>
  <c r="S585" i="2" s="1"/>
  <c r="T585" i="2" s="1"/>
  <c r="A585" i="2"/>
  <c r="U584" i="2"/>
  <c r="R584" i="2"/>
  <c r="S584" i="2" s="1"/>
  <c r="T584" i="2" s="1"/>
  <c r="A584" i="2"/>
  <c r="U583" i="2"/>
  <c r="R583" i="2"/>
  <c r="S583" i="2" s="1"/>
  <c r="T583" i="2" s="1"/>
  <c r="A583" i="2"/>
  <c r="U582" i="2"/>
  <c r="R582" i="2"/>
  <c r="S582" i="2" s="1"/>
  <c r="T582" i="2" s="1"/>
  <c r="A582" i="2"/>
  <c r="U581" i="2"/>
  <c r="R581" i="2"/>
  <c r="S581" i="2" s="1"/>
  <c r="T581" i="2" s="1"/>
  <c r="A581" i="2"/>
  <c r="U580" i="2"/>
  <c r="R580" i="2"/>
  <c r="S580" i="2" s="1"/>
  <c r="T580" i="2" s="1"/>
  <c r="A580" i="2"/>
  <c r="U579" i="2"/>
  <c r="R579" i="2"/>
  <c r="S579" i="2" s="1"/>
  <c r="T579" i="2" s="1"/>
  <c r="A579" i="2"/>
  <c r="U578" i="2"/>
  <c r="R578" i="2"/>
  <c r="S578" i="2" s="1"/>
  <c r="T578" i="2" s="1"/>
  <c r="A578" i="2"/>
  <c r="U577" i="2"/>
  <c r="R577" i="2"/>
  <c r="S577" i="2" s="1"/>
  <c r="T577" i="2" s="1"/>
  <c r="A577" i="2"/>
  <c r="U576" i="2"/>
  <c r="R576" i="2"/>
  <c r="S576" i="2" s="1"/>
  <c r="T576" i="2" s="1"/>
  <c r="A576" i="2"/>
  <c r="U575" i="2"/>
  <c r="R575" i="2"/>
  <c r="S575" i="2" s="1"/>
  <c r="T575" i="2" s="1"/>
  <c r="A575" i="2"/>
  <c r="U574" i="2"/>
  <c r="R574" i="2"/>
  <c r="S574" i="2" s="1"/>
  <c r="T574" i="2" s="1"/>
  <c r="A574" i="2"/>
  <c r="U573" i="2"/>
  <c r="R573" i="2"/>
  <c r="S573" i="2" s="1"/>
  <c r="T573" i="2" s="1"/>
  <c r="A573" i="2"/>
  <c r="U572" i="2"/>
  <c r="R572" i="2"/>
  <c r="S572" i="2" s="1"/>
  <c r="T572" i="2" s="1"/>
  <c r="A572" i="2"/>
  <c r="U571" i="2"/>
  <c r="R571" i="2"/>
  <c r="S571" i="2" s="1"/>
  <c r="T571" i="2" s="1"/>
  <c r="A571" i="2"/>
  <c r="U570" i="2"/>
  <c r="R570" i="2"/>
  <c r="S570" i="2" s="1"/>
  <c r="T570" i="2" s="1"/>
  <c r="A570" i="2"/>
  <c r="U569" i="2"/>
  <c r="R569" i="2"/>
  <c r="S569" i="2" s="1"/>
  <c r="T569" i="2" s="1"/>
  <c r="A569" i="2"/>
  <c r="U568" i="2"/>
  <c r="R568" i="2"/>
  <c r="S568" i="2" s="1"/>
  <c r="T568" i="2" s="1"/>
  <c r="A568" i="2"/>
  <c r="U567" i="2"/>
  <c r="R567" i="2"/>
  <c r="S567" i="2" s="1"/>
  <c r="T567" i="2" s="1"/>
  <c r="A567" i="2"/>
  <c r="U566" i="2"/>
  <c r="R566" i="2"/>
  <c r="S566" i="2" s="1"/>
  <c r="T566" i="2" s="1"/>
  <c r="A566" i="2"/>
  <c r="U565" i="2"/>
  <c r="R565" i="2"/>
  <c r="S565" i="2" s="1"/>
  <c r="T565" i="2" s="1"/>
  <c r="A565" i="2"/>
  <c r="U564" i="2"/>
  <c r="R564" i="2"/>
  <c r="S564" i="2" s="1"/>
  <c r="T564" i="2" s="1"/>
  <c r="A564" i="2"/>
  <c r="U563" i="2"/>
  <c r="R563" i="2"/>
  <c r="S563" i="2" s="1"/>
  <c r="T563" i="2" s="1"/>
  <c r="A563" i="2"/>
  <c r="U562" i="2"/>
  <c r="R562" i="2"/>
  <c r="S562" i="2" s="1"/>
  <c r="T562" i="2" s="1"/>
  <c r="A562" i="2"/>
  <c r="U561" i="2"/>
  <c r="R561" i="2"/>
  <c r="S561" i="2" s="1"/>
  <c r="T561" i="2" s="1"/>
  <c r="A561" i="2"/>
  <c r="U560" i="2"/>
  <c r="R560" i="2"/>
  <c r="S560" i="2" s="1"/>
  <c r="T560" i="2" s="1"/>
  <c r="A560" i="2"/>
  <c r="U559" i="2"/>
  <c r="S559" i="2"/>
  <c r="T559" i="2" s="1"/>
  <c r="R559" i="2"/>
  <c r="A559" i="2"/>
  <c r="U558" i="2"/>
  <c r="R558" i="2"/>
  <c r="S558" i="2" s="1"/>
  <c r="T558" i="2" s="1"/>
  <c r="A558" i="2"/>
  <c r="U557" i="2"/>
  <c r="R557" i="2"/>
  <c r="S557" i="2" s="1"/>
  <c r="T557" i="2" s="1"/>
  <c r="A557" i="2"/>
  <c r="U556" i="2"/>
  <c r="R556" i="2"/>
  <c r="S556" i="2" s="1"/>
  <c r="T556" i="2" s="1"/>
  <c r="A556" i="2"/>
  <c r="U555" i="2"/>
  <c r="R555" i="2"/>
  <c r="S555" i="2" s="1"/>
  <c r="T555" i="2" s="1"/>
  <c r="A555" i="2"/>
  <c r="U554" i="2"/>
  <c r="R554" i="2"/>
  <c r="S554" i="2" s="1"/>
  <c r="T554" i="2" s="1"/>
  <c r="A554" i="2"/>
  <c r="U553" i="2"/>
  <c r="R553" i="2"/>
  <c r="S553" i="2" s="1"/>
  <c r="T553" i="2" s="1"/>
  <c r="A553" i="2"/>
  <c r="U552" i="2"/>
  <c r="R552" i="2"/>
  <c r="S552" i="2" s="1"/>
  <c r="T552" i="2" s="1"/>
  <c r="A552" i="2"/>
  <c r="U551" i="2"/>
  <c r="R551" i="2"/>
  <c r="S551" i="2" s="1"/>
  <c r="T551" i="2" s="1"/>
  <c r="A551" i="2"/>
  <c r="U550" i="2"/>
  <c r="R550" i="2"/>
  <c r="S550" i="2" s="1"/>
  <c r="T550" i="2" s="1"/>
  <c r="A550" i="2"/>
  <c r="U549" i="2"/>
  <c r="S549" i="2"/>
  <c r="T549" i="2" s="1"/>
  <c r="R549" i="2"/>
  <c r="A549" i="2"/>
  <c r="U548" i="2"/>
  <c r="R548" i="2"/>
  <c r="S548" i="2" s="1"/>
  <c r="T548" i="2" s="1"/>
  <c r="A548" i="2"/>
  <c r="U547" i="2"/>
  <c r="R547" i="2"/>
  <c r="S547" i="2" s="1"/>
  <c r="T547" i="2" s="1"/>
  <c r="A547" i="2"/>
  <c r="U546" i="2"/>
  <c r="R546" i="2"/>
  <c r="S546" i="2" s="1"/>
  <c r="T546" i="2" s="1"/>
  <c r="A546" i="2"/>
  <c r="U545" i="2"/>
  <c r="R545" i="2"/>
  <c r="S545" i="2" s="1"/>
  <c r="T545" i="2" s="1"/>
  <c r="A545" i="2"/>
  <c r="U544" i="2"/>
  <c r="R544" i="2"/>
  <c r="S544" i="2" s="1"/>
  <c r="T544" i="2" s="1"/>
  <c r="A544" i="2"/>
  <c r="U543" i="2"/>
  <c r="R543" i="2"/>
  <c r="S543" i="2" s="1"/>
  <c r="T543" i="2" s="1"/>
  <c r="A543" i="2"/>
  <c r="U542" i="2"/>
  <c r="R542" i="2"/>
  <c r="S542" i="2" s="1"/>
  <c r="T542" i="2" s="1"/>
  <c r="A542" i="2"/>
  <c r="U541" i="2"/>
  <c r="R541" i="2"/>
  <c r="S541" i="2" s="1"/>
  <c r="T541" i="2" s="1"/>
  <c r="A541" i="2"/>
  <c r="U540" i="2"/>
  <c r="R540" i="2"/>
  <c r="S540" i="2" s="1"/>
  <c r="T540" i="2" s="1"/>
  <c r="A540" i="2"/>
  <c r="U539" i="2"/>
  <c r="R539" i="2"/>
  <c r="S539" i="2" s="1"/>
  <c r="T539" i="2" s="1"/>
  <c r="A539" i="2"/>
  <c r="U538" i="2"/>
  <c r="R538" i="2"/>
  <c r="S538" i="2" s="1"/>
  <c r="T538" i="2" s="1"/>
  <c r="A538" i="2"/>
  <c r="U537" i="2"/>
  <c r="R537" i="2"/>
  <c r="S537" i="2" s="1"/>
  <c r="T537" i="2" s="1"/>
  <c r="A537" i="2"/>
  <c r="U536" i="2"/>
  <c r="R536" i="2"/>
  <c r="S536" i="2" s="1"/>
  <c r="T536" i="2" s="1"/>
  <c r="A536" i="2"/>
  <c r="U535" i="2"/>
  <c r="R535" i="2"/>
  <c r="S535" i="2" s="1"/>
  <c r="T535" i="2" s="1"/>
  <c r="A535" i="2"/>
  <c r="U534" i="2"/>
  <c r="R534" i="2"/>
  <c r="S534" i="2" s="1"/>
  <c r="T534" i="2" s="1"/>
  <c r="A534" i="2"/>
  <c r="U533" i="2"/>
  <c r="R533" i="2"/>
  <c r="S533" i="2" s="1"/>
  <c r="T533" i="2" s="1"/>
  <c r="A533" i="2"/>
  <c r="U532" i="2"/>
  <c r="R532" i="2"/>
  <c r="S532" i="2" s="1"/>
  <c r="T532" i="2" s="1"/>
  <c r="A532" i="2"/>
  <c r="U531" i="2"/>
  <c r="R531" i="2"/>
  <c r="S531" i="2" s="1"/>
  <c r="T531" i="2" s="1"/>
  <c r="A531" i="2"/>
  <c r="U530" i="2"/>
  <c r="R530" i="2"/>
  <c r="S530" i="2" s="1"/>
  <c r="T530" i="2" s="1"/>
  <c r="A530" i="2"/>
  <c r="U529" i="2"/>
  <c r="R529" i="2"/>
  <c r="S529" i="2" s="1"/>
  <c r="T529" i="2" s="1"/>
  <c r="A529" i="2"/>
  <c r="U528" i="2"/>
  <c r="R528" i="2"/>
  <c r="S528" i="2" s="1"/>
  <c r="T528" i="2" s="1"/>
  <c r="A528" i="2"/>
  <c r="U527" i="2"/>
  <c r="R527" i="2"/>
  <c r="S527" i="2" s="1"/>
  <c r="T527" i="2" s="1"/>
  <c r="A527" i="2"/>
  <c r="U526" i="2"/>
  <c r="R526" i="2"/>
  <c r="S526" i="2" s="1"/>
  <c r="T526" i="2" s="1"/>
  <c r="A526" i="2"/>
  <c r="U525" i="2"/>
  <c r="R525" i="2"/>
  <c r="S525" i="2" s="1"/>
  <c r="T525" i="2" s="1"/>
  <c r="A525" i="2"/>
  <c r="U524" i="2"/>
  <c r="R524" i="2"/>
  <c r="S524" i="2" s="1"/>
  <c r="T524" i="2" s="1"/>
  <c r="A524" i="2"/>
  <c r="U523" i="2"/>
  <c r="R523" i="2"/>
  <c r="S523" i="2" s="1"/>
  <c r="T523" i="2" s="1"/>
  <c r="A523" i="2"/>
  <c r="U522" i="2"/>
  <c r="R522" i="2"/>
  <c r="S522" i="2" s="1"/>
  <c r="T522" i="2" s="1"/>
  <c r="A522" i="2"/>
  <c r="U521" i="2"/>
  <c r="R521" i="2"/>
  <c r="S521" i="2" s="1"/>
  <c r="T521" i="2" s="1"/>
  <c r="A521" i="2"/>
  <c r="U520" i="2"/>
  <c r="R520" i="2"/>
  <c r="S520" i="2" s="1"/>
  <c r="T520" i="2" s="1"/>
  <c r="A520" i="2"/>
  <c r="U519" i="2"/>
  <c r="R519" i="2"/>
  <c r="S519" i="2" s="1"/>
  <c r="T519" i="2" s="1"/>
  <c r="A519" i="2"/>
  <c r="U518" i="2"/>
  <c r="R518" i="2"/>
  <c r="S518" i="2" s="1"/>
  <c r="T518" i="2" s="1"/>
  <c r="A518" i="2"/>
  <c r="U517" i="2"/>
  <c r="R517" i="2"/>
  <c r="S517" i="2" s="1"/>
  <c r="T517" i="2" s="1"/>
  <c r="A517" i="2"/>
  <c r="U516" i="2"/>
  <c r="R516" i="2"/>
  <c r="S516" i="2" s="1"/>
  <c r="T516" i="2" s="1"/>
  <c r="A516" i="2"/>
  <c r="U515" i="2"/>
  <c r="R515" i="2"/>
  <c r="S515" i="2" s="1"/>
  <c r="T515" i="2" s="1"/>
  <c r="A515" i="2"/>
  <c r="U514" i="2"/>
  <c r="R514" i="2"/>
  <c r="S514" i="2" s="1"/>
  <c r="T514" i="2" s="1"/>
  <c r="A514" i="2"/>
  <c r="U513" i="2"/>
  <c r="R513" i="2"/>
  <c r="S513" i="2" s="1"/>
  <c r="T513" i="2" s="1"/>
  <c r="A513" i="2"/>
  <c r="U512" i="2"/>
  <c r="R512" i="2"/>
  <c r="S512" i="2" s="1"/>
  <c r="T512" i="2" s="1"/>
  <c r="A512" i="2"/>
  <c r="U511" i="2"/>
  <c r="R511" i="2"/>
  <c r="S511" i="2" s="1"/>
  <c r="T511" i="2" s="1"/>
  <c r="A511" i="2"/>
  <c r="U510" i="2"/>
  <c r="R510" i="2"/>
  <c r="S510" i="2" s="1"/>
  <c r="T510" i="2" s="1"/>
  <c r="A510" i="2"/>
  <c r="U509" i="2"/>
  <c r="R509" i="2"/>
  <c r="S509" i="2" s="1"/>
  <c r="T509" i="2" s="1"/>
  <c r="A509" i="2"/>
  <c r="U508" i="2"/>
  <c r="R508" i="2"/>
  <c r="S508" i="2" s="1"/>
  <c r="T508" i="2" s="1"/>
  <c r="A508" i="2"/>
  <c r="U507" i="2"/>
  <c r="R507" i="2"/>
  <c r="S507" i="2" s="1"/>
  <c r="T507" i="2" s="1"/>
  <c r="A507" i="2"/>
  <c r="U506" i="2"/>
  <c r="R506" i="2"/>
  <c r="S506" i="2" s="1"/>
  <c r="T506" i="2" s="1"/>
  <c r="A506" i="2"/>
  <c r="U505" i="2"/>
  <c r="R505" i="2"/>
  <c r="S505" i="2" s="1"/>
  <c r="T505" i="2" s="1"/>
  <c r="A505" i="2"/>
  <c r="U504" i="2"/>
  <c r="R504" i="2"/>
  <c r="S504" i="2" s="1"/>
  <c r="T504" i="2" s="1"/>
  <c r="A504" i="2"/>
  <c r="U503" i="2"/>
  <c r="R503" i="2"/>
  <c r="S503" i="2" s="1"/>
  <c r="T503" i="2" s="1"/>
  <c r="A503" i="2"/>
  <c r="U502" i="2"/>
  <c r="R502" i="2"/>
  <c r="S502" i="2" s="1"/>
  <c r="T502" i="2" s="1"/>
  <c r="A502" i="2"/>
  <c r="U501" i="2"/>
  <c r="R501" i="2"/>
  <c r="S501" i="2" s="1"/>
  <c r="T501" i="2" s="1"/>
  <c r="A501" i="2"/>
  <c r="U500" i="2"/>
  <c r="R500" i="2"/>
  <c r="S500" i="2" s="1"/>
  <c r="T500" i="2" s="1"/>
  <c r="A500" i="2"/>
  <c r="U499" i="2"/>
  <c r="R499" i="2"/>
  <c r="S499" i="2" s="1"/>
  <c r="T499" i="2" s="1"/>
  <c r="A499" i="2"/>
  <c r="U498" i="2"/>
  <c r="R498" i="2"/>
  <c r="S498" i="2" s="1"/>
  <c r="T498" i="2" s="1"/>
  <c r="A498" i="2"/>
  <c r="U497" i="2"/>
  <c r="R497" i="2"/>
  <c r="S497" i="2" s="1"/>
  <c r="T497" i="2" s="1"/>
  <c r="A497" i="2"/>
  <c r="U496" i="2"/>
  <c r="R496" i="2"/>
  <c r="S496" i="2" s="1"/>
  <c r="T496" i="2" s="1"/>
  <c r="A496" i="2"/>
  <c r="U495" i="2"/>
  <c r="R495" i="2"/>
  <c r="S495" i="2" s="1"/>
  <c r="T495" i="2" s="1"/>
  <c r="A495" i="2"/>
  <c r="U494" i="2"/>
  <c r="R494" i="2"/>
  <c r="S494" i="2" s="1"/>
  <c r="T494" i="2" s="1"/>
  <c r="A494" i="2"/>
  <c r="U493" i="2"/>
  <c r="R493" i="2"/>
  <c r="S493" i="2" s="1"/>
  <c r="T493" i="2" s="1"/>
  <c r="A493" i="2"/>
  <c r="U492" i="2"/>
  <c r="R492" i="2"/>
  <c r="S492" i="2" s="1"/>
  <c r="T492" i="2" s="1"/>
  <c r="A492" i="2"/>
  <c r="U491" i="2"/>
  <c r="R491" i="2"/>
  <c r="S491" i="2" s="1"/>
  <c r="T491" i="2" s="1"/>
  <c r="A491" i="2"/>
  <c r="U490" i="2"/>
  <c r="R490" i="2"/>
  <c r="S490" i="2" s="1"/>
  <c r="T490" i="2" s="1"/>
  <c r="A490" i="2"/>
  <c r="U489" i="2"/>
  <c r="R489" i="2"/>
  <c r="S489" i="2" s="1"/>
  <c r="T489" i="2" s="1"/>
  <c r="A489" i="2"/>
  <c r="U488" i="2"/>
  <c r="R488" i="2"/>
  <c r="S488" i="2" s="1"/>
  <c r="T488" i="2" s="1"/>
  <c r="A488" i="2"/>
  <c r="U487" i="2"/>
  <c r="R487" i="2"/>
  <c r="S487" i="2" s="1"/>
  <c r="T487" i="2" s="1"/>
  <c r="A487" i="2"/>
  <c r="U486" i="2"/>
  <c r="R486" i="2"/>
  <c r="S486" i="2" s="1"/>
  <c r="T486" i="2" s="1"/>
  <c r="A486" i="2"/>
  <c r="U485" i="2"/>
  <c r="R485" i="2"/>
  <c r="S485" i="2" s="1"/>
  <c r="T485" i="2" s="1"/>
  <c r="A485" i="2"/>
  <c r="U484" i="2"/>
  <c r="R484" i="2"/>
  <c r="S484" i="2" s="1"/>
  <c r="T484" i="2" s="1"/>
  <c r="A484" i="2"/>
  <c r="U483" i="2"/>
  <c r="R483" i="2"/>
  <c r="S483" i="2" s="1"/>
  <c r="T483" i="2" s="1"/>
  <c r="A483" i="2"/>
  <c r="U482" i="2"/>
  <c r="R482" i="2"/>
  <c r="S482" i="2" s="1"/>
  <c r="T482" i="2" s="1"/>
  <c r="A482" i="2"/>
  <c r="U481" i="2"/>
  <c r="R481" i="2"/>
  <c r="S481" i="2" s="1"/>
  <c r="T481" i="2" s="1"/>
  <c r="A481" i="2"/>
  <c r="U480" i="2"/>
  <c r="R480" i="2"/>
  <c r="S480" i="2" s="1"/>
  <c r="T480" i="2" s="1"/>
  <c r="A480" i="2"/>
  <c r="U479" i="2"/>
  <c r="R479" i="2"/>
  <c r="S479" i="2" s="1"/>
  <c r="T479" i="2" s="1"/>
  <c r="A479" i="2"/>
  <c r="U478" i="2"/>
  <c r="R478" i="2"/>
  <c r="S478" i="2" s="1"/>
  <c r="T478" i="2" s="1"/>
  <c r="A478" i="2"/>
  <c r="U477" i="2"/>
  <c r="R477" i="2"/>
  <c r="S477" i="2" s="1"/>
  <c r="T477" i="2" s="1"/>
  <c r="A477" i="2"/>
  <c r="U476" i="2"/>
  <c r="R476" i="2"/>
  <c r="S476" i="2" s="1"/>
  <c r="T476" i="2" s="1"/>
  <c r="A476" i="2"/>
  <c r="U475" i="2"/>
  <c r="R475" i="2"/>
  <c r="S475" i="2" s="1"/>
  <c r="T475" i="2" s="1"/>
  <c r="A475" i="2"/>
  <c r="U474" i="2"/>
  <c r="R474" i="2"/>
  <c r="S474" i="2" s="1"/>
  <c r="T474" i="2" s="1"/>
  <c r="A474" i="2"/>
  <c r="U473" i="2"/>
  <c r="R473" i="2"/>
  <c r="S473" i="2" s="1"/>
  <c r="T473" i="2" s="1"/>
  <c r="A473" i="2"/>
  <c r="U472" i="2"/>
  <c r="R472" i="2"/>
  <c r="S472" i="2" s="1"/>
  <c r="T472" i="2" s="1"/>
  <c r="A472" i="2"/>
  <c r="U471" i="2"/>
  <c r="R471" i="2"/>
  <c r="S471" i="2" s="1"/>
  <c r="T471" i="2" s="1"/>
  <c r="A471" i="2"/>
  <c r="U470" i="2"/>
  <c r="R470" i="2"/>
  <c r="S470" i="2" s="1"/>
  <c r="T470" i="2" s="1"/>
  <c r="A470" i="2"/>
  <c r="U469" i="2"/>
  <c r="R469" i="2"/>
  <c r="S469" i="2" s="1"/>
  <c r="T469" i="2" s="1"/>
  <c r="A469" i="2"/>
  <c r="U468" i="2"/>
  <c r="R468" i="2"/>
  <c r="S468" i="2" s="1"/>
  <c r="T468" i="2" s="1"/>
  <c r="A468" i="2"/>
  <c r="U467" i="2"/>
  <c r="R467" i="2"/>
  <c r="S467" i="2" s="1"/>
  <c r="T467" i="2" s="1"/>
  <c r="A467" i="2"/>
  <c r="U466" i="2"/>
  <c r="R466" i="2"/>
  <c r="S466" i="2" s="1"/>
  <c r="T466" i="2" s="1"/>
  <c r="A466" i="2"/>
  <c r="U465" i="2"/>
  <c r="S465" i="2"/>
  <c r="T465" i="2" s="1"/>
  <c r="R465" i="2"/>
  <c r="A465" i="2"/>
  <c r="U464" i="2"/>
  <c r="R464" i="2"/>
  <c r="S464" i="2" s="1"/>
  <c r="T464" i="2" s="1"/>
  <c r="A464" i="2"/>
  <c r="U463" i="2"/>
  <c r="R463" i="2"/>
  <c r="S463" i="2" s="1"/>
  <c r="T463" i="2" s="1"/>
  <c r="A463" i="2"/>
  <c r="U462" i="2"/>
  <c r="R462" i="2"/>
  <c r="S462" i="2" s="1"/>
  <c r="T462" i="2" s="1"/>
  <c r="A462" i="2"/>
  <c r="U461" i="2"/>
  <c r="R461" i="2"/>
  <c r="S461" i="2" s="1"/>
  <c r="T461" i="2" s="1"/>
  <c r="A461" i="2"/>
  <c r="U460" i="2"/>
  <c r="R460" i="2"/>
  <c r="S460" i="2" s="1"/>
  <c r="T460" i="2" s="1"/>
  <c r="A460" i="2"/>
  <c r="U459" i="2"/>
  <c r="R459" i="2"/>
  <c r="S459" i="2" s="1"/>
  <c r="T459" i="2" s="1"/>
  <c r="A459" i="2"/>
  <c r="U458" i="2"/>
  <c r="R458" i="2"/>
  <c r="S458" i="2" s="1"/>
  <c r="T458" i="2" s="1"/>
  <c r="A458" i="2"/>
  <c r="U457" i="2"/>
  <c r="R457" i="2"/>
  <c r="S457" i="2" s="1"/>
  <c r="T457" i="2" s="1"/>
  <c r="A457" i="2"/>
  <c r="U456" i="2"/>
  <c r="R456" i="2"/>
  <c r="S456" i="2" s="1"/>
  <c r="T456" i="2" s="1"/>
  <c r="A456" i="2"/>
  <c r="U455" i="2"/>
  <c r="R455" i="2"/>
  <c r="S455" i="2" s="1"/>
  <c r="T455" i="2" s="1"/>
  <c r="A455" i="2"/>
  <c r="U454" i="2"/>
  <c r="R454" i="2"/>
  <c r="S454" i="2" s="1"/>
  <c r="T454" i="2" s="1"/>
  <c r="A454" i="2"/>
  <c r="U453" i="2"/>
  <c r="R453" i="2"/>
  <c r="S453" i="2" s="1"/>
  <c r="T453" i="2" s="1"/>
  <c r="A453" i="2"/>
  <c r="U452" i="2"/>
  <c r="R452" i="2"/>
  <c r="S452" i="2" s="1"/>
  <c r="T452" i="2" s="1"/>
  <c r="A452" i="2"/>
  <c r="U451" i="2"/>
  <c r="R451" i="2"/>
  <c r="S451" i="2" s="1"/>
  <c r="T451" i="2" s="1"/>
  <c r="A451" i="2"/>
  <c r="U450" i="2"/>
  <c r="R450" i="2"/>
  <c r="S450" i="2" s="1"/>
  <c r="T450" i="2" s="1"/>
  <c r="A450" i="2"/>
  <c r="U449" i="2"/>
  <c r="R449" i="2"/>
  <c r="S449" i="2" s="1"/>
  <c r="T449" i="2" s="1"/>
  <c r="A449" i="2"/>
  <c r="U448" i="2"/>
  <c r="R448" i="2"/>
  <c r="S448" i="2" s="1"/>
  <c r="T448" i="2" s="1"/>
  <c r="A448" i="2"/>
  <c r="U447" i="2"/>
  <c r="R447" i="2"/>
  <c r="S447" i="2" s="1"/>
  <c r="T447" i="2" s="1"/>
  <c r="A447" i="2"/>
  <c r="U446" i="2"/>
  <c r="R446" i="2"/>
  <c r="S446" i="2" s="1"/>
  <c r="T446" i="2" s="1"/>
  <c r="A446" i="2"/>
  <c r="U445" i="2"/>
  <c r="R445" i="2"/>
  <c r="S445" i="2" s="1"/>
  <c r="T445" i="2" s="1"/>
  <c r="A445" i="2"/>
  <c r="U444" i="2"/>
  <c r="R444" i="2"/>
  <c r="S444" i="2" s="1"/>
  <c r="T444" i="2" s="1"/>
  <c r="A444" i="2"/>
  <c r="U443" i="2"/>
  <c r="R443" i="2"/>
  <c r="S443" i="2" s="1"/>
  <c r="T443" i="2" s="1"/>
  <c r="A443" i="2"/>
  <c r="U442" i="2"/>
  <c r="R442" i="2"/>
  <c r="S442" i="2" s="1"/>
  <c r="T442" i="2" s="1"/>
  <c r="A442" i="2"/>
  <c r="U441" i="2"/>
  <c r="R441" i="2"/>
  <c r="S441" i="2" s="1"/>
  <c r="T441" i="2" s="1"/>
  <c r="A441" i="2"/>
  <c r="U440" i="2"/>
  <c r="R440" i="2"/>
  <c r="S440" i="2" s="1"/>
  <c r="T440" i="2" s="1"/>
  <c r="A440" i="2"/>
  <c r="U439" i="2"/>
  <c r="R439" i="2"/>
  <c r="S439" i="2" s="1"/>
  <c r="T439" i="2" s="1"/>
  <c r="A439" i="2"/>
  <c r="U438" i="2"/>
  <c r="R438" i="2"/>
  <c r="S438" i="2" s="1"/>
  <c r="T438" i="2" s="1"/>
  <c r="A438" i="2"/>
  <c r="U437" i="2"/>
  <c r="R437" i="2"/>
  <c r="S437" i="2" s="1"/>
  <c r="T437" i="2" s="1"/>
  <c r="A437" i="2"/>
  <c r="U436" i="2"/>
  <c r="R436" i="2"/>
  <c r="S436" i="2" s="1"/>
  <c r="T436" i="2" s="1"/>
  <c r="A436" i="2"/>
  <c r="U435" i="2"/>
  <c r="R435" i="2"/>
  <c r="S435" i="2" s="1"/>
  <c r="T435" i="2" s="1"/>
  <c r="A435" i="2"/>
  <c r="U434" i="2"/>
  <c r="R434" i="2"/>
  <c r="S434" i="2" s="1"/>
  <c r="T434" i="2" s="1"/>
  <c r="A434" i="2"/>
  <c r="U433" i="2"/>
  <c r="R433" i="2"/>
  <c r="S433" i="2" s="1"/>
  <c r="T433" i="2" s="1"/>
  <c r="A433" i="2"/>
  <c r="U432" i="2"/>
  <c r="R432" i="2"/>
  <c r="S432" i="2" s="1"/>
  <c r="T432" i="2" s="1"/>
  <c r="A432" i="2"/>
  <c r="U431" i="2"/>
  <c r="R431" i="2"/>
  <c r="S431" i="2" s="1"/>
  <c r="T431" i="2" s="1"/>
  <c r="A431" i="2"/>
  <c r="U430" i="2"/>
  <c r="R430" i="2"/>
  <c r="S430" i="2" s="1"/>
  <c r="T430" i="2" s="1"/>
  <c r="A430" i="2"/>
  <c r="U429" i="2"/>
  <c r="R429" i="2"/>
  <c r="S429" i="2" s="1"/>
  <c r="T429" i="2" s="1"/>
  <c r="A429" i="2"/>
  <c r="U428" i="2"/>
  <c r="R428" i="2"/>
  <c r="S428" i="2" s="1"/>
  <c r="T428" i="2" s="1"/>
  <c r="A428" i="2"/>
  <c r="U427" i="2"/>
  <c r="R427" i="2"/>
  <c r="S427" i="2" s="1"/>
  <c r="T427" i="2" s="1"/>
  <c r="A427" i="2"/>
  <c r="U426" i="2"/>
  <c r="R426" i="2"/>
  <c r="S426" i="2" s="1"/>
  <c r="T426" i="2" s="1"/>
  <c r="A426" i="2"/>
  <c r="U425" i="2"/>
  <c r="R425" i="2"/>
  <c r="S425" i="2" s="1"/>
  <c r="T425" i="2" s="1"/>
  <c r="A425" i="2"/>
  <c r="U424" i="2"/>
  <c r="R424" i="2"/>
  <c r="S424" i="2" s="1"/>
  <c r="T424" i="2" s="1"/>
  <c r="A424" i="2"/>
  <c r="U423" i="2"/>
  <c r="R423" i="2"/>
  <c r="S423" i="2" s="1"/>
  <c r="T423" i="2" s="1"/>
  <c r="A423" i="2"/>
  <c r="U422" i="2"/>
  <c r="R422" i="2"/>
  <c r="S422" i="2" s="1"/>
  <c r="T422" i="2" s="1"/>
  <c r="A422" i="2"/>
  <c r="U421" i="2"/>
  <c r="R421" i="2"/>
  <c r="S421" i="2" s="1"/>
  <c r="T421" i="2" s="1"/>
  <c r="A421" i="2"/>
  <c r="U420" i="2"/>
  <c r="R420" i="2"/>
  <c r="S420" i="2" s="1"/>
  <c r="T420" i="2" s="1"/>
  <c r="A420" i="2"/>
  <c r="U419" i="2"/>
  <c r="R419" i="2"/>
  <c r="S419" i="2" s="1"/>
  <c r="T419" i="2" s="1"/>
  <c r="A419" i="2"/>
  <c r="U418" i="2"/>
  <c r="R418" i="2"/>
  <c r="S418" i="2" s="1"/>
  <c r="T418" i="2" s="1"/>
  <c r="A418" i="2"/>
  <c r="U417" i="2"/>
  <c r="R417" i="2"/>
  <c r="S417" i="2" s="1"/>
  <c r="T417" i="2" s="1"/>
  <c r="A417" i="2"/>
  <c r="U416" i="2"/>
  <c r="R416" i="2"/>
  <c r="S416" i="2" s="1"/>
  <c r="T416" i="2" s="1"/>
  <c r="A416" i="2"/>
  <c r="U415" i="2"/>
  <c r="R415" i="2"/>
  <c r="S415" i="2" s="1"/>
  <c r="T415" i="2" s="1"/>
  <c r="A415" i="2"/>
  <c r="U414" i="2"/>
  <c r="R414" i="2"/>
  <c r="S414" i="2" s="1"/>
  <c r="T414" i="2" s="1"/>
  <c r="A414" i="2"/>
  <c r="U413" i="2"/>
  <c r="S413" i="2"/>
  <c r="T413" i="2" s="1"/>
  <c r="R413" i="2"/>
  <c r="A413" i="2"/>
  <c r="U412" i="2"/>
  <c r="R412" i="2"/>
  <c r="S412" i="2" s="1"/>
  <c r="T412" i="2" s="1"/>
  <c r="A412" i="2"/>
  <c r="U411" i="2"/>
  <c r="R411" i="2"/>
  <c r="S411" i="2" s="1"/>
  <c r="T411" i="2" s="1"/>
  <c r="A411" i="2"/>
  <c r="U410" i="2"/>
  <c r="R410" i="2"/>
  <c r="S410" i="2" s="1"/>
  <c r="T410" i="2" s="1"/>
  <c r="A410" i="2"/>
  <c r="U409" i="2"/>
  <c r="R409" i="2"/>
  <c r="S409" i="2" s="1"/>
  <c r="T409" i="2" s="1"/>
  <c r="A409" i="2"/>
  <c r="U408" i="2"/>
  <c r="R408" i="2"/>
  <c r="S408" i="2" s="1"/>
  <c r="T408" i="2" s="1"/>
  <c r="A408" i="2"/>
  <c r="U407" i="2"/>
  <c r="R407" i="2"/>
  <c r="S407" i="2" s="1"/>
  <c r="T407" i="2" s="1"/>
  <c r="A407" i="2"/>
  <c r="U406" i="2"/>
  <c r="R406" i="2"/>
  <c r="S406" i="2" s="1"/>
  <c r="T406" i="2" s="1"/>
  <c r="A406" i="2"/>
  <c r="U405" i="2"/>
  <c r="R405" i="2"/>
  <c r="S405" i="2" s="1"/>
  <c r="T405" i="2" s="1"/>
  <c r="A405" i="2"/>
  <c r="U404" i="2"/>
  <c r="R404" i="2"/>
  <c r="S404" i="2" s="1"/>
  <c r="T404" i="2" s="1"/>
  <c r="A404" i="2"/>
  <c r="U403" i="2"/>
  <c r="R403" i="2"/>
  <c r="S403" i="2" s="1"/>
  <c r="T403" i="2" s="1"/>
  <c r="A403" i="2"/>
  <c r="U402" i="2"/>
  <c r="R402" i="2"/>
  <c r="S402" i="2" s="1"/>
  <c r="T402" i="2" s="1"/>
  <c r="A402" i="2"/>
  <c r="U401" i="2"/>
  <c r="R401" i="2"/>
  <c r="S401" i="2" s="1"/>
  <c r="T401" i="2" s="1"/>
  <c r="A401" i="2"/>
  <c r="U400" i="2"/>
  <c r="R400" i="2"/>
  <c r="S400" i="2" s="1"/>
  <c r="T400" i="2" s="1"/>
  <c r="A400" i="2"/>
  <c r="U399" i="2"/>
  <c r="R399" i="2"/>
  <c r="S399" i="2" s="1"/>
  <c r="T399" i="2" s="1"/>
  <c r="A399" i="2"/>
  <c r="U398" i="2"/>
  <c r="R398" i="2"/>
  <c r="S398" i="2" s="1"/>
  <c r="T398" i="2" s="1"/>
  <c r="A398" i="2"/>
  <c r="U397" i="2"/>
  <c r="R397" i="2"/>
  <c r="S397" i="2" s="1"/>
  <c r="T397" i="2" s="1"/>
  <c r="A397" i="2"/>
  <c r="U396" i="2"/>
  <c r="R396" i="2"/>
  <c r="S396" i="2" s="1"/>
  <c r="T396" i="2" s="1"/>
  <c r="A396" i="2"/>
  <c r="U395" i="2"/>
  <c r="R395" i="2"/>
  <c r="S395" i="2" s="1"/>
  <c r="T395" i="2" s="1"/>
  <c r="A395" i="2"/>
  <c r="U394" i="2"/>
  <c r="R394" i="2"/>
  <c r="S394" i="2" s="1"/>
  <c r="T394" i="2" s="1"/>
  <c r="A394" i="2"/>
  <c r="U393" i="2"/>
  <c r="R393" i="2"/>
  <c r="S393" i="2" s="1"/>
  <c r="T393" i="2" s="1"/>
  <c r="A393" i="2"/>
  <c r="U392" i="2"/>
  <c r="R392" i="2"/>
  <c r="S392" i="2" s="1"/>
  <c r="T392" i="2" s="1"/>
  <c r="A392" i="2"/>
  <c r="U391" i="2"/>
  <c r="R391" i="2"/>
  <c r="S391" i="2" s="1"/>
  <c r="T391" i="2" s="1"/>
  <c r="A391" i="2"/>
  <c r="U390" i="2"/>
  <c r="R390" i="2"/>
  <c r="S390" i="2" s="1"/>
  <c r="T390" i="2" s="1"/>
  <c r="A390" i="2"/>
  <c r="U389" i="2"/>
  <c r="R389" i="2"/>
  <c r="S389" i="2" s="1"/>
  <c r="T389" i="2" s="1"/>
  <c r="A389" i="2"/>
  <c r="U388" i="2"/>
  <c r="R388" i="2"/>
  <c r="S388" i="2" s="1"/>
  <c r="T388" i="2" s="1"/>
  <c r="A388" i="2"/>
  <c r="U387" i="2"/>
  <c r="R387" i="2"/>
  <c r="S387" i="2" s="1"/>
  <c r="T387" i="2" s="1"/>
  <c r="A387" i="2"/>
  <c r="U386" i="2"/>
  <c r="R386" i="2"/>
  <c r="S386" i="2" s="1"/>
  <c r="T386" i="2" s="1"/>
  <c r="A386" i="2"/>
  <c r="U385" i="2"/>
  <c r="R385" i="2"/>
  <c r="S385" i="2" s="1"/>
  <c r="T385" i="2" s="1"/>
  <c r="A385" i="2"/>
  <c r="U384" i="2"/>
  <c r="R384" i="2"/>
  <c r="S384" i="2" s="1"/>
  <c r="T384" i="2" s="1"/>
  <c r="A384" i="2"/>
  <c r="U383" i="2"/>
  <c r="R383" i="2"/>
  <c r="S383" i="2" s="1"/>
  <c r="T383" i="2" s="1"/>
  <c r="A383" i="2"/>
  <c r="U382" i="2"/>
  <c r="R382" i="2"/>
  <c r="S382" i="2" s="1"/>
  <c r="T382" i="2" s="1"/>
  <c r="A382" i="2"/>
  <c r="U381" i="2"/>
  <c r="R381" i="2"/>
  <c r="S381" i="2" s="1"/>
  <c r="T381" i="2" s="1"/>
  <c r="A381" i="2"/>
  <c r="U380" i="2"/>
  <c r="R380" i="2"/>
  <c r="S380" i="2" s="1"/>
  <c r="T380" i="2" s="1"/>
  <c r="A380" i="2"/>
  <c r="U379" i="2"/>
  <c r="R379" i="2"/>
  <c r="S379" i="2" s="1"/>
  <c r="T379" i="2" s="1"/>
  <c r="A379" i="2"/>
  <c r="U378" i="2"/>
  <c r="R378" i="2"/>
  <c r="S378" i="2" s="1"/>
  <c r="T378" i="2" s="1"/>
  <c r="A378" i="2"/>
  <c r="U377" i="2"/>
  <c r="R377" i="2"/>
  <c r="S377" i="2" s="1"/>
  <c r="T377" i="2" s="1"/>
  <c r="A377" i="2"/>
  <c r="U376" i="2"/>
  <c r="R376" i="2"/>
  <c r="S376" i="2" s="1"/>
  <c r="T376" i="2" s="1"/>
  <c r="A376" i="2"/>
  <c r="U375" i="2"/>
  <c r="R375" i="2"/>
  <c r="S375" i="2" s="1"/>
  <c r="T375" i="2" s="1"/>
  <c r="A375" i="2"/>
  <c r="U374" i="2"/>
  <c r="R374" i="2"/>
  <c r="S374" i="2" s="1"/>
  <c r="T374" i="2" s="1"/>
  <c r="A374" i="2"/>
  <c r="U373" i="2"/>
  <c r="R373" i="2"/>
  <c r="S373" i="2" s="1"/>
  <c r="T373" i="2" s="1"/>
  <c r="A373" i="2"/>
  <c r="U372" i="2"/>
  <c r="R372" i="2"/>
  <c r="S372" i="2" s="1"/>
  <c r="T372" i="2" s="1"/>
  <c r="A372" i="2"/>
  <c r="U371" i="2"/>
  <c r="R371" i="2"/>
  <c r="S371" i="2" s="1"/>
  <c r="T371" i="2" s="1"/>
  <c r="A371" i="2"/>
  <c r="U370" i="2"/>
  <c r="S370" i="2"/>
  <c r="T370" i="2" s="1"/>
  <c r="R370" i="2"/>
  <c r="A370" i="2"/>
  <c r="U369" i="2"/>
  <c r="R369" i="2"/>
  <c r="S369" i="2" s="1"/>
  <c r="T369" i="2" s="1"/>
  <c r="A369" i="2"/>
  <c r="U368" i="2"/>
  <c r="R368" i="2"/>
  <c r="S368" i="2" s="1"/>
  <c r="T368" i="2" s="1"/>
  <c r="A368" i="2"/>
  <c r="U367" i="2"/>
  <c r="R367" i="2"/>
  <c r="S367" i="2" s="1"/>
  <c r="T367" i="2" s="1"/>
  <c r="A367" i="2"/>
  <c r="U366" i="2"/>
  <c r="R366" i="2"/>
  <c r="S366" i="2" s="1"/>
  <c r="T366" i="2" s="1"/>
  <c r="A366" i="2"/>
  <c r="U365" i="2"/>
  <c r="R365" i="2"/>
  <c r="S365" i="2" s="1"/>
  <c r="T365" i="2" s="1"/>
  <c r="A365" i="2"/>
  <c r="U364" i="2"/>
  <c r="R364" i="2"/>
  <c r="S364" i="2" s="1"/>
  <c r="T364" i="2" s="1"/>
  <c r="A364" i="2"/>
  <c r="U363" i="2"/>
  <c r="R363" i="2"/>
  <c r="S363" i="2" s="1"/>
  <c r="T363" i="2" s="1"/>
  <c r="A363" i="2"/>
  <c r="U362" i="2"/>
  <c r="R362" i="2"/>
  <c r="S362" i="2" s="1"/>
  <c r="T362" i="2" s="1"/>
  <c r="A362" i="2"/>
  <c r="U361" i="2"/>
  <c r="R361" i="2"/>
  <c r="S361" i="2" s="1"/>
  <c r="T361" i="2" s="1"/>
  <c r="A361" i="2"/>
  <c r="U360" i="2"/>
  <c r="R360" i="2"/>
  <c r="S360" i="2" s="1"/>
  <c r="T360" i="2" s="1"/>
  <c r="A360" i="2"/>
  <c r="U359" i="2"/>
  <c r="R359" i="2"/>
  <c r="S359" i="2" s="1"/>
  <c r="T359" i="2" s="1"/>
  <c r="A359" i="2"/>
  <c r="U358" i="2"/>
  <c r="R358" i="2"/>
  <c r="S358" i="2" s="1"/>
  <c r="T358" i="2" s="1"/>
  <c r="A358" i="2"/>
  <c r="U357" i="2"/>
  <c r="R357" i="2"/>
  <c r="S357" i="2" s="1"/>
  <c r="T357" i="2" s="1"/>
  <c r="A357" i="2"/>
  <c r="U356" i="2"/>
  <c r="R356" i="2"/>
  <c r="S356" i="2" s="1"/>
  <c r="T356" i="2" s="1"/>
  <c r="A356" i="2"/>
  <c r="U355" i="2"/>
  <c r="R355" i="2"/>
  <c r="S355" i="2" s="1"/>
  <c r="T355" i="2" s="1"/>
  <c r="A355" i="2"/>
  <c r="U354" i="2"/>
  <c r="R354" i="2"/>
  <c r="S354" i="2" s="1"/>
  <c r="T354" i="2" s="1"/>
  <c r="A354" i="2"/>
  <c r="U353" i="2"/>
  <c r="R353" i="2"/>
  <c r="S353" i="2" s="1"/>
  <c r="T353" i="2" s="1"/>
  <c r="A353" i="2"/>
  <c r="U352" i="2"/>
  <c r="R352" i="2"/>
  <c r="S352" i="2" s="1"/>
  <c r="T352" i="2" s="1"/>
  <c r="A352" i="2"/>
  <c r="U351" i="2"/>
  <c r="R351" i="2"/>
  <c r="S351" i="2" s="1"/>
  <c r="T351" i="2" s="1"/>
  <c r="A351" i="2"/>
  <c r="U350" i="2"/>
  <c r="R350" i="2"/>
  <c r="S350" i="2" s="1"/>
  <c r="T350" i="2" s="1"/>
  <c r="A350" i="2"/>
  <c r="U349" i="2"/>
  <c r="R349" i="2"/>
  <c r="S349" i="2" s="1"/>
  <c r="T349" i="2" s="1"/>
  <c r="A349" i="2"/>
  <c r="U348" i="2"/>
  <c r="R348" i="2"/>
  <c r="S348" i="2" s="1"/>
  <c r="T348" i="2" s="1"/>
  <c r="A348" i="2"/>
  <c r="U347" i="2"/>
  <c r="R347" i="2"/>
  <c r="S347" i="2" s="1"/>
  <c r="T347" i="2" s="1"/>
  <c r="A347" i="2"/>
  <c r="U346" i="2"/>
  <c r="R346" i="2"/>
  <c r="S346" i="2" s="1"/>
  <c r="T346" i="2" s="1"/>
  <c r="A346" i="2"/>
  <c r="U345" i="2"/>
  <c r="R345" i="2"/>
  <c r="S345" i="2" s="1"/>
  <c r="T345" i="2" s="1"/>
  <c r="A345" i="2"/>
  <c r="U344" i="2"/>
  <c r="R344" i="2"/>
  <c r="S344" i="2" s="1"/>
  <c r="T344" i="2" s="1"/>
  <c r="A344" i="2"/>
  <c r="U343" i="2"/>
  <c r="R343" i="2"/>
  <c r="S343" i="2" s="1"/>
  <c r="T343" i="2" s="1"/>
  <c r="A343" i="2"/>
  <c r="U342" i="2"/>
  <c r="R342" i="2"/>
  <c r="S342" i="2" s="1"/>
  <c r="T342" i="2" s="1"/>
  <c r="A342" i="2"/>
  <c r="U341" i="2"/>
  <c r="R341" i="2"/>
  <c r="S341" i="2" s="1"/>
  <c r="T341" i="2" s="1"/>
  <c r="A341" i="2"/>
  <c r="U340" i="2"/>
  <c r="R340" i="2"/>
  <c r="S340" i="2" s="1"/>
  <c r="T340" i="2" s="1"/>
  <c r="A340" i="2"/>
  <c r="U339" i="2"/>
  <c r="R339" i="2"/>
  <c r="S339" i="2" s="1"/>
  <c r="T339" i="2" s="1"/>
  <c r="A339" i="2"/>
  <c r="U338" i="2"/>
  <c r="R338" i="2"/>
  <c r="S338" i="2" s="1"/>
  <c r="T338" i="2" s="1"/>
  <c r="A338" i="2"/>
  <c r="U337" i="2"/>
  <c r="R337" i="2"/>
  <c r="S337" i="2" s="1"/>
  <c r="T337" i="2" s="1"/>
  <c r="A337" i="2"/>
  <c r="U336" i="2"/>
  <c r="R336" i="2"/>
  <c r="S336" i="2" s="1"/>
  <c r="T336" i="2" s="1"/>
  <c r="A336" i="2"/>
  <c r="U335" i="2"/>
  <c r="R335" i="2"/>
  <c r="S335" i="2" s="1"/>
  <c r="T335" i="2" s="1"/>
  <c r="A335" i="2"/>
  <c r="U334" i="2"/>
  <c r="R334" i="2"/>
  <c r="S334" i="2" s="1"/>
  <c r="T334" i="2" s="1"/>
  <c r="A334" i="2"/>
  <c r="U333" i="2"/>
  <c r="R333" i="2"/>
  <c r="S333" i="2" s="1"/>
  <c r="T333" i="2" s="1"/>
  <c r="A333" i="2"/>
  <c r="U332" i="2"/>
  <c r="R332" i="2"/>
  <c r="S332" i="2" s="1"/>
  <c r="T332" i="2" s="1"/>
  <c r="A332" i="2"/>
  <c r="U331" i="2"/>
  <c r="R331" i="2"/>
  <c r="S331" i="2" s="1"/>
  <c r="T331" i="2" s="1"/>
  <c r="A331" i="2"/>
  <c r="U330" i="2"/>
  <c r="R330" i="2"/>
  <c r="S330" i="2" s="1"/>
  <c r="T330" i="2" s="1"/>
  <c r="A330" i="2"/>
  <c r="U329" i="2"/>
  <c r="R329" i="2"/>
  <c r="S329" i="2" s="1"/>
  <c r="T329" i="2" s="1"/>
  <c r="A329" i="2"/>
  <c r="U328" i="2"/>
  <c r="R328" i="2"/>
  <c r="S328" i="2" s="1"/>
  <c r="T328" i="2" s="1"/>
  <c r="A328" i="2"/>
  <c r="U327" i="2"/>
  <c r="R327" i="2"/>
  <c r="S327" i="2" s="1"/>
  <c r="T327" i="2" s="1"/>
  <c r="A327" i="2"/>
  <c r="U326" i="2"/>
  <c r="R326" i="2"/>
  <c r="S326" i="2" s="1"/>
  <c r="T326" i="2" s="1"/>
  <c r="A326" i="2"/>
  <c r="U325" i="2"/>
  <c r="R325" i="2"/>
  <c r="S325" i="2" s="1"/>
  <c r="T325" i="2" s="1"/>
  <c r="A325" i="2"/>
  <c r="U324" i="2"/>
  <c r="R324" i="2"/>
  <c r="S324" i="2" s="1"/>
  <c r="T324" i="2" s="1"/>
  <c r="A324" i="2"/>
  <c r="U323" i="2"/>
  <c r="R323" i="2"/>
  <c r="S323" i="2" s="1"/>
  <c r="T323" i="2" s="1"/>
  <c r="A323" i="2"/>
  <c r="U322" i="2"/>
  <c r="R322" i="2"/>
  <c r="S322" i="2" s="1"/>
  <c r="T322" i="2" s="1"/>
  <c r="A322" i="2"/>
  <c r="U321" i="2"/>
  <c r="R321" i="2"/>
  <c r="S321" i="2" s="1"/>
  <c r="T321" i="2" s="1"/>
  <c r="A321" i="2"/>
  <c r="U320" i="2"/>
  <c r="R320" i="2"/>
  <c r="S320" i="2" s="1"/>
  <c r="T320" i="2" s="1"/>
  <c r="A320" i="2"/>
  <c r="U319" i="2"/>
  <c r="R319" i="2"/>
  <c r="S319" i="2" s="1"/>
  <c r="T319" i="2" s="1"/>
  <c r="A319" i="2"/>
  <c r="U318" i="2"/>
  <c r="R318" i="2"/>
  <c r="S318" i="2" s="1"/>
  <c r="T318" i="2" s="1"/>
  <c r="A318" i="2"/>
  <c r="U317" i="2"/>
  <c r="R317" i="2"/>
  <c r="S317" i="2" s="1"/>
  <c r="T317" i="2" s="1"/>
  <c r="A317" i="2"/>
  <c r="U316" i="2"/>
  <c r="R316" i="2"/>
  <c r="S316" i="2" s="1"/>
  <c r="T316" i="2" s="1"/>
  <c r="A316" i="2"/>
  <c r="U315" i="2"/>
  <c r="R315" i="2"/>
  <c r="S315" i="2" s="1"/>
  <c r="T315" i="2" s="1"/>
  <c r="A315" i="2"/>
  <c r="U314" i="2"/>
  <c r="R314" i="2"/>
  <c r="S314" i="2" s="1"/>
  <c r="T314" i="2" s="1"/>
  <c r="A314" i="2"/>
  <c r="U313" i="2"/>
  <c r="R313" i="2"/>
  <c r="S313" i="2" s="1"/>
  <c r="T313" i="2" s="1"/>
  <c r="A313" i="2"/>
  <c r="U312" i="2"/>
  <c r="R312" i="2"/>
  <c r="S312" i="2" s="1"/>
  <c r="T312" i="2" s="1"/>
  <c r="A312" i="2"/>
  <c r="U311" i="2"/>
  <c r="R311" i="2"/>
  <c r="S311" i="2" s="1"/>
  <c r="T311" i="2" s="1"/>
  <c r="A311" i="2"/>
  <c r="U310" i="2"/>
  <c r="R310" i="2"/>
  <c r="S310" i="2" s="1"/>
  <c r="T310" i="2" s="1"/>
  <c r="A310" i="2"/>
  <c r="U309" i="2"/>
  <c r="R309" i="2"/>
  <c r="S309" i="2" s="1"/>
  <c r="T309" i="2" s="1"/>
  <c r="A309" i="2"/>
  <c r="U308" i="2"/>
  <c r="R308" i="2"/>
  <c r="S308" i="2" s="1"/>
  <c r="T308" i="2" s="1"/>
  <c r="A308" i="2"/>
  <c r="U307" i="2"/>
  <c r="R307" i="2"/>
  <c r="S307" i="2" s="1"/>
  <c r="T307" i="2" s="1"/>
  <c r="A307" i="2"/>
  <c r="U306" i="2"/>
  <c r="R306" i="2"/>
  <c r="S306" i="2" s="1"/>
  <c r="T306" i="2" s="1"/>
  <c r="A306" i="2"/>
  <c r="U305" i="2"/>
  <c r="R305" i="2"/>
  <c r="S305" i="2" s="1"/>
  <c r="T305" i="2" s="1"/>
  <c r="A305" i="2"/>
  <c r="U304" i="2"/>
  <c r="R304" i="2"/>
  <c r="S304" i="2" s="1"/>
  <c r="T304" i="2" s="1"/>
  <c r="A304" i="2"/>
  <c r="U303" i="2"/>
  <c r="R303" i="2"/>
  <c r="S303" i="2" s="1"/>
  <c r="T303" i="2" s="1"/>
  <c r="A303" i="2"/>
  <c r="U302" i="2"/>
  <c r="R302" i="2"/>
  <c r="S302" i="2" s="1"/>
  <c r="T302" i="2" s="1"/>
  <c r="A302" i="2"/>
  <c r="U301" i="2"/>
  <c r="R301" i="2"/>
  <c r="S301" i="2" s="1"/>
  <c r="T301" i="2" s="1"/>
  <c r="A301" i="2"/>
  <c r="U300" i="2"/>
  <c r="R300" i="2"/>
  <c r="S300" i="2" s="1"/>
  <c r="T300" i="2" s="1"/>
  <c r="A300" i="2"/>
  <c r="U299" i="2"/>
  <c r="R299" i="2"/>
  <c r="S299" i="2" s="1"/>
  <c r="T299" i="2" s="1"/>
  <c r="A299" i="2"/>
  <c r="U298" i="2"/>
  <c r="R298" i="2"/>
  <c r="S298" i="2" s="1"/>
  <c r="T298" i="2" s="1"/>
  <c r="A298" i="2"/>
  <c r="U297" i="2"/>
  <c r="R297" i="2"/>
  <c r="S297" i="2" s="1"/>
  <c r="T297" i="2" s="1"/>
  <c r="A297" i="2"/>
  <c r="U296" i="2"/>
  <c r="R296" i="2"/>
  <c r="S296" i="2" s="1"/>
  <c r="T296" i="2" s="1"/>
  <c r="A296" i="2"/>
  <c r="U295" i="2"/>
  <c r="R295" i="2"/>
  <c r="S295" i="2" s="1"/>
  <c r="T295" i="2" s="1"/>
  <c r="A295" i="2"/>
  <c r="U294" i="2"/>
  <c r="R294" i="2"/>
  <c r="S294" i="2" s="1"/>
  <c r="T294" i="2" s="1"/>
  <c r="A294" i="2"/>
  <c r="U293" i="2"/>
  <c r="R293" i="2"/>
  <c r="S293" i="2" s="1"/>
  <c r="T293" i="2" s="1"/>
  <c r="A293" i="2"/>
  <c r="U292" i="2"/>
  <c r="R292" i="2"/>
  <c r="S292" i="2" s="1"/>
  <c r="T292" i="2" s="1"/>
  <c r="A292" i="2"/>
  <c r="U291" i="2"/>
  <c r="R291" i="2"/>
  <c r="S291" i="2" s="1"/>
  <c r="T291" i="2" s="1"/>
  <c r="A291" i="2"/>
  <c r="U290" i="2"/>
  <c r="R290" i="2"/>
  <c r="S290" i="2" s="1"/>
  <c r="T290" i="2" s="1"/>
  <c r="A290" i="2"/>
  <c r="U289" i="2"/>
  <c r="R289" i="2"/>
  <c r="S289" i="2" s="1"/>
  <c r="T289" i="2" s="1"/>
  <c r="A289" i="2"/>
  <c r="U288" i="2"/>
  <c r="R288" i="2"/>
  <c r="S288" i="2" s="1"/>
  <c r="T288" i="2" s="1"/>
  <c r="A288" i="2"/>
  <c r="U287" i="2"/>
  <c r="R287" i="2"/>
  <c r="S287" i="2" s="1"/>
  <c r="T287" i="2" s="1"/>
  <c r="A287" i="2"/>
  <c r="U286" i="2"/>
  <c r="R286" i="2"/>
  <c r="S286" i="2" s="1"/>
  <c r="T286" i="2" s="1"/>
  <c r="A286" i="2"/>
  <c r="U285" i="2"/>
  <c r="R285" i="2"/>
  <c r="S285" i="2" s="1"/>
  <c r="T285" i="2" s="1"/>
  <c r="A285" i="2"/>
  <c r="U284" i="2"/>
  <c r="R284" i="2"/>
  <c r="S284" i="2" s="1"/>
  <c r="T284" i="2" s="1"/>
  <c r="A284" i="2"/>
  <c r="U283" i="2"/>
  <c r="R283" i="2"/>
  <c r="S283" i="2" s="1"/>
  <c r="T283" i="2" s="1"/>
  <c r="A283" i="2"/>
  <c r="U282" i="2"/>
  <c r="R282" i="2"/>
  <c r="S282" i="2" s="1"/>
  <c r="T282" i="2" s="1"/>
  <c r="A282" i="2"/>
  <c r="U281" i="2"/>
  <c r="R281" i="2"/>
  <c r="S281" i="2" s="1"/>
  <c r="T281" i="2" s="1"/>
  <c r="A281" i="2"/>
  <c r="U280" i="2"/>
  <c r="R280" i="2"/>
  <c r="S280" i="2" s="1"/>
  <c r="T280" i="2" s="1"/>
  <c r="A280" i="2"/>
  <c r="U279" i="2"/>
  <c r="R279" i="2"/>
  <c r="S279" i="2" s="1"/>
  <c r="T279" i="2" s="1"/>
  <c r="A279" i="2"/>
  <c r="U278" i="2"/>
  <c r="R278" i="2"/>
  <c r="S278" i="2" s="1"/>
  <c r="T278" i="2" s="1"/>
  <c r="A278" i="2"/>
  <c r="U277" i="2"/>
  <c r="R277" i="2"/>
  <c r="S277" i="2" s="1"/>
  <c r="T277" i="2" s="1"/>
  <c r="A277" i="2"/>
  <c r="U276" i="2"/>
  <c r="R276" i="2"/>
  <c r="S276" i="2" s="1"/>
  <c r="T276" i="2" s="1"/>
  <c r="A276" i="2"/>
  <c r="U275" i="2"/>
  <c r="R275" i="2"/>
  <c r="S275" i="2" s="1"/>
  <c r="T275" i="2" s="1"/>
  <c r="A275" i="2"/>
  <c r="U274" i="2"/>
  <c r="R274" i="2"/>
  <c r="S274" i="2" s="1"/>
  <c r="T274" i="2" s="1"/>
  <c r="A274" i="2"/>
  <c r="U273" i="2"/>
  <c r="R273" i="2"/>
  <c r="S273" i="2" s="1"/>
  <c r="T273" i="2" s="1"/>
  <c r="A273" i="2"/>
  <c r="U272" i="2"/>
  <c r="R272" i="2"/>
  <c r="S272" i="2" s="1"/>
  <c r="T272" i="2" s="1"/>
  <c r="A272" i="2"/>
  <c r="U271" i="2"/>
  <c r="R271" i="2"/>
  <c r="S271" i="2" s="1"/>
  <c r="T271" i="2" s="1"/>
  <c r="A271" i="2"/>
  <c r="U270" i="2"/>
  <c r="R270" i="2"/>
  <c r="S270" i="2" s="1"/>
  <c r="T270" i="2" s="1"/>
  <c r="A270" i="2"/>
  <c r="U269" i="2"/>
  <c r="R269" i="2"/>
  <c r="S269" i="2" s="1"/>
  <c r="T269" i="2" s="1"/>
  <c r="A269" i="2"/>
  <c r="U268" i="2"/>
  <c r="R268" i="2"/>
  <c r="S268" i="2" s="1"/>
  <c r="T268" i="2" s="1"/>
  <c r="A268" i="2"/>
  <c r="U267" i="2"/>
  <c r="R267" i="2"/>
  <c r="S267" i="2" s="1"/>
  <c r="T267" i="2" s="1"/>
  <c r="A267" i="2"/>
  <c r="U266" i="2"/>
  <c r="R266" i="2"/>
  <c r="S266" i="2" s="1"/>
  <c r="T266" i="2" s="1"/>
  <c r="A266" i="2"/>
  <c r="U265" i="2"/>
  <c r="R265" i="2"/>
  <c r="S265" i="2" s="1"/>
  <c r="T265" i="2" s="1"/>
  <c r="A265" i="2"/>
  <c r="U264" i="2"/>
  <c r="R264" i="2"/>
  <c r="S264" i="2" s="1"/>
  <c r="T264" i="2" s="1"/>
  <c r="A264" i="2"/>
  <c r="U263" i="2"/>
  <c r="R263" i="2"/>
  <c r="S263" i="2" s="1"/>
  <c r="T263" i="2" s="1"/>
  <c r="A263" i="2"/>
  <c r="U262" i="2"/>
  <c r="R262" i="2"/>
  <c r="S262" i="2" s="1"/>
  <c r="T262" i="2" s="1"/>
  <c r="A262" i="2"/>
  <c r="U261" i="2"/>
  <c r="R261" i="2"/>
  <c r="S261" i="2" s="1"/>
  <c r="T261" i="2" s="1"/>
  <c r="A261" i="2"/>
  <c r="U260" i="2"/>
  <c r="R260" i="2"/>
  <c r="S260" i="2" s="1"/>
  <c r="T260" i="2" s="1"/>
  <c r="A260" i="2"/>
  <c r="U259" i="2"/>
  <c r="R259" i="2"/>
  <c r="S259" i="2" s="1"/>
  <c r="T259" i="2" s="1"/>
  <c r="A259" i="2"/>
  <c r="U258" i="2"/>
  <c r="R258" i="2"/>
  <c r="S258" i="2" s="1"/>
  <c r="T258" i="2" s="1"/>
  <c r="A258" i="2"/>
  <c r="U257" i="2"/>
  <c r="R257" i="2"/>
  <c r="S257" i="2" s="1"/>
  <c r="T257" i="2" s="1"/>
  <c r="A257" i="2"/>
  <c r="U256" i="2"/>
  <c r="R256" i="2"/>
  <c r="S256" i="2" s="1"/>
  <c r="T256" i="2" s="1"/>
  <c r="A256" i="2"/>
  <c r="U255" i="2"/>
  <c r="R255" i="2"/>
  <c r="S255" i="2" s="1"/>
  <c r="T255" i="2" s="1"/>
  <c r="A255" i="2"/>
  <c r="U254" i="2"/>
  <c r="R254" i="2"/>
  <c r="S254" i="2" s="1"/>
  <c r="T254" i="2" s="1"/>
  <c r="A254" i="2"/>
  <c r="U253" i="2"/>
  <c r="R253" i="2"/>
  <c r="S253" i="2" s="1"/>
  <c r="T253" i="2" s="1"/>
  <c r="A253" i="2"/>
  <c r="U252" i="2"/>
  <c r="R252" i="2"/>
  <c r="S252" i="2" s="1"/>
  <c r="T252" i="2" s="1"/>
  <c r="A252" i="2"/>
  <c r="U251" i="2"/>
  <c r="R251" i="2"/>
  <c r="S251" i="2" s="1"/>
  <c r="T251" i="2" s="1"/>
  <c r="A251" i="2"/>
  <c r="U250" i="2"/>
  <c r="R250" i="2"/>
  <c r="S250" i="2" s="1"/>
  <c r="T250" i="2" s="1"/>
  <c r="A250" i="2"/>
  <c r="U249" i="2"/>
  <c r="R249" i="2"/>
  <c r="S249" i="2" s="1"/>
  <c r="T249" i="2" s="1"/>
  <c r="A249" i="2"/>
  <c r="U248" i="2"/>
  <c r="R248" i="2"/>
  <c r="S248" i="2" s="1"/>
  <c r="T248" i="2" s="1"/>
  <c r="A248" i="2"/>
  <c r="U247" i="2"/>
  <c r="R247" i="2"/>
  <c r="S247" i="2" s="1"/>
  <c r="T247" i="2" s="1"/>
  <c r="A247" i="2"/>
  <c r="U246" i="2"/>
  <c r="R246" i="2"/>
  <c r="S246" i="2" s="1"/>
  <c r="T246" i="2" s="1"/>
  <c r="A246" i="2"/>
  <c r="U245" i="2"/>
  <c r="R245" i="2"/>
  <c r="S245" i="2" s="1"/>
  <c r="T245" i="2" s="1"/>
  <c r="A245" i="2"/>
  <c r="U244" i="2"/>
  <c r="R244" i="2"/>
  <c r="S244" i="2" s="1"/>
  <c r="T244" i="2" s="1"/>
  <c r="A244" i="2"/>
  <c r="U243" i="2"/>
  <c r="R243" i="2"/>
  <c r="S243" i="2" s="1"/>
  <c r="T243" i="2" s="1"/>
  <c r="A243" i="2"/>
  <c r="U242" i="2"/>
  <c r="R242" i="2"/>
  <c r="S242" i="2" s="1"/>
  <c r="T242" i="2" s="1"/>
  <c r="A242" i="2"/>
  <c r="U241" i="2"/>
  <c r="R241" i="2"/>
  <c r="S241" i="2" s="1"/>
  <c r="T241" i="2" s="1"/>
  <c r="A241" i="2"/>
  <c r="U240" i="2"/>
  <c r="R240" i="2"/>
  <c r="S240" i="2" s="1"/>
  <c r="T240" i="2" s="1"/>
  <c r="A240" i="2"/>
  <c r="U239" i="2"/>
  <c r="R239" i="2"/>
  <c r="S239" i="2" s="1"/>
  <c r="T239" i="2" s="1"/>
  <c r="A239" i="2"/>
  <c r="U238" i="2"/>
  <c r="R238" i="2"/>
  <c r="S238" i="2" s="1"/>
  <c r="T238" i="2" s="1"/>
  <c r="A238" i="2"/>
  <c r="U237" i="2"/>
  <c r="R237" i="2"/>
  <c r="S237" i="2" s="1"/>
  <c r="T237" i="2" s="1"/>
  <c r="A237" i="2"/>
  <c r="U236" i="2"/>
  <c r="R236" i="2"/>
  <c r="S236" i="2" s="1"/>
  <c r="T236" i="2" s="1"/>
  <c r="A236" i="2"/>
  <c r="U235" i="2"/>
  <c r="R235" i="2"/>
  <c r="S235" i="2" s="1"/>
  <c r="T235" i="2" s="1"/>
  <c r="A235" i="2"/>
  <c r="U234" i="2"/>
  <c r="R234" i="2"/>
  <c r="S234" i="2" s="1"/>
  <c r="T234" i="2" s="1"/>
  <c r="A234" i="2"/>
  <c r="U233" i="2"/>
  <c r="R233" i="2"/>
  <c r="S233" i="2" s="1"/>
  <c r="T233" i="2" s="1"/>
  <c r="A233" i="2"/>
  <c r="U232" i="2"/>
  <c r="R232" i="2"/>
  <c r="S232" i="2" s="1"/>
  <c r="T232" i="2" s="1"/>
  <c r="A232" i="2"/>
  <c r="U231" i="2"/>
  <c r="R231" i="2"/>
  <c r="S231" i="2" s="1"/>
  <c r="T231" i="2" s="1"/>
  <c r="A231" i="2"/>
  <c r="U230" i="2"/>
  <c r="R230" i="2"/>
  <c r="S230" i="2" s="1"/>
  <c r="T230" i="2" s="1"/>
  <c r="A230" i="2"/>
  <c r="U229" i="2"/>
  <c r="R229" i="2"/>
  <c r="S229" i="2" s="1"/>
  <c r="T229" i="2" s="1"/>
  <c r="A229" i="2"/>
  <c r="U228" i="2"/>
  <c r="R228" i="2"/>
  <c r="S228" i="2" s="1"/>
  <c r="T228" i="2" s="1"/>
  <c r="A228" i="2"/>
  <c r="U227" i="2"/>
  <c r="R227" i="2"/>
  <c r="S227" i="2" s="1"/>
  <c r="T227" i="2" s="1"/>
  <c r="A227" i="2"/>
  <c r="U226" i="2"/>
  <c r="R226" i="2"/>
  <c r="S226" i="2" s="1"/>
  <c r="T226" i="2" s="1"/>
  <c r="A226" i="2"/>
  <c r="U225" i="2"/>
  <c r="R225" i="2"/>
  <c r="S225" i="2" s="1"/>
  <c r="T225" i="2" s="1"/>
  <c r="A225" i="2"/>
  <c r="U224" i="2"/>
  <c r="R224" i="2"/>
  <c r="S224" i="2" s="1"/>
  <c r="T224" i="2" s="1"/>
  <c r="A224" i="2"/>
  <c r="U223" i="2"/>
  <c r="R223" i="2"/>
  <c r="S223" i="2" s="1"/>
  <c r="T223" i="2" s="1"/>
  <c r="A223" i="2"/>
  <c r="U222" i="2"/>
  <c r="R222" i="2"/>
  <c r="S222" i="2" s="1"/>
  <c r="T222" i="2" s="1"/>
  <c r="A222" i="2"/>
  <c r="U221" i="2"/>
  <c r="R221" i="2"/>
  <c r="S221" i="2" s="1"/>
  <c r="T221" i="2" s="1"/>
  <c r="A221" i="2"/>
  <c r="U220" i="2"/>
  <c r="R220" i="2"/>
  <c r="S220" i="2" s="1"/>
  <c r="T220" i="2" s="1"/>
  <c r="A220" i="2"/>
  <c r="U219" i="2"/>
  <c r="R219" i="2"/>
  <c r="S219" i="2" s="1"/>
  <c r="T219" i="2" s="1"/>
  <c r="A219" i="2"/>
  <c r="U218" i="2"/>
  <c r="R218" i="2"/>
  <c r="S218" i="2" s="1"/>
  <c r="T218" i="2" s="1"/>
  <c r="A218" i="2"/>
  <c r="U217" i="2"/>
  <c r="R217" i="2"/>
  <c r="S217" i="2" s="1"/>
  <c r="T217" i="2" s="1"/>
  <c r="A217" i="2"/>
  <c r="U216" i="2"/>
  <c r="R216" i="2"/>
  <c r="S216" i="2" s="1"/>
  <c r="T216" i="2" s="1"/>
  <c r="A216" i="2"/>
  <c r="U215" i="2"/>
  <c r="R215" i="2"/>
  <c r="S215" i="2" s="1"/>
  <c r="T215" i="2" s="1"/>
  <c r="A215" i="2"/>
  <c r="U214" i="2"/>
  <c r="R214" i="2"/>
  <c r="S214" i="2" s="1"/>
  <c r="T214" i="2" s="1"/>
  <c r="A214" i="2"/>
  <c r="U213" i="2"/>
  <c r="R213" i="2"/>
  <c r="S213" i="2" s="1"/>
  <c r="T213" i="2" s="1"/>
  <c r="A213" i="2"/>
  <c r="U212" i="2"/>
  <c r="R212" i="2"/>
  <c r="S212" i="2" s="1"/>
  <c r="T212" i="2" s="1"/>
  <c r="A212" i="2"/>
  <c r="U211" i="2"/>
  <c r="R211" i="2"/>
  <c r="S211" i="2" s="1"/>
  <c r="T211" i="2" s="1"/>
  <c r="A211" i="2"/>
  <c r="U210" i="2"/>
  <c r="R210" i="2"/>
  <c r="S210" i="2" s="1"/>
  <c r="T210" i="2" s="1"/>
  <c r="A210" i="2"/>
  <c r="U209" i="2"/>
  <c r="R209" i="2"/>
  <c r="S209" i="2" s="1"/>
  <c r="T209" i="2" s="1"/>
  <c r="A209" i="2"/>
  <c r="U208" i="2"/>
  <c r="R208" i="2"/>
  <c r="S208" i="2" s="1"/>
  <c r="T208" i="2" s="1"/>
  <c r="A208" i="2"/>
  <c r="U207" i="2"/>
  <c r="R207" i="2"/>
  <c r="S207" i="2" s="1"/>
  <c r="T207" i="2" s="1"/>
  <c r="A207" i="2"/>
  <c r="U206" i="2"/>
  <c r="R206" i="2"/>
  <c r="S206" i="2" s="1"/>
  <c r="T206" i="2" s="1"/>
  <c r="A206" i="2"/>
  <c r="U205" i="2"/>
  <c r="R205" i="2"/>
  <c r="S205" i="2" s="1"/>
  <c r="T205" i="2" s="1"/>
  <c r="A205" i="2"/>
  <c r="U204" i="2"/>
  <c r="R204" i="2"/>
  <c r="S204" i="2" s="1"/>
  <c r="T204" i="2" s="1"/>
  <c r="A204" i="2"/>
  <c r="U203" i="2"/>
  <c r="R203" i="2"/>
  <c r="S203" i="2" s="1"/>
  <c r="T203" i="2" s="1"/>
  <c r="A203" i="2"/>
  <c r="U202" i="2"/>
  <c r="R202" i="2"/>
  <c r="S202" i="2" s="1"/>
  <c r="T202" i="2" s="1"/>
  <c r="A202" i="2"/>
  <c r="U201" i="2"/>
  <c r="R201" i="2"/>
  <c r="S201" i="2" s="1"/>
  <c r="T201" i="2" s="1"/>
  <c r="A201" i="2"/>
  <c r="U200" i="2"/>
  <c r="R200" i="2"/>
  <c r="S200" i="2" s="1"/>
  <c r="T200" i="2" s="1"/>
  <c r="A200" i="2"/>
  <c r="U199" i="2"/>
  <c r="R199" i="2"/>
  <c r="S199" i="2" s="1"/>
  <c r="T199" i="2" s="1"/>
  <c r="A199" i="2"/>
  <c r="U198" i="2"/>
  <c r="R198" i="2"/>
  <c r="S198" i="2" s="1"/>
  <c r="T198" i="2" s="1"/>
  <c r="A198" i="2"/>
  <c r="U197" i="2"/>
  <c r="R197" i="2"/>
  <c r="S197" i="2" s="1"/>
  <c r="T197" i="2" s="1"/>
  <c r="A197" i="2"/>
  <c r="U196" i="2"/>
  <c r="R196" i="2"/>
  <c r="S196" i="2" s="1"/>
  <c r="T196" i="2" s="1"/>
  <c r="A196" i="2"/>
  <c r="U195" i="2"/>
  <c r="R195" i="2"/>
  <c r="S195" i="2" s="1"/>
  <c r="T195" i="2" s="1"/>
  <c r="A195" i="2"/>
  <c r="U194" i="2"/>
  <c r="R194" i="2"/>
  <c r="S194" i="2" s="1"/>
  <c r="T194" i="2" s="1"/>
  <c r="A194" i="2"/>
  <c r="U193" i="2"/>
  <c r="R193" i="2"/>
  <c r="S193" i="2" s="1"/>
  <c r="T193" i="2" s="1"/>
  <c r="A193" i="2"/>
  <c r="U192" i="2"/>
  <c r="R192" i="2"/>
  <c r="S192" i="2" s="1"/>
  <c r="T192" i="2" s="1"/>
  <c r="A192" i="2"/>
  <c r="U191" i="2"/>
  <c r="R191" i="2"/>
  <c r="S191" i="2" s="1"/>
  <c r="T191" i="2" s="1"/>
  <c r="A191" i="2"/>
  <c r="U190" i="2"/>
  <c r="R190" i="2"/>
  <c r="S190" i="2" s="1"/>
  <c r="T190" i="2" s="1"/>
  <c r="A190" i="2"/>
  <c r="U189" i="2"/>
  <c r="R189" i="2"/>
  <c r="S189" i="2" s="1"/>
  <c r="T189" i="2" s="1"/>
  <c r="A189" i="2"/>
  <c r="U188" i="2"/>
  <c r="R188" i="2"/>
  <c r="S188" i="2" s="1"/>
  <c r="T188" i="2" s="1"/>
  <c r="A188" i="2"/>
  <c r="U187" i="2"/>
  <c r="R187" i="2"/>
  <c r="S187" i="2" s="1"/>
  <c r="T187" i="2" s="1"/>
  <c r="A187" i="2"/>
  <c r="U186" i="2"/>
  <c r="R186" i="2"/>
  <c r="S186" i="2" s="1"/>
  <c r="T186" i="2" s="1"/>
  <c r="A186" i="2"/>
  <c r="U185" i="2"/>
  <c r="R185" i="2"/>
  <c r="S185" i="2" s="1"/>
  <c r="T185" i="2" s="1"/>
  <c r="A185" i="2"/>
  <c r="U184" i="2"/>
  <c r="R184" i="2"/>
  <c r="S184" i="2" s="1"/>
  <c r="T184" i="2" s="1"/>
  <c r="A184" i="2"/>
  <c r="U183" i="2"/>
  <c r="R183" i="2"/>
  <c r="S183" i="2" s="1"/>
  <c r="T183" i="2" s="1"/>
  <c r="A183" i="2"/>
  <c r="U182" i="2"/>
  <c r="R182" i="2"/>
  <c r="S182" i="2" s="1"/>
  <c r="T182" i="2" s="1"/>
  <c r="A182" i="2"/>
  <c r="U181" i="2"/>
  <c r="R181" i="2"/>
  <c r="S181" i="2" s="1"/>
  <c r="T181" i="2" s="1"/>
  <c r="A181" i="2"/>
  <c r="U180" i="2"/>
  <c r="R180" i="2"/>
  <c r="S180" i="2" s="1"/>
  <c r="T180" i="2" s="1"/>
  <c r="A180" i="2"/>
  <c r="U179" i="2"/>
  <c r="R179" i="2"/>
  <c r="S179" i="2" s="1"/>
  <c r="T179" i="2" s="1"/>
  <c r="A179" i="2"/>
  <c r="U178" i="2"/>
  <c r="R178" i="2"/>
  <c r="S178" i="2" s="1"/>
  <c r="T178" i="2" s="1"/>
  <c r="A178" i="2"/>
  <c r="U177" i="2"/>
  <c r="R177" i="2"/>
  <c r="S177" i="2" s="1"/>
  <c r="T177" i="2" s="1"/>
  <c r="A177" i="2"/>
  <c r="U176" i="2"/>
  <c r="R176" i="2"/>
  <c r="S176" i="2" s="1"/>
  <c r="T176" i="2" s="1"/>
  <c r="A176" i="2"/>
  <c r="U175" i="2"/>
  <c r="R175" i="2"/>
  <c r="S175" i="2" s="1"/>
  <c r="T175" i="2" s="1"/>
  <c r="A175" i="2"/>
  <c r="U174" i="2"/>
  <c r="R174" i="2"/>
  <c r="S174" i="2" s="1"/>
  <c r="T174" i="2" s="1"/>
  <c r="A174" i="2"/>
  <c r="U173" i="2"/>
  <c r="R173" i="2"/>
  <c r="S173" i="2" s="1"/>
  <c r="T173" i="2" s="1"/>
  <c r="A173" i="2"/>
  <c r="U172" i="2"/>
  <c r="R172" i="2"/>
  <c r="S172" i="2" s="1"/>
  <c r="T172" i="2" s="1"/>
  <c r="A172" i="2"/>
  <c r="U171" i="2"/>
  <c r="R171" i="2"/>
  <c r="S171" i="2" s="1"/>
  <c r="T171" i="2" s="1"/>
  <c r="A171" i="2"/>
  <c r="U170" i="2"/>
  <c r="R170" i="2"/>
  <c r="S170" i="2" s="1"/>
  <c r="T170" i="2" s="1"/>
  <c r="A170" i="2"/>
  <c r="U169" i="2"/>
  <c r="R169" i="2"/>
  <c r="S169" i="2" s="1"/>
  <c r="T169" i="2" s="1"/>
  <c r="A169" i="2"/>
  <c r="U168" i="2"/>
  <c r="R168" i="2"/>
  <c r="S168" i="2" s="1"/>
  <c r="T168" i="2" s="1"/>
  <c r="A168" i="2"/>
  <c r="U167" i="2"/>
  <c r="R167" i="2"/>
  <c r="S167" i="2" s="1"/>
  <c r="T167" i="2" s="1"/>
  <c r="A167" i="2"/>
  <c r="U166" i="2"/>
  <c r="R166" i="2"/>
  <c r="S166" i="2" s="1"/>
  <c r="T166" i="2" s="1"/>
  <c r="A166" i="2"/>
  <c r="U165" i="2"/>
  <c r="R165" i="2"/>
  <c r="S165" i="2" s="1"/>
  <c r="T165" i="2" s="1"/>
  <c r="A165" i="2"/>
  <c r="U164" i="2"/>
  <c r="R164" i="2"/>
  <c r="S164" i="2" s="1"/>
  <c r="T164" i="2" s="1"/>
  <c r="A164" i="2"/>
  <c r="U163" i="2"/>
  <c r="R163" i="2"/>
  <c r="S163" i="2" s="1"/>
  <c r="T163" i="2" s="1"/>
  <c r="A163" i="2"/>
  <c r="U162" i="2"/>
  <c r="R162" i="2"/>
  <c r="S162" i="2" s="1"/>
  <c r="T162" i="2" s="1"/>
  <c r="A162" i="2"/>
  <c r="U161" i="2"/>
  <c r="R161" i="2"/>
  <c r="S161" i="2" s="1"/>
  <c r="T161" i="2" s="1"/>
  <c r="A161" i="2"/>
  <c r="U160" i="2"/>
  <c r="R160" i="2"/>
  <c r="S160" i="2" s="1"/>
  <c r="T160" i="2" s="1"/>
  <c r="A160" i="2"/>
  <c r="U159" i="2"/>
  <c r="R159" i="2"/>
  <c r="S159" i="2" s="1"/>
  <c r="T159" i="2" s="1"/>
  <c r="A159" i="2"/>
  <c r="U158" i="2"/>
  <c r="R158" i="2"/>
  <c r="S158" i="2" s="1"/>
  <c r="T158" i="2" s="1"/>
  <c r="A158" i="2"/>
  <c r="U157" i="2"/>
  <c r="R157" i="2"/>
  <c r="S157" i="2" s="1"/>
  <c r="T157" i="2" s="1"/>
  <c r="A157" i="2"/>
  <c r="U156" i="2"/>
  <c r="R156" i="2"/>
  <c r="S156" i="2" s="1"/>
  <c r="T156" i="2" s="1"/>
  <c r="A156" i="2"/>
  <c r="U155" i="2"/>
  <c r="R155" i="2"/>
  <c r="S155" i="2" s="1"/>
  <c r="T155" i="2" s="1"/>
  <c r="A155" i="2"/>
  <c r="U154" i="2"/>
  <c r="R154" i="2"/>
  <c r="S154" i="2" s="1"/>
  <c r="T154" i="2" s="1"/>
  <c r="A154" i="2"/>
  <c r="U153" i="2"/>
  <c r="R153" i="2"/>
  <c r="S153" i="2" s="1"/>
  <c r="T153" i="2" s="1"/>
  <c r="A153" i="2"/>
  <c r="U152" i="2"/>
  <c r="R152" i="2"/>
  <c r="S152" i="2" s="1"/>
  <c r="T152" i="2" s="1"/>
  <c r="A152" i="2"/>
  <c r="U151" i="2"/>
  <c r="R151" i="2"/>
  <c r="S151" i="2" s="1"/>
  <c r="T151" i="2" s="1"/>
  <c r="A151" i="2"/>
  <c r="U150" i="2"/>
  <c r="R150" i="2"/>
  <c r="S150" i="2" s="1"/>
  <c r="T150" i="2" s="1"/>
  <c r="A150" i="2"/>
  <c r="U149" i="2"/>
  <c r="R149" i="2"/>
  <c r="S149" i="2" s="1"/>
  <c r="T149" i="2" s="1"/>
  <c r="A149" i="2"/>
  <c r="U148" i="2"/>
  <c r="R148" i="2"/>
  <c r="S148" i="2" s="1"/>
  <c r="T148" i="2" s="1"/>
  <c r="A148" i="2"/>
  <c r="U147" i="2"/>
  <c r="R147" i="2"/>
  <c r="S147" i="2" s="1"/>
  <c r="T147" i="2" s="1"/>
  <c r="A147" i="2"/>
  <c r="U146" i="2"/>
  <c r="R146" i="2"/>
  <c r="S146" i="2" s="1"/>
  <c r="T146" i="2" s="1"/>
  <c r="A146" i="2"/>
  <c r="U145" i="2"/>
  <c r="R145" i="2"/>
  <c r="S145" i="2" s="1"/>
  <c r="T145" i="2" s="1"/>
  <c r="A145" i="2"/>
  <c r="U144" i="2"/>
  <c r="R144" i="2"/>
  <c r="S144" i="2" s="1"/>
  <c r="T144" i="2" s="1"/>
  <c r="A144" i="2"/>
  <c r="U143" i="2"/>
  <c r="R143" i="2"/>
  <c r="S143" i="2" s="1"/>
  <c r="T143" i="2" s="1"/>
  <c r="A143" i="2"/>
  <c r="U142" i="2"/>
  <c r="R142" i="2"/>
  <c r="S142" i="2" s="1"/>
  <c r="T142" i="2" s="1"/>
  <c r="A142" i="2"/>
  <c r="U141" i="2"/>
  <c r="R141" i="2"/>
  <c r="S141" i="2" s="1"/>
  <c r="T141" i="2" s="1"/>
  <c r="A141" i="2"/>
  <c r="U140" i="2"/>
  <c r="R140" i="2"/>
  <c r="S140" i="2" s="1"/>
  <c r="T140" i="2" s="1"/>
  <c r="A140" i="2"/>
  <c r="U139" i="2"/>
  <c r="R139" i="2"/>
  <c r="S139" i="2" s="1"/>
  <c r="T139" i="2" s="1"/>
  <c r="A139" i="2"/>
  <c r="U138" i="2"/>
  <c r="R138" i="2"/>
  <c r="S138" i="2" s="1"/>
  <c r="T138" i="2" s="1"/>
  <c r="A138" i="2"/>
  <c r="U137" i="2"/>
  <c r="R137" i="2"/>
  <c r="S137" i="2" s="1"/>
  <c r="T137" i="2" s="1"/>
  <c r="A137" i="2"/>
  <c r="U136" i="2"/>
  <c r="R136" i="2"/>
  <c r="S136" i="2" s="1"/>
  <c r="T136" i="2" s="1"/>
  <c r="A136" i="2"/>
  <c r="U135" i="2"/>
  <c r="R135" i="2"/>
  <c r="S135" i="2" s="1"/>
  <c r="T135" i="2" s="1"/>
  <c r="A135" i="2"/>
  <c r="U134" i="2"/>
  <c r="R134" i="2"/>
  <c r="S134" i="2" s="1"/>
  <c r="T134" i="2" s="1"/>
  <c r="A134" i="2"/>
  <c r="U133" i="2"/>
  <c r="R133" i="2"/>
  <c r="S133" i="2" s="1"/>
  <c r="T133" i="2" s="1"/>
  <c r="A133" i="2"/>
  <c r="U132" i="2"/>
  <c r="R132" i="2"/>
  <c r="S132" i="2" s="1"/>
  <c r="T132" i="2" s="1"/>
  <c r="A132" i="2"/>
  <c r="U131" i="2"/>
  <c r="R131" i="2"/>
  <c r="S131" i="2" s="1"/>
  <c r="T131" i="2" s="1"/>
  <c r="A131" i="2"/>
  <c r="U130" i="2"/>
  <c r="R130" i="2"/>
  <c r="S130" i="2" s="1"/>
  <c r="T130" i="2" s="1"/>
  <c r="A130" i="2"/>
  <c r="U129" i="2"/>
  <c r="R129" i="2"/>
  <c r="S129" i="2" s="1"/>
  <c r="T129" i="2" s="1"/>
  <c r="A129" i="2"/>
  <c r="U128" i="2"/>
  <c r="R128" i="2"/>
  <c r="S128" i="2" s="1"/>
  <c r="T128" i="2" s="1"/>
  <c r="A128" i="2"/>
  <c r="U127" i="2"/>
  <c r="R127" i="2"/>
  <c r="S127" i="2" s="1"/>
  <c r="T127" i="2" s="1"/>
  <c r="A127" i="2"/>
  <c r="U126" i="2"/>
  <c r="R126" i="2"/>
  <c r="S126" i="2" s="1"/>
  <c r="T126" i="2" s="1"/>
  <c r="A126" i="2"/>
  <c r="U125" i="2"/>
  <c r="R125" i="2"/>
  <c r="S125" i="2" s="1"/>
  <c r="T125" i="2" s="1"/>
  <c r="A125" i="2"/>
  <c r="U124" i="2"/>
  <c r="R124" i="2"/>
  <c r="S124" i="2" s="1"/>
  <c r="T124" i="2" s="1"/>
  <c r="A124" i="2"/>
  <c r="U123" i="2"/>
  <c r="R123" i="2"/>
  <c r="S123" i="2" s="1"/>
  <c r="T123" i="2" s="1"/>
  <c r="A123" i="2"/>
  <c r="U122" i="2"/>
  <c r="R122" i="2"/>
  <c r="S122" i="2" s="1"/>
  <c r="T122" i="2" s="1"/>
  <c r="A122" i="2"/>
  <c r="U121" i="2"/>
  <c r="R121" i="2"/>
  <c r="S121" i="2" s="1"/>
  <c r="T121" i="2" s="1"/>
  <c r="A121" i="2"/>
  <c r="U120" i="2"/>
  <c r="R120" i="2"/>
  <c r="S120" i="2" s="1"/>
  <c r="T120" i="2" s="1"/>
  <c r="A120" i="2"/>
  <c r="U119" i="2"/>
  <c r="R119" i="2"/>
  <c r="S119" i="2" s="1"/>
  <c r="T119" i="2" s="1"/>
  <c r="A119" i="2"/>
  <c r="U118" i="2"/>
  <c r="R118" i="2"/>
  <c r="S118" i="2" s="1"/>
  <c r="T118" i="2" s="1"/>
  <c r="A118" i="2"/>
  <c r="U117" i="2"/>
  <c r="R117" i="2"/>
  <c r="S117" i="2" s="1"/>
  <c r="T117" i="2" s="1"/>
  <c r="A117" i="2"/>
  <c r="U116" i="2"/>
  <c r="R116" i="2"/>
  <c r="S116" i="2" s="1"/>
  <c r="T116" i="2" s="1"/>
  <c r="A116" i="2"/>
  <c r="U115" i="2"/>
  <c r="R115" i="2"/>
  <c r="S115" i="2" s="1"/>
  <c r="T115" i="2" s="1"/>
  <c r="A115" i="2"/>
  <c r="U114" i="2"/>
  <c r="R114" i="2"/>
  <c r="S114" i="2" s="1"/>
  <c r="T114" i="2" s="1"/>
  <c r="A114" i="2"/>
  <c r="U113" i="2"/>
  <c r="R113" i="2"/>
  <c r="S113" i="2" s="1"/>
  <c r="T113" i="2" s="1"/>
  <c r="A113" i="2"/>
  <c r="U112" i="2"/>
  <c r="R112" i="2"/>
  <c r="S112" i="2" s="1"/>
  <c r="T112" i="2" s="1"/>
  <c r="A112" i="2"/>
  <c r="U111" i="2"/>
  <c r="R111" i="2"/>
  <c r="S111" i="2" s="1"/>
  <c r="T111" i="2" s="1"/>
  <c r="A111" i="2"/>
  <c r="U110" i="2"/>
  <c r="R110" i="2"/>
  <c r="S110" i="2" s="1"/>
  <c r="T110" i="2" s="1"/>
  <c r="A110" i="2"/>
  <c r="U109" i="2"/>
  <c r="R109" i="2"/>
  <c r="S109" i="2" s="1"/>
  <c r="T109" i="2" s="1"/>
  <c r="A109" i="2"/>
  <c r="U108" i="2"/>
  <c r="R108" i="2"/>
  <c r="S108" i="2" s="1"/>
  <c r="T108" i="2" s="1"/>
  <c r="A108" i="2"/>
  <c r="U107" i="2"/>
  <c r="R107" i="2"/>
  <c r="S107" i="2" s="1"/>
  <c r="T107" i="2" s="1"/>
  <c r="A107" i="2"/>
  <c r="U106" i="2"/>
  <c r="R106" i="2"/>
  <c r="S106" i="2" s="1"/>
  <c r="T106" i="2" s="1"/>
  <c r="A106" i="2"/>
  <c r="U105" i="2"/>
  <c r="R105" i="2"/>
  <c r="S105" i="2" s="1"/>
  <c r="T105" i="2" s="1"/>
  <c r="A105" i="2"/>
  <c r="U104" i="2"/>
  <c r="R104" i="2"/>
  <c r="S104" i="2" s="1"/>
  <c r="T104" i="2" s="1"/>
  <c r="A104" i="2"/>
  <c r="U103" i="2"/>
  <c r="R103" i="2"/>
  <c r="S103" i="2" s="1"/>
  <c r="T103" i="2" s="1"/>
  <c r="A103" i="2"/>
  <c r="U102" i="2"/>
  <c r="R102" i="2"/>
  <c r="S102" i="2" s="1"/>
  <c r="T102" i="2" s="1"/>
  <c r="A102" i="2"/>
  <c r="U101" i="2"/>
  <c r="R101" i="2"/>
  <c r="S101" i="2" s="1"/>
  <c r="T101" i="2" s="1"/>
  <c r="A101" i="2"/>
  <c r="U100" i="2"/>
  <c r="R100" i="2"/>
  <c r="S100" i="2" s="1"/>
  <c r="T100" i="2" s="1"/>
  <c r="A100" i="2"/>
  <c r="U99" i="2"/>
  <c r="R99" i="2"/>
  <c r="S99" i="2" s="1"/>
  <c r="T99" i="2" s="1"/>
  <c r="A99" i="2"/>
  <c r="U98" i="2"/>
  <c r="R98" i="2"/>
  <c r="S98" i="2" s="1"/>
  <c r="T98" i="2" s="1"/>
  <c r="A98" i="2"/>
  <c r="U97" i="2"/>
  <c r="R97" i="2"/>
  <c r="S97" i="2" s="1"/>
  <c r="T97" i="2" s="1"/>
  <c r="A97" i="2"/>
  <c r="U96" i="2"/>
  <c r="R96" i="2"/>
  <c r="S96" i="2" s="1"/>
  <c r="T96" i="2" s="1"/>
  <c r="A96" i="2"/>
  <c r="U95" i="2"/>
  <c r="R95" i="2"/>
  <c r="S95" i="2" s="1"/>
  <c r="T95" i="2" s="1"/>
  <c r="A95" i="2"/>
  <c r="U94" i="2"/>
  <c r="R94" i="2"/>
  <c r="S94" i="2" s="1"/>
  <c r="T94" i="2" s="1"/>
  <c r="A94" i="2"/>
  <c r="U93" i="2"/>
  <c r="R93" i="2"/>
  <c r="S93" i="2" s="1"/>
  <c r="T93" i="2" s="1"/>
  <c r="A93" i="2"/>
  <c r="U92" i="2"/>
  <c r="R92" i="2"/>
  <c r="S92" i="2" s="1"/>
  <c r="T92" i="2" s="1"/>
  <c r="A92" i="2"/>
  <c r="U91" i="2"/>
  <c r="R91" i="2"/>
  <c r="S91" i="2" s="1"/>
  <c r="T91" i="2" s="1"/>
  <c r="A91" i="2"/>
  <c r="U90" i="2"/>
  <c r="R90" i="2"/>
  <c r="S90" i="2" s="1"/>
  <c r="T90" i="2" s="1"/>
  <c r="A90" i="2"/>
  <c r="U89" i="2"/>
  <c r="R89" i="2"/>
  <c r="S89" i="2" s="1"/>
  <c r="T89" i="2" s="1"/>
  <c r="A89" i="2"/>
  <c r="U88" i="2"/>
  <c r="R88" i="2"/>
  <c r="S88" i="2" s="1"/>
  <c r="T88" i="2" s="1"/>
  <c r="A88" i="2"/>
  <c r="U87" i="2"/>
  <c r="R87" i="2"/>
  <c r="S87" i="2" s="1"/>
  <c r="T87" i="2" s="1"/>
  <c r="A87" i="2"/>
  <c r="U86" i="2"/>
  <c r="R86" i="2"/>
  <c r="S86" i="2" s="1"/>
  <c r="T86" i="2" s="1"/>
  <c r="A86" i="2"/>
  <c r="U85" i="2"/>
  <c r="R85" i="2"/>
  <c r="S85" i="2" s="1"/>
  <c r="T85" i="2" s="1"/>
  <c r="A85" i="2"/>
  <c r="U84" i="2"/>
  <c r="R84" i="2"/>
  <c r="S84" i="2" s="1"/>
  <c r="T84" i="2" s="1"/>
  <c r="A84" i="2"/>
  <c r="U83" i="2"/>
  <c r="R83" i="2"/>
  <c r="S83" i="2" s="1"/>
  <c r="T83" i="2" s="1"/>
  <c r="A83" i="2"/>
  <c r="U82" i="2"/>
  <c r="R82" i="2"/>
  <c r="S82" i="2" s="1"/>
  <c r="T82" i="2" s="1"/>
  <c r="A82" i="2"/>
  <c r="U81" i="2"/>
  <c r="R81" i="2"/>
  <c r="S81" i="2" s="1"/>
  <c r="T81" i="2" s="1"/>
  <c r="A81" i="2"/>
  <c r="U80" i="2"/>
  <c r="R80" i="2"/>
  <c r="S80" i="2" s="1"/>
  <c r="T80" i="2" s="1"/>
  <c r="A80" i="2"/>
  <c r="U79" i="2"/>
  <c r="R79" i="2"/>
  <c r="S79" i="2" s="1"/>
  <c r="T79" i="2" s="1"/>
  <c r="A79" i="2"/>
  <c r="U78" i="2"/>
  <c r="R78" i="2"/>
  <c r="S78" i="2" s="1"/>
  <c r="T78" i="2" s="1"/>
  <c r="A78" i="2"/>
  <c r="U77" i="2"/>
  <c r="R77" i="2"/>
  <c r="S77" i="2" s="1"/>
  <c r="T77" i="2" s="1"/>
  <c r="A77" i="2"/>
  <c r="U76" i="2"/>
  <c r="R76" i="2"/>
  <c r="S76" i="2" s="1"/>
  <c r="T76" i="2" s="1"/>
  <c r="A76" i="2"/>
  <c r="U75" i="2"/>
  <c r="R75" i="2"/>
  <c r="S75" i="2" s="1"/>
  <c r="T75" i="2" s="1"/>
  <c r="A75" i="2"/>
  <c r="U74" i="2"/>
  <c r="R74" i="2"/>
  <c r="S74" i="2" s="1"/>
  <c r="T74" i="2" s="1"/>
  <c r="A74" i="2"/>
  <c r="U73" i="2"/>
  <c r="R73" i="2"/>
  <c r="S73" i="2" s="1"/>
  <c r="T73" i="2" s="1"/>
  <c r="A73" i="2"/>
  <c r="U72" i="2"/>
  <c r="R72" i="2"/>
  <c r="S72" i="2" s="1"/>
  <c r="T72" i="2" s="1"/>
  <c r="A72" i="2"/>
  <c r="U71" i="2"/>
  <c r="R71" i="2"/>
  <c r="S71" i="2" s="1"/>
  <c r="T71" i="2" s="1"/>
  <c r="A71" i="2"/>
  <c r="U70" i="2"/>
  <c r="R70" i="2"/>
  <c r="S70" i="2" s="1"/>
  <c r="T70" i="2" s="1"/>
  <c r="A70" i="2"/>
  <c r="U69" i="2"/>
  <c r="R69" i="2"/>
  <c r="S69" i="2" s="1"/>
  <c r="T69" i="2" s="1"/>
  <c r="A69" i="2"/>
  <c r="U68" i="2"/>
  <c r="R68" i="2"/>
  <c r="S68" i="2" s="1"/>
  <c r="T68" i="2" s="1"/>
  <c r="A68" i="2"/>
  <c r="U67" i="2"/>
  <c r="R67" i="2"/>
  <c r="S67" i="2" s="1"/>
  <c r="T67" i="2" s="1"/>
  <c r="A67" i="2"/>
  <c r="U66" i="2"/>
  <c r="R66" i="2"/>
  <c r="S66" i="2" s="1"/>
  <c r="T66" i="2" s="1"/>
  <c r="A66" i="2"/>
  <c r="U65" i="2"/>
  <c r="R65" i="2"/>
  <c r="S65" i="2" s="1"/>
  <c r="T65" i="2" s="1"/>
  <c r="A65" i="2"/>
  <c r="U64" i="2"/>
  <c r="R64" i="2"/>
  <c r="S64" i="2" s="1"/>
  <c r="T64" i="2" s="1"/>
  <c r="A64" i="2"/>
  <c r="U63" i="2"/>
  <c r="R63" i="2"/>
  <c r="S63" i="2" s="1"/>
  <c r="T63" i="2" s="1"/>
  <c r="A63" i="2"/>
  <c r="U62" i="2"/>
  <c r="R62" i="2"/>
  <c r="S62" i="2" s="1"/>
  <c r="T62" i="2" s="1"/>
  <c r="A62" i="2"/>
  <c r="U61" i="2"/>
  <c r="R61" i="2"/>
  <c r="S61" i="2" s="1"/>
  <c r="T61" i="2" s="1"/>
  <c r="A61" i="2"/>
  <c r="U60" i="2"/>
  <c r="R60" i="2"/>
  <c r="S60" i="2" s="1"/>
  <c r="T60" i="2" s="1"/>
  <c r="A60" i="2"/>
  <c r="U59" i="2"/>
  <c r="R59" i="2"/>
  <c r="S59" i="2" s="1"/>
  <c r="T59" i="2" s="1"/>
  <c r="A59" i="2"/>
  <c r="U58" i="2"/>
  <c r="R58" i="2"/>
  <c r="S58" i="2" s="1"/>
  <c r="T58" i="2" s="1"/>
  <c r="A58" i="2"/>
  <c r="U57" i="2"/>
  <c r="R57" i="2"/>
  <c r="S57" i="2" s="1"/>
  <c r="T57" i="2" s="1"/>
  <c r="A57" i="2"/>
  <c r="U56" i="2"/>
  <c r="R56" i="2"/>
  <c r="S56" i="2" s="1"/>
  <c r="T56" i="2" s="1"/>
  <c r="A56" i="2"/>
  <c r="U55" i="2"/>
  <c r="R55" i="2"/>
  <c r="S55" i="2" s="1"/>
  <c r="T55" i="2" s="1"/>
  <c r="A55" i="2"/>
  <c r="U54" i="2"/>
  <c r="R54" i="2"/>
  <c r="S54" i="2" s="1"/>
  <c r="T54" i="2" s="1"/>
  <c r="A54" i="2"/>
  <c r="U53" i="2"/>
  <c r="R53" i="2"/>
  <c r="S53" i="2" s="1"/>
  <c r="T53" i="2" s="1"/>
  <c r="A53" i="2"/>
  <c r="U52" i="2"/>
  <c r="R52" i="2"/>
  <c r="S52" i="2" s="1"/>
  <c r="T52" i="2" s="1"/>
  <c r="A52" i="2"/>
  <c r="U51" i="2"/>
  <c r="R51" i="2"/>
  <c r="S51" i="2" s="1"/>
  <c r="T51" i="2" s="1"/>
  <c r="A51" i="2"/>
  <c r="U50" i="2"/>
  <c r="R50" i="2"/>
  <c r="S50" i="2" s="1"/>
  <c r="T50" i="2" s="1"/>
  <c r="A50" i="2"/>
  <c r="U49" i="2"/>
  <c r="R49" i="2"/>
  <c r="S49" i="2" s="1"/>
  <c r="T49" i="2" s="1"/>
  <c r="A49" i="2"/>
  <c r="U48" i="2"/>
  <c r="R48" i="2"/>
  <c r="S48" i="2" s="1"/>
  <c r="T48" i="2" s="1"/>
  <c r="A48" i="2"/>
  <c r="U47" i="2"/>
  <c r="R47" i="2"/>
  <c r="S47" i="2" s="1"/>
  <c r="T47" i="2" s="1"/>
  <c r="A47" i="2"/>
  <c r="U46" i="2"/>
  <c r="R46" i="2"/>
  <c r="S46" i="2" s="1"/>
  <c r="T46" i="2" s="1"/>
  <c r="A46" i="2"/>
  <c r="U45" i="2"/>
  <c r="R45" i="2"/>
  <c r="S45" i="2" s="1"/>
  <c r="T45" i="2" s="1"/>
  <c r="A45" i="2"/>
  <c r="U44" i="2"/>
  <c r="R44" i="2"/>
  <c r="S44" i="2" s="1"/>
  <c r="T44" i="2" s="1"/>
  <c r="A44" i="2"/>
  <c r="U43" i="2"/>
  <c r="R43" i="2"/>
  <c r="S43" i="2" s="1"/>
  <c r="T43" i="2" s="1"/>
  <c r="A43" i="2"/>
  <c r="U42" i="2"/>
  <c r="R42" i="2"/>
  <c r="S42" i="2" s="1"/>
  <c r="T42" i="2" s="1"/>
  <c r="A42" i="2"/>
  <c r="U41" i="2"/>
  <c r="R41" i="2"/>
  <c r="S41" i="2" s="1"/>
  <c r="T41" i="2" s="1"/>
  <c r="A41" i="2"/>
  <c r="U40" i="2"/>
  <c r="R40" i="2"/>
  <c r="S40" i="2" s="1"/>
  <c r="T40" i="2" s="1"/>
  <c r="A40" i="2"/>
  <c r="U39" i="2"/>
  <c r="R39" i="2"/>
  <c r="S39" i="2" s="1"/>
  <c r="T39" i="2" s="1"/>
  <c r="A39" i="2"/>
  <c r="U38" i="2"/>
  <c r="R38" i="2"/>
  <c r="S38" i="2" s="1"/>
  <c r="T38" i="2" s="1"/>
  <c r="A38" i="2"/>
  <c r="U37" i="2"/>
  <c r="R37" i="2"/>
  <c r="S37" i="2" s="1"/>
  <c r="T37" i="2" s="1"/>
  <c r="A37" i="2"/>
  <c r="U36" i="2"/>
  <c r="R36" i="2"/>
  <c r="S36" i="2" s="1"/>
  <c r="T36" i="2" s="1"/>
  <c r="A36" i="2"/>
  <c r="U35" i="2"/>
  <c r="R35" i="2"/>
  <c r="S35" i="2" s="1"/>
  <c r="T35" i="2" s="1"/>
  <c r="A35" i="2"/>
  <c r="U34" i="2"/>
  <c r="R34" i="2"/>
  <c r="S34" i="2" s="1"/>
  <c r="T34" i="2" s="1"/>
  <c r="A34" i="2"/>
  <c r="U33" i="2"/>
  <c r="R33" i="2"/>
  <c r="S33" i="2" s="1"/>
  <c r="T33" i="2" s="1"/>
  <c r="A33" i="2"/>
  <c r="U32" i="2"/>
  <c r="R32" i="2"/>
  <c r="S32" i="2" s="1"/>
  <c r="T32" i="2" s="1"/>
  <c r="A32" i="2"/>
  <c r="U31" i="2"/>
  <c r="R31" i="2"/>
  <c r="S31" i="2" s="1"/>
  <c r="T31" i="2" s="1"/>
  <c r="A31" i="2"/>
  <c r="U30" i="2"/>
  <c r="R30" i="2"/>
  <c r="S30" i="2" s="1"/>
  <c r="T30" i="2" s="1"/>
  <c r="A30" i="2"/>
  <c r="U29" i="2"/>
  <c r="R29" i="2"/>
  <c r="S29" i="2" s="1"/>
  <c r="T29" i="2" s="1"/>
  <c r="A29" i="2"/>
  <c r="U28" i="2"/>
  <c r="R28" i="2"/>
  <c r="S28" i="2" s="1"/>
  <c r="T28" i="2" s="1"/>
  <c r="A28" i="2"/>
  <c r="U27" i="2"/>
  <c r="R27" i="2"/>
  <c r="S27" i="2" s="1"/>
  <c r="T27" i="2" s="1"/>
  <c r="A27" i="2"/>
  <c r="U26" i="2"/>
  <c r="R26" i="2"/>
  <c r="S26" i="2" s="1"/>
  <c r="T26" i="2" s="1"/>
  <c r="A26" i="2"/>
  <c r="U25" i="2"/>
  <c r="R25" i="2"/>
  <c r="S25" i="2" s="1"/>
  <c r="T25" i="2" s="1"/>
  <c r="A25" i="2"/>
  <c r="U24" i="2"/>
  <c r="R24" i="2"/>
  <c r="S24" i="2" s="1"/>
  <c r="T24" i="2" s="1"/>
  <c r="A24" i="2"/>
  <c r="U23" i="2"/>
  <c r="R23" i="2"/>
  <c r="S23" i="2" s="1"/>
  <c r="T23" i="2" s="1"/>
  <c r="A23" i="2"/>
  <c r="U22" i="2"/>
  <c r="R22" i="2"/>
  <c r="S22" i="2" s="1"/>
  <c r="T22" i="2" s="1"/>
  <c r="A22" i="2"/>
  <c r="U21" i="2"/>
  <c r="R21" i="2"/>
  <c r="S21" i="2" s="1"/>
  <c r="T21" i="2" s="1"/>
  <c r="A21" i="2"/>
  <c r="U20" i="2"/>
  <c r="R20" i="2"/>
  <c r="S20" i="2" s="1"/>
  <c r="T20" i="2" s="1"/>
  <c r="A20" i="2"/>
  <c r="U19" i="2"/>
  <c r="R19" i="2"/>
  <c r="S19" i="2" s="1"/>
  <c r="T19" i="2" s="1"/>
  <c r="A19" i="2"/>
  <c r="U18" i="2"/>
  <c r="R18" i="2"/>
  <c r="S18" i="2" s="1"/>
  <c r="T18" i="2" s="1"/>
  <c r="A18" i="2"/>
  <c r="U17" i="2"/>
  <c r="R17" i="2"/>
  <c r="S17" i="2" s="1"/>
  <c r="T17" i="2" s="1"/>
  <c r="A17" i="2"/>
  <c r="U16" i="2"/>
  <c r="R16" i="2"/>
  <c r="S16" i="2" s="1"/>
  <c r="T16" i="2" s="1"/>
  <c r="A16" i="2"/>
  <c r="U15" i="2"/>
  <c r="R15" i="2"/>
  <c r="S15" i="2" s="1"/>
  <c r="T15" i="2" s="1"/>
  <c r="A15" i="2"/>
  <c r="U14" i="2"/>
  <c r="R14" i="2"/>
  <c r="S14" i="2" s="1"/>
  <c r="T14" i="2" s="1"/>
  <c r="A14" i="2"/>
  <c r="U13" i="2"/>
  <c r="R13" i="2"/>
  <c r="S13" i="2" s="1"/>
  <c r="T13" i="2" s="1"/>
  <c r="A13" i="2"/>
  <c r="U12" i="2"/>
  <c r="R12" i="2"/>
  <c r="S12" i="2" s="1"/>
  <c r="T12" i="2" s="1"/>
  <c r="A12" i="2"/>
  <c r="U11" i="2"/>
  <c r="R11" i="2"/>
  <c r="S11" i="2" s="1"/>
  <c r="T11" i="2" s="1"/>
  <c r="A11" i="2"/>
  <c r="U10" i="2"/>
  <c r="R10" i="2"/>
  <c r="S10" i="2" s="1"/>
  <c r="T10" i="2" s="1"/>
  <c r="A10" i="2"/>
  <c r="U9" i="2"/>
  <c r="R9" i="2"/>
  <c r="S9" i="2" s="1"/>
  <c r="T9" i="2" s="1"/>
  <c r="A9" i="2"/>
  <c r="U8" i="2"/>
  <c r="R8" i="2"/>
  <c r="S8" i="2" s="1"/>
  <c r="T8" i="2" s="1"/>
  <c r="A8" i="2"/>
  <c r="U7" i="2"/>
  <c r="R7" i="2"/>
  <c r="S7" i="2" s="1"/>
  <c r="T7" i="2" s="1"/>
  <c r="A7" i="2"/>
  <c r="U6" i="2"/>
  <c r="R6" i="2"/>
  <c r="S6" i="2" s="1"/>
  <c r="T6" i="2" s="1"/>
  <c r="A6" i="2"/>
  <c r="U5" i="2"/>
  <c r="R5" i="2"/>
  <c r="S5" i="2" s="1"/>
  <c r="T5" i="2" s="1"/>
  <c r="A5" i="2"/>
  <c r="E62" i="9" l="1"/>
  <c r="D62" i="9"/>
  <c r="C62" i="9"/>
  <c r="B62" i="9"/>
  <c r="E61" i="9"/>
  <c r="D61" i="9"/>
  <c r="C61" i="9"/>
  <c r="B61" i="9"/>
  <c r="E60" i="9"/>
  <c r="D60" i="9"/>
  <c r="C60" i="9"/>
  <c r="B60" i="9"/>
  <c r="E59" i="9"/>
  <c r="D59" i="9"/>
  <c r="C59" i="9"/>
  <c r="B59" i="9"/>
  <c r="E58" i="9"/>
  <c r="D58" i="9"/>
  <c r="C58" i="9"/>
  <c r="B58" i="9"/>
  <c r="E57" i="9"/>
  <c r="D57" i="9"/>
  <c r="C57" i="9"/>
  <c r="B57" i="9"/>
  <c r="E56" i="9"/>
  <c r="D56" i="9"/>
  <c r="C56" i="9"/>
  <c r="B56" i="9"/>
  <c r="E55" i="9"/>
  <c r="D55" i="9"/>
  <c r="C55" i="9"/>
  <c r="B55" i="9"/>
  <c r="E54" i="9"/>
  <c r="D54" i="9"/>
  <c r="C54" i="9"/>
  <c r="B54" i="9"/>
  <c r="E53" i="9"/>
  <c r="D53" i="9"/>
  <c r="C53" i="9"/>
  <c r="B53" i="9"/>
  <c r="E52" i="9"/>
  <c r="D52" i="9"/>
  <c r="C52" i="9"/>
  <c r="B52" i="9"/>
  <c r="E51" i="9"/>
  <c r="D51" i="9"/>
  <c r="C51" i="9"/>
  <c r="B51" i="9"/>
  <c r="E50" i="9"/>
  <c r="D50" i="9"/>
  <c r="C50" i="9"/>
  <c r="B50" i="9"/>
  <c r="E49" i="9"/>
  <c r="D49" i="9"/>
  <c r="C49" i="9"/>
  <c r="B49" i="9"/>
  <c r="E48" i="9"/>
  <c r="D48" i="9"/>
  <c r="C48" i="9"/>
  <c r="B48" i="9"/>
  <c r="E47" i="9"/>
  <c r="D47" i="9"/>
  <c r="C47" i="9"/>
  <c r="B47" i="9"/>
  <c r="D46" i="9"/>
  <c r="C46" i="9"/>
  <c r="B46" i="9"/>
  <c r="D45" i="9"/>
  <c r="C45" i="9"/>
  <c r="B45" i="9"/>
  <c r="D44" i="9"/>
  <c r="C44" i="9"/>
  <c r="B44" i="9"/>
  <c r="D43" i="9"/>
  <c r="C43" i="9"/>
  <c r="B43" i="9"/>
  <c r="D38" i="9"/>
  <c r="D17" i="9"/>
  <c r="D15" i="9"/>
  <c r="D37" i="9"/>
  <c r="D14" i="9"/>
  <c r="D16" i="9" s="1"/>
  <c r="D13" i="9"/>
  <c r="D36" i="9"/>
  <c r="D12" i="9"/>
  <c r="D11" i="9"/>
  <c r="D35" i="9"/>
  <c r="D10" i="9"/>
  <c r="D9" i="9"/>
  <c r="D34" i="9"/>
  <c r="D8" i="9"/>
  <c r="D7" i="9"/>
  <c r="D32" i="9"/>
  <c r="D31" i="9"/>
  <c r="D30" i="9"/>
  <c r="D29" i="9"/>
  <c r="D28" i="9"/>
  <c r="D27" i="9"/>
  <c r="D26" i="9"/>
  <c r="D25" i="9"/>
  <c r="D22" i="9"/>
  <c r="D20" i="9"/>
  <c r="D18" i="9"/>
  <c r="C13" i="9"/>
  <c r="C37" i="9"/>
  <c r="C17" i="9"/>
  <c r="C36" i="9"/>
  <c r="C27" i="9"/>
  <c r="C35" i="9"/>
  <c r="C31" i="9"/>
  <c r="C34" i="9"/>
  <c r="C38" i="9" s="1"/>
  <c r="C15" i="9"/>
  <c r="C30" i="9"/>
  <c r="C25" i="9"/>
  <c r="C11" i="9"/>
  <c r="C28" i="9"/>
  <c r="C22" i="9"/>
  <c r="C14" i="9"/>
  <c r="C16" i="9" s="1"/>
  <c r="C32" i="9"/>
  <c r="C20" i="9"/>
  <c r="C12" i="9"/>
  <c r="C29" i="9"/>
  <c r="C18" i="9"/>
  <c r="C10" i="9"/>
  <c r="C9" i="9"/>
  <c r="C26" i="9"/>
  <c r="C8" i="9"/>
  <c r="C7" i="9"/>
  <c r="B34" i="9"/>
  <c r="B25" i="9"/>
  <c r="E25" i="9" s="1"/>
  <c r="B30" i="9"/>
  <c r="E30" i="9" s="1"/>
  <c r="B22" i="9"/>
  <c r="B20" i="9"/>
  <c r="E20" i="9" s="1"/>
  <c r="B18" i="9"/>
  <c r="E18" i="9" s="1"/>
  <c r="B29" i="9"/>
  <c r="E29" i="9" s="1"/>
  <c r="B15" i="9"/>
  <c r="B14" i="9"/>
  <c r="B28" i="9"/>
  <c r="B13" i="9"/>
  <c r="B31" i="9"/>
  <c r="B12" i="9"/>
  <c r="B11" i="9"/>
  <c r="B27" i="9"/>
  <c r="B10" i="9"/>
  <c r="B32" i="9"/>
  <c r="B9" i="9"/>
  <c r="B37" i="9"/>
  <c r="B36" i="9"/>
  <c r="B8" i="9"/>
  <c r="B26" i="9"/>
  <c r="B7" i="9"/>
  <c r="E29" i="8"/>
  <c r="E23" i="8"/>
  <c r="E14" i="8"/>
  <c r="E28" i="8"/>
  <c r="E6" i="8"/>
  <c r="E37" i="8"/>
  <c r="E22" i="8"/>
  <c r="E18" i="8"/>
  <c r="E27" i="8"/>
  <c r="E36" i="8"/>
  <c r="E7" i="8"/>
  <c r="E8" i="8"/>
  <c r="E21" i="8"/>
  <c r="E35" i="8"/>
  <c r="E26" i="8"/>
  <c r="E17" i="8"/>
  <c r="E9" i="8"/>
  <c r="E34" i="8"/>
  <c r="E10" i="8"/>
  <c r="E25" i="8"/>
  <c r="E20" i="8"/>
  <c r="E31" i="8"/>
  <c r="E15" i="8"/>
  <c r="E11" i="8"/>
  <c r="E13" i="8" s="1"/>
  <c r="E24" i="8"/>
  <c r="E30" i="8"/>
  <c r="E12" i="8"/>
  <c r="E19" i="8"/>
  <c r="E16" i="8"/>
  <c r="D26" i="8"/>
  <c r="D12" i="8"/>
  <c r="D11" i="8"/>
  <c r="D13" i="8" s="1"/>
  <c r="D10" i="8"/>
  <c r="D9" i="8"/>
  <c r="D25" i="8" s="1"/>
  <c r="D24" i="8"/>
  <c r="D8" i="8"/>
  <c r="D7" i="8"/>
  <c r="D23" i="8"/>
  <c r="D6" i="8"/>
  <c r="D31" i="8"/>
  <c r="D22" i="8"/>
  <c r="D21" i="8"/>
  <c r="D30" i="8"/>
  <c r="D20" i="8"/>
  <c r="D19" i="8"/>
  <c r="D29" i="8"/>
  <c r="D18" i="8"/>
  <c r="D17" i="8"/>
  <c r="D28" i="8"/>
  <c r="D16" i="8"/>
  <c r="D15" i="8"/>
  <c r="D27" i="8"/>
  <c r="D14" i="8"/>
  <c r="C10" i="8"/>
  <c r="C19" i="8"/>
  <c r="C17" i="8"/>
  <c r="C22" i="8"/>
  <c r="C21" i="8"/>
  <c r="C31" i="8"/>
  <c r="C16" i="8"/>
  <c r="C30" i="8"/>
  <c r="C12" i="8"/>
  <c r="C29" i="8"/>
  <c r="C15" i="8"/>
  <c r="C28" i="8"/>
  <c r="C20" i="8"/>
  <c r="C27" i="8"/>
  <c r="C9" i="8"/>
  <c r="C26" i="8"/>
  <c r="C11" i="8"/>
  <c r="C13" i="8" s="1"/>
  <c r="C8" i="8"/>
  <c r="C24" i="8"/>
  <c r="C25" i="8" s="1"/>
  <c r="C7" i="8"/>
  <c r="C23" i="8"/>
  <c r="C18" i="8"/>
  <c r="C14" i="8"/>
  <c r="C6" i="8"/>
  <c r="B37" i="8"/>
  <c r="B36" i="8"/>
  <c r="B35" i="8"/>
  <c r="B34" i="8"/>
  <c r="B31" i="8"/>
  <c r="F31" i="8" s="1"/>
  <c r="B30" i="8"/>
  <c r="B28" i="8"/>
  <c r="F28" i="8" s="1"/>
  <c r="B27" i="8"/>
  <c r="F27" i="8" s="1"/>
  <c r="B24" i="8"/>
  <c r="B18" i="8"/>
  <c r="B20" i="8"/>
  <c r="B12" i="8"/>
  <c r="B16" i="8"/>
  <c r="B11" i="8"/>
  <c r="B13" i="8" s="1"/>
  <c r="B10" i="8"/>
  <c r="B17" i="8"/>
  <c r="B9" i="8"/>
  <c r="B25" i="8" s="1"/>
  <c r="B22" i="8"/>
  <c r="F22" i="8" s="1"/>
  <c r="B8" i="8"/>
  <c r="B15" i="8"/>
  <c r="B21" i="8"/>
  <c r="F21" i="8" s="1"/>
  <c r="B7" i="8"/>
  <c r="B23" i="8"/>
  <c r="B19" i="8"/>
  <c r="F19" i="8" s="1"/>
  <c r="B6" i="8"/>
  <c r="B65" i="9"/>
  <c r="B66" i="9"/>
  <c r="B67" i="9"/>
  <c r="I10" i="4"/>
  <c r="AC13" i="3"/>
  <c r="AG13" i="3" s="1"/>
  <c r="Z404" i="3"/>
  <c r="Y404" i="3"/>
  <c r="Z403" i="3"/>
  <c r="Y403" i="3"/>
  <c r="Y402" i="3"/>
  <c r="Z402" i="3"/>
  <c r="Y401" i="3"/>
  <c r="Z401" i="3"/>
  <c r="Y400" i="3"/>
  <c r="Z400" i="3"/>
  <c r="Z399" i="3"/>
  <c r="Y399" i="3"/>
  <c r="Z398" i="3"/>
  <c r="Y398" i="3"/>
  <c r="Z397" i="3"/>
  <c r="Y397" i="3"/>
  <c r="Z396" i="3"/>
  <c r="Y396" i="3"/>
  <c r="Z395" i="3"/>
  <c r="Y395" i="3"/>
  <c r="Z394" i="3"/>
  <c r="Y394" i="3"/>
  <c r="Z393" i="3"/>
  <c r="Y393" i="3"/>
  <c r="Y392" i="3"/>
  <c r="Z392" i="3"/>
  <c r="Y391" i="3"/>
  <c r="Z391" i="3"/>
  <c r="Z390" i="3"/>
  <c r="Y390" i="3"/>
  <c r="Z389" i="3"/>
  <c r="Y389" i="3"/>
  <c r="Z388" i="3"/>
  <c r="Y388" i="3"/>
  <c r="Z387" i="3"/>
  <c r="Y387" i="3"/>
  <c r="Z386" i="3"/>
  <c r="Y386" i="3"/>
  <c r="Y385" i="3"/>
  <c r="Z385" i="3"/>
  <c r="Y384" i="3"/>
  <c r="Z384" i="3"/>
  <c r="Y383" i="3"/>
  <c r="Z383" i="3"/>
  <c r="Y382" i="3"/>
  <c r="Z382" i="3"/>
  <c r="Y381" i="3"/>
  <c r="Z381" i="3"/>
  <c r="Y380" i="3"/>
  <c r="Z380" i="3"/>
  <c r="Z379" i="3"/>
  <c r="Y379" i="3"/>
  <c r="Y378" i="3"/>
  <c r="Z378" i="3"/>
  <c r="Z377" i="3"/>
  <c r="Y377" i="3"/>
  <c r="Y376" i="3"/>
  <c r="Z376" i="3"/>
  <c r="Y375" i="3"/>
  <c r="Z375" i="3"/>
  <c r="Y374" i="3"/>
  <c r="Z374" i="3"/>
  <c r="Z373" i="3"/>
  <c r="Y373" i="3"/>
  <c r="Y372" i="3"/>
  <c r="Z372" i="3"/>
  <c r="Y371" i="3"/>
  <c r="Z371" i="3"/>
  <c r="Y370" i="3"/>
  <c r="Z370" i="3"/>
  <c r="Y369" i="3"/>
  <c r="Z369" i="3"/>
  <c r="Y368" i="3"/>
  <c r="Z368" i="3"/>
  <c r="Y367" i="3"/>
  <c r="Z367" i="3"/>
  <c r="Y366" i="3"/>
  <c r="Z366" i="3"/>
  <c r="Y365" i="3"/>
  <c r="Z365" i="3"/>
  <c r="Z364" i="3"/>
  <c r="Y364" i="3"/>
  <c r="Z363" i="3"/>
  <c r="Y363" i="3"/>
  <c r="Y362" i="3"/>
  <c r="Z362" i="3"/>
  <c r="Y361" i="3"/>
  <c r="Z361" i="3"/>
  <c r="Y360" i="3"/>
  <c r="Z360" i="3"/>
  <c r="Y359" i="3"/>
  <c r="Z359" i="3"/>
  <c r="Z358" i="3"/>
  <c r="Y358" i="3"/>
  <c r="Z357" i="3"/>
  <c r="Y357" i="3"/>
  <c r="Y356" i="3"/>
  <c r="Z356" i="3"/>
  <c r="Y355" i="3"/>
  <c r="Z355" i="3"/>
  <c r="Y354" i="3"/>
  <c r="Z354" i="3"/>
  <c r="Y353" i="3"/>
  <c r="Z353" i="3"/>
  <c r="Z352" i="3"/>
  <c r="Y352" i="3"/>
  <c r="Z351" i="3"/>
  <c r="Y351" i="3"/>
  <c r="Z350" i="3"/>
  <c r="Y350" i="3"/>
  <c r="Y349" i="3"/>
  <c r="Z349" i="3"/>
  <c r="Y348" i="3"/>
  <c r="Z348" i="3"/>
  <c r="Z347" i="3"/>
  <c r="Y347" i="3"/>
  <c r="Y346" i="3"/>
  <c r="Z346" i="3"/>
  <c r="Y345" i="3"/>
  <c r="Z345" i="3"/>
  <c r="Y344" i="3"/>
  <c r="Z344" i="3"/>
  <c r="Z343" i="3"/>
  <c r="Y343" i="3"/>
  <c r="Y342" i="3"/>
  <c r="Z342" i="3"/>
  <c r="Z341" i="3"/>
  <c r="Y341" i="3"/>
  <c r="Z340" i="3"/>
  <c r="Y340" i="3"/>
  <c r="Z339" i="3"/>
  <c r="Y339" i="3"/>
  <c r="Z338" i="3"/>
  <c r="Y338" i="3"/>
  <c r="Y337" i="3"/>
  <c r="Z337" i="3"/>
  <c r="Z336" i="3"/>
  <c r="Y336" i="3"/>
  <c r="Z335" i="3"/>
  <c r="Y335" i="3"/>
  <c r="Z334" i="3"/>
  <c r="Y334" i="3"/>
  <c r="Z333" i="3"/>
  <c r="Y333" i="3"/>
  <c r="Z332" i="3"/>
  <c r="Y332" i="3"/>
  <c r="Z331" i="3"/>
  <c r="Y331" i="3"/>
  <c r="Z330" i="3"/>
  <c r="Y330" i="3"/>
  <c r="Z329" i="3"/>
  <c r="Y329" i="3"/>
  <c r="Z328" i="3"/>
  <c r="Y328" i="3"/>
  <c r="Z327" i="3"/>
  <c r="Y327" i="3"/>
  <c r="Y326" i="3"/>
  <c r="Z326" i="3"/>
  <c r="Y325" i="3"/>
  <c r="Z325" i="3"/>
  <c r="Y324" i="3"/>
  <c r="Z324" i="3"/>
  <c r="Y323" i="3"/>
  <c r="Z323" i="3"/>
  <c r="Y322" i="3"/>
  <c r="Z322" i="3"/>
  <c r="Y321" i="3"/>
  <c r="Z321" i="3"/>
  <c r="Z320" i="3"/>
  <c r="Y320" i="3"/>
  <c r="Z319" i="3"/>
  <c r="Y319" i="3"/>
  <c r="Y318" i="3"/>
  <c r="Z318" i="3"/>
  <c r="Z317" i="3"/>
  <c r="Y317" i="3"/>
  <c r="Y316" i="3"/>
  <c r="Z316" i="3"/>
  <c r="Z315" i="3"/>
  <c r="Y315" i="3"/>
  <c r="Y314" i="3"/>
  <c r="Z314" i="3"/>
  <c r="Z313" i="3"/>
  <c r="Y313" i="3"/>
  <c r="Z312" i="3"/>
  <c r="Y312" i="3"/>
  <c r="Z311" i="3"/>
  <c r="Y311" i="3"/>
  <c r="Z310" i="3"/>
  <c r="Y310" i="3"/>
  <c r="Y309" i="3"/>
  <c r="Z309" i="3"/>
  <c r="Z308" i="3"/>
  <c r="Y308" i="3"/>
  <c r="Y307" i="3"/>
  <c r="Z307" i="3"/>
  <c r="Z306" i="3"/>
  <c r="Y306" i="3"/>
  <c r="Y305" i="3"/>
  <c r="Z305" i="3"/>
  <c r="Y304" i="3"/>
  <c r="Z304" i="3"/>
  <c r="Y303" i="3"/>
  <c r="Z303" i="3"/>
  <c r="Y302" i="3"/>
  <c r="Z302" i="3"/>
  <c r="Y301" i="3"/>
  <c r="Z301" i="3"/>
  <c r="Y300" i="3"/>
  <c r="Z300" i="3"/>
  <c r="Y299" i="3"/>
  <c r="Z299" i="3"/>
  <c r="Z298" i="3"/>
  <c r="Y298" i="3"/>
  <c r="Z297" i="3"/>
  <c r="Y297" i="3"/>
  <c r="Y296" i="3"/>
  <c r="Z296" i="3"/>
  <c r="Z295" i="3"/>
  <c r="Y295" i="3"/>
  <c r="Y294" i="3"/>
  <c r="Z294" i="3"/>
  <c r="Z293" i="3"/>
  <c r="Y293" i="3"/>
  <c r="Z292" i="3"/>
  <c r="Y292" i="3"/>
  <c r="Z291" i="3"/>
  <c r="Y291" i="3"/>
  <c r="Z290" i="3"/>
  <c r="Y290" i="3"/>
  <c r="Z289" i="3"/>
  <c r="Y289" i="3"/>
  <c r="Y288" i="3"/>
  <c r="Z288" i="3"/>
  <c r="Y287" i="3"/>
  <c r="Z287" i="3"/>
  <c r="Z286" i="3"/>
  <c r="Y286" i="3"/>
  <c r="Z285" i="3"/>
  <c r="Y285" i="3"/>
  <c r="Z284" i="3"/>
  <c r="Y284" i="3"/>
  <c r="Z283" i="3"/>
  <c r="Y283" i="3"/>
  <c r="Y282" i="3"/>
  <c r="Z282" i="3"/>
  <c r="Y281" i="3"/>
  <c r="Z281" i="3"/>
  <c r="Z280" i="3"/>
  <c r="Y280" i="3"/>
  <c r="Y279" i="3"/>
  <c r="Z279" i="3"/>
  <c r="Z278" i="3"/>
  <c r="Y278" i="3"/>
  <c r="Z277" i="3"/>
  <c r="Y277" i="3"/>
  <c r="Y276" i="3"/>
  <c r="Z276" i="3"/>
  <c r="Z275" i="3"/>
  <c r="Y275" i="3"/>
  <c r="Z274" i="3"/>
  <c r="Y274" i="3"/>
  <c r="Z273" i="3"/>
  <c r="Y273" i="3"/>
  <c r="Y272" i="3"/>
  <c r="Z272" i="3"/>
  <c r="Y271" i="3"/>
  <c r="Z271" i="3"/>
  <c r="Y270" i="3"/>
  <c r="Z270" i="3"/>
  <c r="Y269" i="3"/>
  <c r="Z269" i="3"/>
  <c r="Y268" i="3"/>
  <c r="Z268" i="3"/>
  <c r="Y267" i="3"/>
  <c r="Z267" i="3"/>
  <c r="Z266" i="3"/>
  <c r="Y266" i="3"/>
  <c r="Y265" i="3"/>
  <c r="Z265" i="3"/>
  <c r="Y264" i="3"/>
  <c r="Z264" i="3"/>
  <c r="Y263" i="3"/>
  <c r="Z263" i="3"/>
  <c r="Y262" i="3"/>
  <c r="Z262" i="3"/>
  <c r="Z261" i="3"/>
  <c r="Y261" i="3"/>
  <c r="Z260" i="3"/>
  <c r="Y260" i="3"/>
  <c r="Z259" i="3"/>
  <c r="Y259" i="3"/>
  <c r="Z258" i="3"/>
  <c r="Y258" i="3"/>
  <c r="Z257" i="3"/>
  <c r="Y257" i="3"/>
  <c r="Z256" i="3"/>
  <c r="Y256" i="3"/>
  <c r="Z255" i="3"/>
  <c r="Y255" i="3"/>
  <c r="Z254" i="3"/>
  <c r="Y254" i="3"/>
  <c r="Z253" i="3"/>
  <c r="Y253" i="3"/>
  <c r="Z252" i="3"/>
  <c r="Y252" i="3"/>
  <c r="Z251" i="3"/>
  <c r="Y251" i="3"/>
  <c r="Y250" i="3"/>
  <c r="Z250" i="3"/>
  <c r="Z249" i="3"/>
  <c r="Y249" i="3"/>
  <c r="Z248" i="3"/>
  <c r="Y248" i="3"/>
  <c r="Z247" i="3"/>
  <c r="Y247" i="3"/>
  <c r="Z246" i="3"/>
  <c r="Y246" i="3"/>
  <c r="Z245" i="3"/>
  <c r="Y245" i="3"/>
  <c r="Z244" i="3"/>
  <c r="Y244" i="3"/>
  <c r="Z243" i="3"/>
  <c r="Y243" i="3"/>
  <c r="Y242" i="3"/>
  <c r="Z242" i="3"/>
  <c r="Z241" i="3"/>
  <c r="Y241" i="3"/>
  <c r="Y240" i="3"/>
  <c r="Z240" i="3"/>
  <c r="Z239" i="3"/>
  <c r="Y239" i="3"/>
  <c r="Z238" i="3"/>
  <c r="Y238" i="3"/>
  <c r="Z237" i="3"/>
  <c r="Y237" i="3"/>
  <c r="Z236" i="3"/>
  <c r="Y236" i="3"/>
  <c r="Z235" i="3"/>
  <c r="Y235" i="3"/>
  <c r="Z234" i="3"/>
  <c r="Y234" i="3"/>
  <c r="Y233" i="3"/>
  <c r="Z233" i="3"/>
  <c r="Z232" i="3"/>
  <c r="Y232" i="3"/>
  <c r="Z231" i="3"/>
  <c r="Y231" i="3"/>
  <c r="Z230" i="3"/>
  <c r="Y230" i="3"/>
  <c r="Y229" i="3"/>
  <c r="Z229" i="3"/>
  <c r="Y228" i="3"/>
  <c r="Z228" i="3"/>
  <c r="Y227" i="3"/>
  <c r="Z227" i="3"/>
  <c r="Y226" i="3"/>
  <c r="Z226" i="3"/>
  <c r="Z225" i="3"/>
  <c r="Y225" i="3"/>
  <c r="Z224" i="3"/>
  <c r="Y224" i="3"/>
  <c r="Z223" i="3"/>
  <c r="Y223" i="3"/>
  <c r="Y222" i="3"/>
  <c r="Z222" i="3"/>
  <c r="Z221" i="3"/>
  <c r="Y221" i="3"/>
  <c r="Y220" i="3"/>
  <c r="Z220" i="3"/>
  <c r="Z219" i="3"/>
  <c r="Y219" i="3"/>
  <c r="Y218" i="3"/>
  <c r="Z218" i="3"/>
  <c r="Y217" i="3"/>
  <c r="Z217" i="3"/>
  <c r="Y216" i="3"/>
  <c r="Z216" i="3"/>
  <c r="Y215" i="3"/>
  <c r="Z215" i="3"/>
  <c r="Z214" i="3"/>
  <c r="Y214" i="3"/>
  <c r="Y213" i="3"/>
  <c r="Z213" i="3"/>
  <c r="Y212" i="3"/>
  <c r="Z212" i="3"/>
  <c r="Z211" i="3"/>
  <c r="Y211" i="3"/>
  <c r="Z210" i="3"/>
  <c r="Y210" i="3"/>
  <c r="Y209" i="3"/>
  <c r="Z209" i="3"/>
  <c r="Z208" i="3"/>
  <c r="Y208" i="3"/>
  <c r="Z207" i="3"/>
  <c r="Y207" i="3"/>
  <c r="Z206" i="3"/>
  <c r="Y206" i="3"/>
  <c r="Z205" i="3"/>
  <c r="Y205" i="3"/>
  <c r="Z204" i="3"/>
  <c r="Y204" i="3"/>
  <c r="Z203" i="3"/>
  <c r="Y203" i="3"/>
  <c r="Z202" i="3"/>
  <c r="Y202" i="3"/>
  <c r="Z201" i="3"/>
  <c r="Y201" i="3"/>
  <c r="Y200" i="3"/>
  <c r="Z200" i="3"/>
  <c r="Z199" i="3"/>
  <c r="Y199" i="3"/>
  <c r="Z198" i="3"/>
  <c r="Y198" i="3"/>
  <c r="Y197" i="3"/>
  <c r="Z197" i="3"/>
  <c r="Z196" i="3"/>
  <c r="Y196" i="3"/>
  <c r="Z195" i="3"/>
  <c r="Y195" i="3"/>
  <c r="Y194" i="3"/>
  <c r="Z194" i="3"/>
  <c r="Y193" i="3"/>
  <c r="Z193" i="3"/>
  <c r="Y192" i="3"/>
  <c r="Z192" i="3"/>
  <c r="Z191" i="3"/>
  <c r="Y191" i="3"/>
  <c r="Z190" i="3"/>
  <c r="Y190" i="3"/>
  <c r="Z189" i="3"/>
  <c r="Y189" i="3"/>
  <c r="Y188" i="3"/>
  <c r="Z188" i="3"/>
  <c r="Z187" i="3"/>
  <c r="Y187" i="3"/>
  <c r="Y186" i="3"/>
  <c r="Z186" i="3"/>
  <c r="Y185" i="3"/>
  <c r="Z185" i="3"/>
  <c r="Z184" i="3"/>
  <c r="Y184" i="3"/>
  <c r="Y183" i="3"/>
  <c r="Z183" i="3"/>
  <c r="Z182" i="3"/>
  <c r="Y182" i="3"/>
  <c r="Y181" i="3"/>
  <c r="Z181" i="3"/>
  <c r="Y180" i="3"/>
  <c r="Z180" i="3"/>
  <c r="Z179" i="3"/>
  <c r="Y179" i="3"/>
  <c r="Z178" i="3"/>
  <c r="Y178" i="3"/>
  <c r="Z177" i="3"/>
  <c r="Y177" i="3"/>
  <c r="Z176" i="3"/>
  <c r="Y176" i="3"/>
  <c r="Z175" i="3"/>
  <c r="Y175" i="3"/>
  <c r="Z174" i="3"/>
  <c r="Y174" i="3"/>
  <c r="Z173" i="3"/>
  <c r="Y173" i="3"/>
  <c r="Y172" i="3"/>
  <c r="Z172" i="3"/>
  <c r="Z171" i="3"/>
  <c r="Y171" i="3"/>
  <c r="Z170" i="3"/>
  <c r="Y170" i="3"/>
  <c r="Z169" i="3"/>
  <c r="Y169" i="3"/>
  <c r="Z168" i="3"/>
  <c r="Y168" i="3"/>
  <c r="Z167" i="3"/>
  <c r="Y167" i="3"/>
  <c r="Y166" i="3"/>
  <c r="Z166" i="3"/>
  <c r="Z165" i="3"/>
  <c r="Y165" i="3"/>
  <c r="Y164" i="3"/>
  <c r="Z164" i="3"/>
  <c r="Z163" i="3"/>
  <c r="Y163" i="3"/>
  <c r="Z162" i="3"/>
  <c r="Y162" i="3"/>
  <c r="Z161" i="3"/>
  <c r="Y161" i="3"/>
  <c r="Z160" i="3"/>
  <c r="Y160" i="3"/>
  <c r="Y159" i="3"/>
  <c r="Z159" i="3"/>
  <c r="Y158" i="3"/>
  <c r="Z158" i="3"/>
  <c r="Y157" i="3"/>
  <c r="Z157" i="3"/>
  <c r="Y156" i="3"/>
  <c r="Z156" i="3"/>
  <c r="Y155" i="3"/>
  <c r="Z155" i="3"/>
  <c r="Z154" i="3"/>
  <c r="Y154" i="3"/>
  <c r="Z153" i="3"/>
  <c r="Y153" i="3"/>
  <c r="Z152" i="3"/>
  <c r="Y152" i="3"/>
  <c r="Y151" i="3"/>
  <c r="Z151" i="3"/>
  <c r="Z150" i="3"/>
  <c r="Y150" i="3"/>
  <c r="Y149" i="3"/>
  <c r="Z149" i="3"/>
  <c r="Y148" i="3"/>
  <c r="Z148" i="3"/>
  <c r="Y147" i="3"/>
  <c r="Z147" i="3"/>
  <c r="Y146" i="3"/>
  <c r="Z146" i="3"/>
  <c r="Z145" i="3"/>
  <c r="Y145" i="3"/>
  <c r="Y144" i="3"/>
  <c r="Z144" i="3"/>
  <c r="Y143" i="3"/>
  <c r="Z143" i="3"/>
  <c r="Z142" i="3"/>
  <c r="Y142" i="3"/>
  <c r="Y141" i="3"/>
  <c r="Z141" i="3"/>
  <c r="Z140" i="3"/>
  <c r="Y140" i="3"/>
  <c r="Y139" i="3"/>
  <c r="Z139" i="3"/>
  <c r="Y138" i="3"/>
  <c r="Z138" i="3"/>
  <c r="Z137" i="3"/>
  <c r="Y137" i="3"/>
  <c r="Z136" i="3"/>
  <c r="Y136" i="3"/>
  <c r="Y135" i="3"/>
  <c r="Z135" i="3"/>
  <c r="Z134" i="3"/>
  <c r="Y134" i="3"/>
  <c r="Y133" i="3"/>
  <c r="Z133" i="3"/>
  <c r="Z132" i="3"/>
  <c r="Y132" i="3"/>
  <c r="Z131" i="3"/>
  <c r="Y131" i="3"/>
  <c r="Z130" i="3"/>
  <c r="Y130" i="3"/>
  <c r="Y129" i="3"/>
  <c r="Z129" i="3"/>
  <c r="Z128" i="3"/>
  <c r="Y128" i="3"/>
  <c r="Z127" i="3"/>
  <c r="Y127" i="3"/>
  <c r="Z126" i="3"/>
  <c r="Y126" i="3"/>
  <c r="Y125" i="3"/>
  <c r="Z125" i="3"/>
  <c r="Z124" i="3"/>
  <c r="Y124" i="3"/>
  <c r="Z123" i="3"/>
  <c r="Y123" i="3"/>
  <c r="Z122" i="3"/>
  <c r="Y122" i="3"/>
  <c r="Y121" i="3"/>
  <c r="Z121" i="3"/>
  <c r="Z120" i="3"/>
  <c r="Y120" i="3"/>
  <c r="Z119" i="3"/>
  <c r="Y119" i="3"/>
  <c r="Z118" i="3"/>
  <c r="Y118" i="3"/>
  <c r="Y117" i="3"/>
  <c r="Z117" i="3"/>
  <c r="Z116" i="3"/>
  <c r="Y116" i="3"/>
  <c r="Z115" i="3"/>
  <c r="Y115" i="3"/>
  <c r="Z114" i="3"/>
  <c r="Y114" i="3"/>
  <c r="Z113" i="3"/>
  <c r="Y113" i="3"/>
  <c r="Z112" i="3"/>
  <c r="Y112" i="3"/>
  <c r="Z111" i="3"/>
  <c r="Y111" i="3"/>
  <c r="Z110" i="3"/>
  <c r="Y110" i="3"/>
  <c r="Z109" i="3"/>
  <c r="Y109" i="3"/>
  <c r="Z108" i="3"/>
  <c r="Y108" i="3"/>
  <c r="Z107" i="3"/>
  <c r="Y107" i="3"/>
  <c r="Z106" i="3"/>
  <c r="Y106" i="3"/>
  <c r="Z105" i="3"/>
  <c r="Y105" i="3"/>
  <c r="Z104" i="3"/>
  <c r="Y104" i="3"/>
  <c r="Z103" i="3"/>
  <c r="Y103" i="3"/>
  <c r="Z102" i="3"/>
  <c r="Y102" i="3"/>
  <c r="Z101" i="3"/>
  <c r="Y101" i="3"/>
  <c r="Z100" i="3"/>
  <c r="Y100" i="3"/>
  <c r="Y99" i="3"/>
  <c r="Z99" i="3"/>
  <c r="Z98" i="3"/>
  <c r="Y98" i="3"/>
  <c r="Z97" i="3"/>
  <c r="Y97" i="3"/>
  <c r="Z96" i="3"/>
  <c r="Y96" i="3"/>
  <c r="Z95" i="3"/>
  <c r="Y95" i="3"/>
  <c r="Z94" i="3"/>
  <c r="Y94" i="3"/>
  <c r="Y93" i="3"/>
  <c r="Z93" i="3"/>
  <c r="Z92" i="3"/>
  <c r="Y92" i="3"/>
  <c r="Y91" i="3"/>
  <c r="Z91" i="3"/>
  <c r="Z90" i="3"/>
  <c r="Y90" i="3"/>
  <c r="Z89" i="3"/>
  <c r="Y89" i="3"/>
  <c r="Z88" i="3"/>
  <c r="Y88" i="3"/>
  <c r="Z87" i="3"/>
  <c r="Y87" i="3"/>
  <c r="Z86" i="3"/>
  <c r="Y86" i="3"/>
  <c r="Y85" i="3"/>
  <c r="Z85" i="3"/>
  <c r="Z84" i="3"/>
  <c r="Y84" i="3"/>
  <c r="Z83" i="3"/>
  <c r="Y83" i="3"/>
  <c r="Z82" i="3"/>
  <c r="Y82" i="3"/>
  <c r="Y81" i="3"/>
  <c r="Z81" i="3"/>
  <c r="Z80" i="3"/>
  <c r="Y80" i="3"/>
  <c r="Z79" i="3"/>
  <c r="Y79" i="3"/>
  <c r="Y78" i="3"/>
  <c r="Z78" i="3"/>
  <c r="Z77" i="3"/>
  <c r="Y77" i="3"/>
  <c r="Z76" i="3"/>
  <c r="Y76" i="3"/>
  <c r="Z75" i="3"/>
  <c r="Y75" i="3"/>
  <c r="Z74" i="3"/>
  <c r="Y74" i="3"/>
  <c r="Z73" i="3"/>
  <c r="Y73" i="3"/>
  <c r="Z72" i="3"/>
  <c r="Y72" i="3"/>
  <c r="Z71" i="3"/>
  <c r="Y71" i="3"/>
  <c r="Z70" i="3"/>
  <c r="Y70" i="3"/>
  <c r="Z69" i="3"/>
  <c r="Y69" i="3"/>
  <c r="Z68" i="3"/>
  <c r="Y68" i="3"/>
  <c r="Z67" i="3"/>
  <c r="Y67" i="3"/>
  <c r="Z66" i="3"/>
  <c r="Y66" i="3"/>
  <c r="Z65" i="3"/>
  <c r="Y65" i="3"/>
  <c r="Z64" i="3"/>
  <c r="Y64" i="3"/>
  <c r="Z63" i="3"/>
  <c r="Y63" i="3"/>
  <c r="Z62" i="3"/>
  <c r="Y62" i="3"/>
  <c r="Z61" i="3"/>
  <c r="Y61" i="3"/>
  <c r="Z60" i="3"/>
  <c r="Y60" i="3"/>
  <c r="Z59" i="3"/>
  <c r="Y59" i="3"/>
  <c r="Z58" i="3"/>
  <c r="Y58" i="3"/>
  <c r="Z57" i="3"/>
  <c r="Y57" i="3"/>
  <c r="Z56" i="3"/>
  <c r="Y56" i="3"/>
  <c r="Z55" i="3"/>
  <c r="Y55" i="3"/>
  <c r="Z54" i="3"/>
  <c r="Y54" i="3"/>
  <c r="Z53" i="3"/>
  <c r="Y53" i="3"/>
  <c r="Z52" i="3"/>
  <c r="Y52" i="3"/>
  <c r="Z51" i="3"/>
  <c r="Y51" i="3"/>
  <c r="Z50" i="3"/>
  <c r="Y50" i="3"/>
  <c r="Z49" i="3"/>
  <c r="Y49" i="3"/>
  <c r="Z48" i="3"/>
  <c r="Y48" i="3"/>
  <c r="Z47" i="3"/>
  <c r="Y47" i="3"/>
  <c r="Z46" i="3"/>
  <c r="Y46" i="3"/>
  <c r="Z45" i="3"/>
  <c r="Y45" i="3"/>
  <c r="Z44" i="3"/>
  <c r="Y44" i="3"/>
  <c r="Z43" i="3"/>
  <c r="Y43" i="3"/>
  <c r="Z42" i="3"/>
  <c r="Y42" i="3"/>
  <c r="Z41" i="3"/>
  <c r="Y41" i="3"/>
  <c r="Z40" i="3"/>
  <c r="Y40" i="3"/>
  <c r="Z39" i="3"/>
  <c r="Y39" i="3"/>
  <c r="Z38" i="3"/>
  <c r="Y38" i="3"/>
  <c r="Z37" i="3"/>
  <c r="Y37" i="3"/>
  <c r="Z36" i="3"/>
  <c r="Y36" i="3"/>
  <c r="Z35" i="3"/>
  <c r="Y35" i="3"/>
  <c r="Y34" i="3"/>
  <c r="Z34" i="3"/>
  <c r="Y33" i="3"/>
  <c r="Z33" i="3"/>
  <c r="Z32" i="3"/>
  <c r="Y32" i="3"/>
  <c r="Y31" i="3"/>
  <c r="Z31" i="3"/>
  <c r="Y30" i="3"/>
  <c r="Z30" i="3"/>
  <c r="Z29" i="3"/>
  <c r="Y29" i="3"/>
  <c r="Y28" i="3"/>
  <c r="Z28" i="3"/>
  <c r="Y27" i="3"/>
  <c r="Z27" i="3"/>
  <c r="Y26" i="3"/>
  <c r="Z26" i="3"/>
  <c r="Z25" i="3"/>
  <c r="Y25" i="3"/>
  <c r="Y24" i="3"/>
  <c r="Z24" i="3"/>
  <c r="Z23" i="3"/>
  <c r="Y23" i="3"/>
  <c r="Z22" i="3"/>
  <c r="Y22" i="3"/>
  <c r="Z21" i="3"/>
  <c r="Y21" i="3"/>
  <c r="Z20" i="3"/>
  <c r="Y20" i="3"/>
  <c r="Y19" i="3"/>
  <c r="Z19" i="3"/>
  <c r="Z18" i="3"/>
  <c r="Y18" i="3"/>
  <c r="Z17" i="3"/>
  <c r="Y17" i="3"/>
  <c r="Z16" i="3"/>
  <c r="Y16" i="3"/>
  <c r="Z15" i="3"/>
  <c r="Y15" i="3"/>
  <c r="Y14" i="3"/>
  <c r="Z14" i="3"/>
  <c r="Z13" i="3"/>
  <c r="Y13" i="3"/>
  <c r="AI13" i="3"/>
  <c r="AJ13" i="3" s="1"/>
  <c r="AL13" i="3"/>
  <c r="Z12" i="3"/>
  <c r="Y12" i="3"/>
  <c r="AI12" i="3"/>
  <c r="AJ12" i="3" s="1"/>
  <c r="AL12" i="3"/>
  <c r="Y11" i="3"/>
  <c r="Z11" i="3"/>
  <c r="AL11" i="3"/>
  <c r="AI11" i="3"/>
  <c r="AJ11" i="3" s="1"/>
  <c r="AK11" i="3" s="1"/>
  <c r="Z10" i="3"/>
  <c r="Y10" i="3"/>
  <c r="AL10" i="3"/>
  <c r="AI10" i="3"/>
  <c r="AJ10" i="3" s="1"/>
  <c r="Z9" i="3"/>
  <c r="Y9" i="3"/>
  <c r="AL9" i="3"/>
  <c r="AI9" i="3"/>
  <c r="AJ9" i="3" s="1"/>
  <c r="AK9" i="3" s="1"/>
  <c r="Y8" i="3"/>
  <c r="Z8" i="3"/>
  <c r="AI8" i="3"/>
  <c r="AJ8" i="3" s="1"/>
  <c r="AK8" i="3" s="1"/>
  <c r="AL8" i="3"/>
  <c r="Y7" i="3"/>
  <c r="Z7" i="3"/>
  <c r="AI7" i="3"/>
  <c r="AJ7" i="3" s="1"/>
  <c r="AL7" i="3"/>
  <c r="Y6" i="3"/>
  <c r="Z6" i="3"/>
  <c r="AI6" i="3"/>
  <c r="AJ6" i="3" s="1"/>
  <c r="AL6" i="3"/>
  <c r="AO5" i="3"/>
  <c r="AP5" i="3" s="1"/>
  <c r="B35" i="9" s="1"/>
  <c r="E35" i="9" s="1"/>
  <c r="Y5" i="3"/>
  <c r="Z5" i="3"/>
  <c r="AI5" i="3"/>
  <c r="AJ5" i="3" s="1"/>
  <c r="AK5" i="3" s="1"/>
  <c r="AL5" i="3"/>
  <c r="AP9" i="3"/>
  <c r="D21" i="9" l="1"/>
  <c r="D23" i="9" s="1"/>
  <c r="D39" i="9"/>
  <c r="C21" i="9"/>
  <c r="C23" i="9" s="1"/>
  <c r="C39" i="9"/>
  <c r="E14" i="9"/>
  <c r="B16" i="9"/>
  <c r="E13" i="9"/>
  <c r="B21" i="9"/>
  <c r="B23" i="9" s="1"/>
  <c r="B39" i="9"/>
  <c r="E15" i="9"/>
  <c r="E28" i="9"/>
  <c r="E31" i="9"/>
  <c r="E12" i="9"/>
  <c r="E11" i="9"/>
  <c r="E27" i="9"/>
  <c r="E10" i="9"/>
  <c r="E32" i="9"/>
  <c r="E9" i="9"/>
  <c r="E37" i="9"/>
  <c r="E36" i="9"/>
  <c r="E8" i="9"/>
  <c r="E26" i="9"/>
  <c r="E7" i="9"/>
  <c r="F24" i="8"/>
  <c r="F18" i="8"/>
  <c r="F20" i="8"/>
  <c r="F12" i="8"/>
  <c r="F16" i="8"/>
  <c r="F11" i="8"/>
  <c r="F13" i="8" s="1"/>
  <c r="F10" i="8"/>
  <c r="F17" i="8"/>
  <c r="F9" i="8"/>
  <c r="F25" i="8" s="1"/>
  <c r="F8" i="8"/>
  <c r="F15" i="8"/>
  <c r="F7" i="8"/>
  <c r="F23" i="8"/>
  <c r="F6" i="8"/>
  <c r="E34" i="9"/>
  <c r="B38" i="9"/>
  <c r="E38" i="9" s="1"/>
  <c r="E39" i="8"/>
  <c r="E38" i="8"/>
  <c r="D34" i="8"/>
  <c r="D39" i="8"/>
  <c r="D38" i="8"/>
  <c r="D37" i="8"/>
  <c r="D36" i="8"/>
  <c r="D35" i="8"/>
  <c r="C38" i="8"/>
  <c r="C37" i="8"/>
  <c r="C36" i="8"/>
  <c r="C35" i="8"/>
  <c r="C34" i="8"/>
  <c r="C39" i="8" s="1"/>
  <c r="F30" i="8"/>
  <c r="B38" i="8"/>
  <c r="B39" i="8" s="1"/>
  <c r="AK13" i="3"/>
  <c r="B26" i="8"/>
  <c r="F26" i="8" s="1"/>
  <c r="B29" i="8"/>
  <c r="F29" i="8" s="1"/>
  <c r="B17" i="9"/>
  <c r="E17" i="9" s="1"/>
  <c r="B14" i="8"/>
  <c r="F14" i="8" s="1"/>
  <c r="E21" i="9" l="1"/>
  <c r="E39" i="9"/>
  <c r="E45" i="9"/>
  <c r="E43" i="9"/>
  <c r="E44" i="9"/>
  <c r="E46" i="9"/>
  <c r="E16" i="9"/>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L4" authorId="0" shapeId="0" xr:uid="{00000000-0006-0000-0100-000001000000}">
      <text>
        <r>
          <rPr>
            <sz val="10"/>
            <rFont val="Arial"/>
            <family val="2"/>
          </rPr>
          <t>Giờ xe về tới xưởng theo kế hoạch, ĐÃ GỒM thời gian tăng ca nếu có.</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L4" authorId="0" shapeId="0" xr:uid="{00000000-0006-0000-0200-000001000000}">
      <text>
        <r>
          <rPr>
            <sz val="10"/>
            <rFont val="Arial"/>
            <family val="2"/>
          </rPr>
          <t>Lấy từ Báo cáo chi tiết hành trình. Hino (24V): chỉ đếm khi điện áp bình từ 26V. Cột 'Trạng thái máy' của GPS không tách được nổ máy thật với chỉ bật chìa.</t>
        </r>
      </text>
    </comment>
    <comment ref="AJ4" authorId="0" shapeId="0" xr:uid="{00000000-0006-0000-0200-000002000000}">
      <text>
        <r>
          <rPr>
            <sz val="10"/>
            <rFont val="Arial"/>
            <family val="2"/>
          </rPr>
          <t>Đạt = giờ tắt máy cuối không trễ quá ngưỡng so với giờ về dự kiến VÀ km GPS không lệch quá ngưỡng so với lệnh.</t>
        </r>
      </text>
    </comment>
  </commentList>
</comments>
</file>

<file path=xl/sharedStrings.xml><?xml version="1.0" encoding="utf-8"?>
<sst xmlns="http://schemas.openxmlformats.org/spreadsheetml/2006/main" count="680" uniqueCount="376">
  <si>
    <t>HỆ THỐNG QUẢN LÝ VẬN HÀNH XE TẢI - 2 CẤP</t>
  </si>
  <si>
    <t>Công ty TNHH Đầu tư Thương mại và Quảng cáo AN AN · 2 xe: 51D98246 (HINO), 51D69998 (ISUZU)</t>
  </si>
  <si>
    <t>MÀU Ô</t>
  </si>
  <si>
    <t>Xanh nhạt</t>
  </si>
  <si>
    <t>Admin nhập (cấp 1)</t>
  </si>
  <si>
    <t>Cam nhạt</t>
  </si>
  <si>
    <t>Quản lý nhập hoặc duyệt (cấp 2)</t>
  </si>
  <si>
    <t>Xám</t>
  </si>
  <si>
    <t>Công thức tự tính - không sửa</t>
  </si>
  <si>
    <t>CẤP 1 - ADMIN (tab xanh): nhập liệu và theo dõi hằng ngày</t>
  </si>
  <si>
    <t>LỆNH ĐIỀU XE</t>
  </si>
  <si>
    <t>Lập TRƯỚC khi xe chạy. 1 dòng = 1 chuyến: xe, tài xế, loại chuyến, công trình, km và giờ về dự kiến, khối lượng hàng, có tăng ca không.</t>
  </si>
  <si>
    <t>NHẬT KÝ NGÀY</t>
  </si>
  <si>
    <t>Sáng hôm sau: nhập 1 dòng cho mỗi xe từ 'Báo cáo tổng hợp' GPS Bình Minh, tick ảnh tài xế gửi và kiểm lốp. Xem cột 'Ngoại lệ cần xem' rồi nhắc tài xế ngay.</t>
  </si>
  <si>
    <t>CHẶNG TĂNG CA</t>
  </si>
  <si>
    <t>Chỉ nhập các chặng mở máy/tắt máy rơi vào trước 08h hoặc sau 17h. File tự cắt 4 khung giờ.</t>
  </si>
  <si>
    <t>NHẬT KÝ DẦU</t>
  </si>
  <si>
    <t>Mỗi lần đổ dầu: số lít, đơn giá, km đồng hồ, lít GPS ghi nhận, đủ 3 ảnh hay không.</t>
  </si>
  <si>
    <t>SỔ SỰ CỐ - CHI PHÍ</t>
  </si>
  <si>
    <t>Nổ lốp, hỏng xe, phạt nguội (tra thứ 2 hằng tuần), phí đường, bảo dưỡng, sửa chữa. Ghi rõ bên chịu và công trình.</t>
  </si>
  <si>
    <t>LỊCH XE - TÀI XẾ</t>
  </si>
  <si>
    <t>Cập nhật ngày hết hạn mỗi khi gia hạn. Báo quản lý khi có dòng vàng hoặc đỏ.</t>
  </si>
  <si>
    <t>CẤP 2 - QUẢN LÝ (tab cam): duyệt và ra quyết định</t>
  </si>
  <si>
    <t>Hằng ngày (2 phút)</t>
  </si>
  <si>
    <t>Không cần mở file. Admin chỉ báo khi có ngoại lệ nặng: không có lệnh, quá tải, sự cố.</t>
  </si>
  <si>
    <t>Thứ 7 hằng tuần</t>
  </si>
  <si>
    <t>Mở NHẬT KÝ NGÀY, lọc cột 'Đề xuất duyệt', chọn Quyết định OT ở cột cam. Sau đó xem BÁO CÁO TUẦN để chốt công và điểm tuân thủ từng tài xế.</t>
  </si>
  <si>
    <t>Đầu tháng</t>
  </si>
  <si>
    <t>Xem BÁO CÁO THÁNG: tỉ lệ lăn bánh, dầu so với định mức, chi phí/km, chi phí phân bổ theo công trình, lịch sắp đến hạn.</t>
  </si>
  <si>
    <t>THAM SỐ</t>
  </si>
  <si>
    <t>Chỉ quản lý sửa: định mức dầu, tải cho phép, đơn giá tăng ca, các ngưỡng cảnh báo, danh mục công trình.</t>
  </si>
  <si>
    <t>QUY TẮC VẬN HÀNH</t>
  </si>
  <si>
    <t>1</t>
  </si>
  <si>
    <t>Không có lệnh điều xe thì không duyệt tăng ca.</t>
  </si>
  <si>
    <t>2</t>
  </si>
  <si>
    <t>Tăng ca 'Đủ điều kiện' khi lệnh có ghi tăng ca VÀ chuyến đúng định mức (không trễ giờ về quá 30 phút, km không lệch quá 15%).</t>
  </si>
  <si>
    <t>3</t>
  </si>
  <si>
    <t>Khối lượng hàng trên lệnh không vượt tải cho phép của xe. Chuyến 'QUÁ TẢI' phải tách chuyến hoặc đổi xe.</t>
  </si>
  <si>
    <t>4</t>
  </si>
  <si>
    <t>Tài xế gửi ảnh ở 3 mốc: xuất phát, từng điểm giao, về xưởng; kiểm lốp trước khi chạy.</t>
  </si>
  <si>
    <t>5</t>
  </si>
  <si>
    <t>Mỗi chỉ số đỏ phải có một hành động: nhắc tài xế, trừ điểm tuân thủ, hoặc sửa cách điều xe.</t>
  </si>
  <si>
    <t>LƯU Ý</t>
  </si>
  <si>
    <t>Dữ liệu mẫu</t>
  </si>
  <si>
    <t>Các dòng ngày 05–09/10/2026 có ghi chú 'MẪU' là số minh họa để thấy cách file chạy. Xóa trước khi dùng thật (chỉ xóa ô xanh và cam, không xóa ô xám).</t>
  </si>
  <si>
    <t>Thêm xe, tài xế</t>
  </si>
  <si>
    <t>Thêm vào dòng trống ở THAM SỐ. Báo cáo tuần có sẵn 4 cột tài xế, báo cáo tháng có sẵn 3 cột xe.</t>
  </si>
  <si>
    <t>Thời lượng</t>
  </si>
  <si>
    <t>Cột TG lăn bánh, TG máy nổ nhập dạng giờ:phút (6:45). Giờ mở/tắt máy nhập dạng 06:38.</t>
  </si>
  <si>
    <t>Tải cho phép ISUZU</t>
  </si>
  <si>
    <t>Đang tạm ghi 1.900 kg - cần đối chiếu giấy đăng kiểm rồi sửa ở THAM SỐ.</t>
  </si>
  <si>
    <t>CẤP 1 - Admin lập TRƯỚC khi xe lăn bánh, 1 dòng = 1 chuyến. Việc phát sinh trong ngày: thêm dòng, chọn 'Bổ sung trong ngày'.</t>
  </si>
  <si>
    <t>TỰ TÍNH</t>
  </si>
  <si>
    <t>ADMIN NHẬP</t>
  </si>
  <si>
    <t>Mã lệnh</t>
  </si>
  <si>
    <t>Ngày</t>
  </si>
  <si>
    <t>Xe</t>
  </si>
  <si>
    <t>Tài xế</t>
  </si>
  <si>
    <t>Loại chuyến</t>
  </si>
  <si>
    <t>Công trình / Dự án</t>
  </si>
  <si>
    <t>Điểm đi</t>
  </si>
  <si>
    <t>Điểm đến / các điểm giao</t>
  </si>
  <si>
    <t>Số điểm giao</t>
  </si>
  <si>
    <t>Km dự kiến</t>
  </si>
  <si>
    <t>Giờ đi dự kiến</t>
  </si>
  <si>
    <t>Giờ về dự kiến</t>
  </si>
  <si>
    <t>Khối lượng hàng (kg)</t>
  </si>
  <si>
    <t>Có tăng ca kế hoạch</t>
  </si>
  <si>
    <t>Giờ tăng ca dự kiến</t>
  </si>
  <si>
    <t>Người lập</t>
  </si>
  <si>
    <t>Thời điểm lập</t>
  </si>
  <si>
    <t>Tải cho phép (kg)</t>
  </si>
  <si>
    <t>% tải</t>
  </si>
  <si>
    <t>Cảnh báo tải</t>
  </si>
  <si>
    <t>Giờ về quy đổi</t>
  </si>
  <si>
    <t>Ghi chú</t>
  </si>
  <si>
    <t>51D98246</t>
  </si>
  <si>
    <t>Nguyễn Chí Cang</t>
  </si>
  <si>
    <t>Trung chuyển kho</t>
  </si>
  <si>
    <t>Xưởng Thới An</t>
  </si>
  <si>
    <t>Xưởng Cần Thơ</t>
  </si>
  <si>
    <t>Có</t>
  </si>
  <si>
    <t>Admin</t>
  </si>
  <si>
    <t>Trước chuyến</t>
  </si>
  <si>
    <t>MẪU</t>
  </si>
  <si>
    <t>51D69998</t>
  </si>
  <si>
    <t>Khải</t>
  </si>
  <si>
    <t>Rải vật tư công trình</t>
  </si>
  <si>
    <t>Nippon Đức Tài</t>
  </si>
  <si>
    <t>611 Lạc Long Quân</t>
  </si>
  <si>
    <t>Không</t>
  </si>
  <si>
    <t>Giao hàng dự án</t>
  </si>
  <si>
    <t>POSM CENTURY 2026</t>
  </si>
  <si>
    <t>3 điểm Bình Dương</t>
  </si>
  <si>
    <t>Galaxy</t>
  </si>
  <si>
    <t>2 rạp nội thành</t>
  </si>
  <si>
    <t>Hóc Môn, Bà Điểm</t>
  </si>
  <si>
    <t>Bổ sung trong ngày</t>
  </si>
  <si>
    <t>Long An, Tiền Giang</t>
  </si>
  <si>
    <t>Rạp Quận 7</t>
  </si>
  <si>
    <t>Lập bù</t>
  </si>
  <si>
    <t>Xưởng Cần Thơ rồi quay về</t>
  </si>
  <si>
    <t>1 dòng = 1 xe trong 1 ngày. CẤP 1 nhập cột xanh từ 'Báo cáo tổng hợp' GPS + ảnh Zalo của tài xế. CẤP 2 chỉ nhập cột cam (duyệt tăng ca). Thời lượng nhập dạng giờ:phút (vd 6:45).</t>
  </si>
  <si>
    <t>ADMIN NHẬP - TỪ GPS BÌNH MINH</t>
  </si>
  <si>
    <t>ĐỐI CHIẾU LỆNH</t>
  </si>
  <si>
    <t>TÀI XẾ BÁO CÁO</t>
  </si>
  <si>
    <t>TỰ TÍNH - VẬN HÀNH</t>
  </si>
  <si>
    <t>TỰ TÍNH - TĂNG CA &amp; NGOẠI LỆ</t>
  </si>
  <si>
    <t>CẤP 2 DUYỆT</t>
  </si>
  <si>
    <t>Km GPS</t>
  </si>
  <si>
    <t>TG lăn bánh</t>
  </si>
  <si>
    <t>TG máy nổ</t>
  </si>
  <si>
    <t>Mở máy đầu</t>
  </si>
  <si>
    <t>Tắt máy cuối</t>
  </si>
  <si>
    <t>Số lần dừng đỗ</t>
  </si>
  <si>
    <t>Số lần quá tốc độ</t>
  </si>
  <si>
    <t>Số lần lái quá 4h</t>
  </si>
  <si>
    <t>Dừng &gt;10p không tắt máy</t>
  </si>
  <si>
    <t>Nhiên liệu GPS (L)</t>
  </si>
  <si>
    <t>Dừng ngoài lệnh (lần)</t>
  </si>
  <si>
    <t>Dừng ngoài lệnh (phút)</t>
  </si>
  <si>
    <t>Ảnh xuất phát</t>
  </si>
  <si>
    <t>Ảnh điểm giao</t>
  </si>
  <si>
    <t>Ảnh về xưởng</t>
  </si>
  <si>
    <t>Kiểm lốp đầu ngày</t>
  </si>
  <si>
    <t>Số lệnh</t>
  </si>
  <si>
    <t>Lệch km</t>
  </si>
  <si>
    <t>Giờ có mặt</t>
  </si>
  <si>
    <t>Giờ lăn bánh</t>
  </si>
  <si>
    <t>Giờ chờ</t>
  </si>
  <si>
    <t>Tỉ lệ lăn bánh</t>
  </si>
  <si>
    <t>Nổ máy đứng yên (giờ)</t>
  </si>
  <si>
    <t>L/100km (GPS)</t>
  </si>
  <si>
    <t>OT 04–08</t>
  </si>
  <si>
    <t>OT 17–22</t>
  </si>
  <si>
    <t>OT 22–24</t>
  </si>
  <si>
    <t>OT 24–04</t>
  </si>
  <si>
    <t>Tổng OT theo GPS</t>
  </si>
  <si>
    <t>Có OT trong lệnh</t>
  </si>
  <si>
    <t>Trễ giờ về (phút)</t>
  </si>
  <si>
    <t>Chuyến đúng định mức</t>
  </si>
  <si>
    <t>Đề xuất duyệt</t>
  </si>
  <si>
    <t>Ngoại lệ cần xem</t>
  </si>
  <si>
    <t>Quyết định OT</t>
  </si>
  <si>
    <t>Giờ duyệt (nếu một phần)</t>
  </si>
  <si>
    <t>Giờ OT được duyệt</t>
  </si>
  <si>
    <t>Tiền OT được duyệt</t>
  </si>
  <si>
    <t>Đủ</t>
  </si>
  <si>
    <t>Đạt</t>
  </si>
  <si>
    <t>Duyệt đủ</t>
  </si>
  <si>
    <t>Thiếu</t>
  </si>
  <si>
    <t>Không làm</t>
  </si>
  <si>
    <t>Duyệt một phần</t>
  </si>
  <si>
    <t>CHẶNG MÁY TRONG KHUNG TĂNG CA</t>
  </si>
  <si>
    <t>CẤP 1 - Chỉ nhập các chặng Mở máy → Tắt máy bắt đầu trước 08h hoặc kết thúc sau 17h (lấy từ 'Báo cáo chi tiết hành trình' GPS). Chặng qua nửa đêm vẫn ghi theo ngày làm việc.</t>
  </si>
  <si>
    <t>TỰ TÍNH (giờ)</t>
  </si>
  <si>
    <t>Ngày làm việc</t>
  </si>
  <si>
    <t>Mở máy</t>
  </si>
  <si>
    <t>Tắt máy</t>
  </si>
  <si>
    <t>04h–08h</t>
  </si>
  <si>
    <t>17h–22h</t>
  </si>
  <si>
    <t>22h–24h</t>
  </si>
  <si>
    <t>24h–04h</t>
  </si>
  <si>
    <t>Tổng giờ</t>
  </si>
  <si>
    <t>NHẬT KÝ ĐỔ DẦU</t>
  </si>
  <si>
    <t>CẤP 1 - 1 dòng = 1 lần đổ. Nhập theo hóa đơn + ảnh tài xế gửi (trước, sau, cột bơm). Nên đổ đầy bình để cột L/100km chính xác.</t>
  </si>
  <si>
    <t>Cây xăng</t>
  </si>
  <si>
    <t>Số lít (hóa đơn)</t>
  </si>
  <si>
    <t>Đơn giá</t>
  </si>
  <si>
    <t>Km đồng hồ</t>
  </si>
  <si>
    <t>Lít GPS ghi nhận</t>
  </si>
  <si>
    <t>Đủ 3 ảnh</t>
  </si>
  <si>
    <t>Thành tiền</t>
  </si>
  <si>
    <t>Lệch lít (HĐ − GPS)</t>
  </si>
  <si>
    <t>Lệch %</t>
  </si>
  <si>
    <t>Cảnh báo</t>
  </si>
  <si>
    <t>Km từ lần đổ trước</t>
  </si>
  <si>
    <t>L/100km giữa 2 lần đổ</t>
  </si>
  <si>
    <t>Petrolimex Thới An</t>
  </si>
  <si>
    <t>Petrolimex Cai Lậy</t>
  </si>
  <si>
    <t>SỔ SỰ CỐ, VI PHẠM VÀ CHI PHÍ XE</t>
  </si>
  <si>
    <t>CẤP 1 - Ghi mọi sự cố (nổ lốp, hỏng xe), vi phạm (phạt nguội tra vào thứ 2 hằng tuần), và chi phí ngoài dầu (phí đường, bảo dưỡng, sửa chữa).</t>
  </si>
  <si>
    <t>Nhóm</t>
  </si>
  <si>
    <t>Loại</t>
  </si>
  <si>
    <t>Mô tả</t>
  </si>
  <si>
    <t>Số tiền (đ)</t>
  </si>
  <si>
    <t>Bên chịu</t>
  </si>
  <si>
    <t>Nguyên nhân gốc</t>
  </si>
  <si>
    <t>Trạng thái</t>
  </si>
  <si>
    <t>Ngày xử lý xong</t>
  </si>
  <si>
    <t>Vi phạm</t>
  </si>
  <si>
    <t>Phản ánh của khách</t>
  </si>
  <si>
    <t>Đại lý phản ánh xe nổ máy chờ lâu trước cửa hàng</t>
  </si>
  <si>
    <t>Chờ thợ thi công, không tắt máy</t>
  </si>
  <si>
    <t>Xong</t>
  </si>
  <si>
    <t>Chi phí</t>
  </si>
  <si>
    <t>Phí đường - ePass</t>
  </si>
  <si>
    <t>Phí cao tốc Trung Lương</t>
  </si>
  <si>
    <t>Công ty</t>
  </si>
  <si>
    <t>Sự cố xe</t>
  </si>
  <si>
    <t>Nổ lốp</t>
  </si>
  <si>
    <t>Nổ lốp sau bên phải trên đường về</t>
  </si>
  <si>
    <t>Chưa xác định - kiểm tải và tuổi lốp</t>
  </si>
  <si>
    <t>Đang xử lý</t>
  </si>
  <si>
    <t>LỊCH XE VÀ TÀI XẾ</t>
  </si>
  <si>
    <t>CẤP 1 cập nhật khi gia hạn; CẤP 2 xem 1 lần/tháng. Hạng mục 'Theo km' lấy km hiện tại từ lần đổ dầu gần nhất.</t>
  </si>
  <si>
    <t>Đối tượng</t>
  </si>
  <si>
    <t>Hạng mục</t>
  </si>
  <si>
    <t>Theo dõi</t>
  </si>
  <si>
    <t>Ngày làm gần nhất</t>
  </si>
  <si>
    <t>Ngày hết hạn</t>
  </si>
  <si>
    <t>Km lần làm trước</t>
  </si>
  <si>
    <t>Chu kỳ (km)</t>
  </si>
  <si>
    <t>Người phụ trách</t>
  </si>
  <si>
    <t>Km hiện tại</t>
  </si>
  <si>
    <t>Còn lại (ngày hoặc km)</t>
  </si>
  <si>
    <t>Đăng kiểm</t>
  </si>
  <si>
    <t>Theo ngày</t>
  </si>
  <si>
    <t>Bảo hiểm TNDS</t>
  </si>
  <si>
    <t>Bảo hiểm thân vỏ</t>
  </si>
  <si>
    <t>Phí đường bộ</t>
  </si>
  <si>
    <t>Gia hạn GPS</t>
  </si>
  <si>
    <t>Gia hạn ePass / thẻ đi đường</t>
  </si>
  <si>
    <t>Bảo dưỡng định kỳ (thay nhớt, lọc)</t>
  </si>
  <si>
    <t>Theo km</t>
  </si>
  <si>
    <t>Chu kỳ 5.000 km là đề xuất - chỉnh theo sổ bảo hành hãng</t>
  </si>
  <si>
    <t>Đảo lốp / kiểm tra lốp</t>
  </si>
  <si>
    <t>Xe này đã nổ lốp 3 lần (06, 07, 08/2026)</t>
  </si>
  <si>
    <t>Hạn GPLX</t>
  </si>
  <si>
    <t>GPLX B2 hết hạn 26/11/2030</t>
  </si>
  <si>
    <t>Khám sức khỏe lái xe</t>
  </si>
  <si>
    <t>BÁO CÁO TUẦN THEO TÀI XẾ</t>
  </si>
  <si>
    <t>CẤP 2 - Chọn ngày thứ 2 đầu tuần ở ô cam. Dùng để chốt công thứ 7, duyệt tăng ca và chấm điểm tuân thủ.</t>
  </si>
  <si>
    <t>Từ ngày (thứ 2)</t>
  </si>
  <si>
    <t>Đến ngày</t>
  </si>
  <si>
    <t>Chỉ số</t>
  </si>
  <si>
    <t>Toàn đội</t>
  </si>
  <si>
    <t>Ngưỡng</t>
  </si>
  <si>
    <t>Cách đọc</t>
  </si>
  <si>
    <t>Số ngày chạy xe</t>
  </si>
  <si>
    <t>Số lệnh điều xe</t>
  </si>
  <si>
    <t>Ngày chạy không có lệnh</t>
  </si>
  <si>
    <t>Phải bằng 0 - không lệnh thì không duyệt tăng ca</t>
  </si>
  <si>
    <t>Km dự kiến theo lệnh</t>
  </si>
  <si>
    <t>Từ mở máy đầu đến tắt máy cuối</t>
  </si>
  <si>
    <t>Giờ lăn bánh (giờ lái)</t>
  </si>
  <si>
    <t>Không vượt giờ lái tối đa / tuần</t>
  </si>
  <si>
    <t>Thấp = xe và tài xế chờ nhiều → xem lại cách điều xe</t>
  </si>
  <si>
    <t>Vấn đề của khâu điều phối, không phải tài xế</t>
  </si>
  <si>
    <t>Số ngày lái quá giờ / ngày</t>
  </si>
  <si>
    <t>Số ngày có mặt quá giờ</t>
  </si>
  <si>
    <t>Lịch điều xe đang dồn quá sức</t>
  </si>
  <si>
    <t>Số lần lái quá 4 giờ liên tục</t>
  </si>
  <si>
    <t>Số lần dừng &gt;10 phút không tắt máy</t>
  </si>
  <si>
    <t>Số lần dừng ngoài lệnh</t>
  </si>
  <si>
    <t>Số ngày thiếu ảnh báo cáo</t>
  </si>
  <si>
    <t>3 mốc: xuất phát, điểm giao, về xưởng</t>
  </si>
  <si>
    <t>Số ngày chưa đạt kiểm lốp</t>
  </si>
  <si>
    <t>So với định mức từng xe ở THAM SỐ</t>
  </si>
  <si>
    <t>Giờ tăng ca theo GPS</t>
  </si>
  <si>
    <t>Giờ tăng ca được duyệt</t>
  </si>
  <si>
    <t>Tiền tăng ca được duyệt (đ)</t>
  </si>
  <si>
    <t>Số ngày tăng ca CHỜ DUYỆT</t>
  </si>
  <si>
    <t>Chị duyệt ở cột cam sheet NHẬT KÝ NGÀY</t>
  </si>
  <si>
    <t>Sự cố, vi phạm do tài xế chịu</t>
  </si>
  <si>
    <t>Tổng sự cố, vi phạm trong tuần</t>
  </si>
  <si>
    <t>ĐIỂM TUÂN THỦ TUẦN (5 tiêu chí đề xuất - chỉnh cho khớp phụ lục thưởng tuân thủ trong hợp đồng)</t>
  </si>
  <si>
    <t>1. Không quá tốc độ</t>
  </si>
  <si>
    <t>2. Tắt máy khi dừng lâu</t>
  </si>
  <si>
    <t>3. Không dừng ngoài lệnh</t>
  </si>
  <si>
    <t>4. Đủ ảnh và kiểm lốp mỗi ngày</t>
  </si>
  <si>
    <t>5. Không sự cố, vi phạm do lỗi tài xế</t>
  </si>
  <si>
    <t>Số tiêu chí đạt / 5</t>
  </si>
  <si>
    <t>BÁO CÁO THÁNG THEO XE</t>
  </si>
  <si>
    <t>CẤP 2 - Chọn tháng và năm ở ô cam. Chi phí chỉ tính phần công ty chịu.</t>
  </si>
  <si>
    <t>Tháng</t>
  </si>
  <si>
    <t>Năm</t>
  </si>
  <si>
    <t>Từ</t>
  </si>
  <si>
    <t>Đến</t>
  </si>
  <si>
    <t>KHAI THÁC</t>
  </si>
  <si>
    <t>Số chuyến (lệnh điều xe)</t>
  </si>
  <si>
    <t xml:space="preserve">  Trung chuyển kho</t>
  </si>
  <si>
    <t xml:space="preserve">  Rải vật tư công trình</t>
  </si>
  <si>
    <t xml:space="preserve">  Giao hàng dự án</t>
  </si>
  <si>
    <t>Số lệnh lập bù</t>
  </si>
  <si>
    <t>Lập bù nhiều = đối chiếu mất tác dụng</t>
  </si>
  <si>
    <t>Số chuyến quá tải</t>
  </si>
  <si>
    <t>Công ty chịu lỗi quá tải; liên quan trực tiếp nổ lốp</t>
  </si>
  <si>
    <t>Mục tiêu từ 50% trở lên</t>
  </si>
  <si>
    <t>NHIÊN LIỆU</t>
  </si>
  <si>
    <t>Dầu đổ theo hóa đơn (L)</t>
  </si>
  <si>
    <t>L/100km thực tế (hóa đơn / km GPS)</t>
  </si>
  <si>
    <t>Gồm cả dầu nổ máy đứng yên</t>
  </si>
  <si>
    <t>Định mức lăn bánh (L/100km)</t>
  </si>
  <si>
    <t>Lấy từ THAM SỐ</t>
  </si>
  <si>
    <t>Vượt định mức</t>
  </si>
  <si>
    <t>Trên 15% cần tìm nguyên nhân</t>
  </si>
  <si>
    <t>AN TOÀN VÀ KỶ LUẬT</t>
  </si>
  <si>
    <t>Số lần nổ lốp</t>
  </si>
  <si>
    <t>Số sự cố xe khác</t>
  </si>
  <si>
    <t>Số lần phạt nguội</t>
  </si>
  <si>
    <t>CHI PHÍ (đ)</t>
  </si>
  <si>
    <t>Tiền dầu</t>
  </si>
  <si>
    <t>Tiền tăng ca được duyệt</t>
  </si>
  <si>
    <t>Sự cố và vi phạm (công ty chịu)</t>
  </si>
  <si>
    <t>Phí đường, bảo dưỡng, chi phí khác</t>
  </si>
  <si>
    <t>TỔNG CHI PHÍ VẬN HÀNH</t>
  </si>
  <si>
    <t>Chưa gồm lương cứng, khấu hao, lãi vay</t>
  </si>
  <si>
    <t>Chi phí / km (đ)</t>
  </si>
  <si>
    <t>Dùng để tính giá thành vận chuyển cho từng công trình</t>
  </si>
  <si>
    <t>CHI PHÍ XE PHÂN BỔ THEO CÔNG TRÌNH / DỰ ÁN (theo km dự kiến trên lệnh)</t>
  </si>
  <si>
    <t>Số chuyến</t>
  </si>
  <si>
    <t>Khối lượng (kg)</t>
  </si>
  <si>
    <t>Chi phí xe phân bổ (đ)</t>
  </si>
  <si>
    <t>Hạng mục QUÁ HẠN</t>
  </si>
  <si>
    <t>Hạng mục sắp đến hạn</t>
  </si>
  <si>
    <t>Hạng mục chưa nhập ngày</t>
  </si>
  <si>
    <t>THAM SỐ HỆ THỐNG</t>
  </si>
  <si>
    <t>Ô xanh nhạt = được sửa. Mọi ngưỡng, định mức, đơn giá trong file đều lấy từ sheet này.</t>
  </si>
  <si>
    <t>1. DANH SÁCH XE</t>
  </si>
  <si>
    <t>5. DANH MỤC CHỌN</t>
  </si>
  <si>
    <t>Biển số</t>
  </si>
  <si>
    <t>Tên xe</t>
  </si>
  <si>
    <t>Hệ điện</t>
  </si>
  <si>
    <t>Định mức nổ máy đứng yên (L/giờ)</t>
  </si>
  <si>
    <t>Nhóm sổ</t>
  </si>
  <si>
    <t>Loại sự việc / chi phí</t>
  </si>
  <si>
    <t>Thời điểm lập lệnh</t>
  </si>
  <si>
    <t>HINO XZU650L</t>
  </si>
  <si>
    <t>24V</t>
  </si>
  <si>
    <t>Trọng tải theo cà vẹt 1.750 kg. Máy nổ thật khi điện áp bình từ 26V</t>
  </si>
  <si>
    <t>ISUZU QKR77</t>
  </si>
  <si>
    <t>12V</t>
  </si>
  <si>
    <t>CẦN XÁC NHẬN tải cho phép theo giấy đăng kiểm (đang tạm ghi 1.900 kg)</t>
  </si>
  <si>
    <t>Hỏng máy - điện</t>
  </si>
  <si>
    <t>Dự phòng xe thứ 3</t>
  </si>
  <si>
    <t>Va chạm</t>
  </si>
  <si>
    <t>Khác</t>
  </si>
  <si>
    <t>Phạt nguội</t>
  </si>
  <si>
    <t>2. DANH SÁCH TÀI XẾ</t>
  </si>
  <si>
    <t>Tên tài xế</t>
  </si>
  <si>
    <t>Xe chính</t>
  </si>
  <si>
    <t>Hạng GPLX</t>
  </si>
  <si>
    <t>B2</t>
  </si>
  <si>
    <t>Thử việc từ 17/09/2026</t>
  </si>
  <si>
    <t>Bảo dưỡng</t>
  </si>
  <si>
    <t>Làm từ 15/09/2026</t>
  </si>
  <si>
    <t>Sửa chữa</t>
  </si>
  <si>
    <t>Lốp</t>
  </si>
  <si>
    <t>Đăng kiểm - Bảo hiểm</t>
  </si>
  <si>
    <t>Gửi xe - bến bãi</t>
  </si>
  <si>
    <t>3. ĐƠN GIÁ TĂNG CA (đ/giờ)</t>
  </si>
  <si>
    <t>Khung giờ</t>
  </si>
  <si>
    <t>Đơn giá do chị cung cấp 09/2026</t>
  </si>
  <si>
    <t>4. NGƯỠNG CẢNH BÁO</t>
  </si>
  <si>
    <t>Giá trị</t>
  </si>
  <si>
    <t>Giải thích</t>
  </si>
  <si>
    <t>Giờ lái tối đa / ngày</t>
  </si>
  <si>
    <t>Giới hạn giờ lái trong ngày (kiểm lại quy định hiện hành)</t>
  </si>
  <si>
    <t>Giờ lái tối đa / tuần</t>
  </si>
  <si>
    <t>Giới hạn giờ lái trong tuần (kiểm lại quy định hiện hành)</t>
  </si>
  <si>
    <t>Giờ có mặt cảnh báo / ngày</t>
  </si>
  <si>
    <t>Lệch km cho phép so với lệnh</t>
  </si>
  <si>
    <t>Km GPS so với km dự kiến trên lệnh</t>
  </si>
  <si>
    <t>Trễ giờ về cho phép (phút)</t>
  </si>
  <si>
    <t>Quy ước lệch quá 30 phút = không hợp lệ</t>
  </si>
  <si>
    <t>Lệch dầu hóa đơn so với GPS</t>
  </si>
  <si>
    <t>Cảm biến đang lệch khoảng 8% - hiệu chuẩn xong thì hạ ngưỡng</t>
  </si>
  <si>
    <t>Cảnh báo lịch trước (ngày)</t>
  </si>
  <si>
    <t>Đăng kiểm, bảo hiểm, GPLX...</t>
  </si>
  <si>
    <t>Cảnh báo bảo dưỡng trước (km)</t>
  </si>
  <si>
    <t>Hạng mục theo dõi bằng km</t>
  </si>
  <si>
    <t>Tỉ lệ lăn bánh tối thiểu</t>
  </si>
  <si>
    <t>Giờ lăn bánh / giờ có mặt</t>
  </si>
  <si>
    <t>Số lần dừng &gt;10 phút không tắt máy cho phép / tuần</t>
  </si>
  <si>
    <t>Dùng cho điểm tuân thủ tuần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</si>
</sst>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dd/mm/yyyy"/>
    <numFmt numFmtId="165" formatCode="hh:mm"/>
    <numFmt numFmtId="166" formatCode="0.000"/>
    <numFmt numFmtId="167" formatCode="#,##0.0"/>
    <numFmt numFmtId="168" formatCode="[h]:mm"/>
    <numFmt numFmtId="169" formatCode="0.0"/>
    <numFmt numFmtId="170" formatCode="0.0%"/>
  </numFmts>
  <fonts count="13" x14ac:knownFonts="1">
    <font>
      <sz val="11"/>
      <color theme="1"/>
      <name val="Calibri"/>
      <family val="2"/>
      <charset val="1"/>
    </font>
    <font>
      <b/>
      <sz val="14"/>
      <color rgb="FF1F3864"/>
      <name val="Arial"/>
      <charset val="1"/>
    </font>
    <font>
      <i/>
      <sz val="9"/>
      <color rgb="FF595959"/>
      <name val="Arial"/>
      <charset val="1"/>
    </font>
    <font>
      <b/>
      <sz val="11"/>
      <color rgb="FF1F3864"/>
      <name val="Arial"/>
      <charset val="1"/>
    </font>
    <font>
      <b/>
      <sz val="10"/>
      <name val="Arial"/>
      <charset val="1"/>
    </font>
    <font>
      <sz val="10"/>
      <name val="Arial"/>
      <charset val="1"/>
    </font>
    <font>
      <b/>
      <sz val="9"/>
      <color rgb="FFFFFFFF"/>
      <name val="Arial"/>
      <charset val="1"/>
    </font>
    <font>
      <sz val="9"/>
      <name val="Arial"/>
      <charset val="1"/>
    </font>
    <font>
      <sz val="10"/>
      <name val="Arial"/>
      <family val="2"/>
    </font>
    <font>
      <b/>
      <sz val="9"/>
      <name val="Arial"/>
      <charset val="1"/>
    </font>
    <font>
      <b/>
      <sz val="10"/>
      <color rgb="FF1F3864"/>
      <name val="Arial"/>
      <charset val="1"/>
    </font>
    <font>
      <b/>
      <sz val="9"/>
      <color rgb="FF1F3864"/>
      <name val="Arial"/>
      <charset val="1"/>
    </font>
    <font>
      <i/>
      <sz val="8"/>
      <name val="Arial"/>
      <charset val="1"/>
    </font>
  </fonts>
  <fills count="11">
    <fill>
      <patternFill patternType="none"/>
    </fill>
    <fill>
      <patternFill patternType="gray125"/>
    </fill>
    <fill>
      <patternFill patternType="solid">
        <fgColor rgb="FFDDEBF7"/>
        <bgColor rgb="FFD9E1F2"/>
      </patternFill>
    </fill>
    <fill>
      <patternFill patternType="solid">
        <fgColor rgb="FFFCE4D6"/>
        <bgColor rgb="FFF2F2F2"/>
      </patternFill>
    </fill>
    <fill>
      <patternFill patternType="solid">
        <fgColor rgb="FFF2F2F2"/>
        <bgColor rgb="FFDDEBF7"/>
      </patternFill>
    </fill>
    <fill>
      <patternFill patternType="solid">
        <fgColor rgb="FF7F7F7F"/>
        <bgColor rgb="FF878787"/>
      </patternFill>
    </fill>
    <fill>
      <patternFill patternType="solid">
        <fgColor rgb="FF2E75B6"/>
        <bgColor rgb="FF4F81BD"/>
      </patternFill>
    </fill>
    <fill>
      <patternFill patternType="solid">
        <fgColor rgb="FF595959"/>
        <bgColor rgb="FF8064A2"/>
      </patternFill>
    </fill>
    <fill>
      <patternFill patternType="solid">
        <fgColor rgb="FF1F3864"/>
        <bgColor rgb="FF333399"/>
      </patternFill>
    </fill>
    <fill>
      <patternFill patternType="solid">
        <fgColor rgb="FFC55A11"/>
        <bgColor rgb="FFC0504D"/>
      </patternFill>
    </fill>
    <fill>
      <patternFill patternType="solid">
        <fgColor rgb="FFD9E1F2"/>
        <bgColor rgb="FFDDEBF7"/>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54">
    <xf numFmtId="0" fontId="0" fillId="0" borderId="0" xfId="0"/>
    <xf numFmtId="0" fontId="6" fillId="9" borderId="0" xfId="0" applyFont="1" applyFill="1" applyAlignment="1">
      <alignment horizontal="center"/>
    </xf>
    <xf numFmtId="0" fontId="6" fillId="7" borderId="0" xfId="0" applyFont="1" applyFill="1" applyAlignment="1">
      <alignment horizontal="center"/>
    </xf>
    <xf numFmtId="0" fontId="6" fillId="5" borderId="0" xfId="0" applyFont="1" applyFill="1" applyAlignment="1">
      <alignment horizontal="center"/>
    </xf>
    <xf numFmtId="0" fontId="6" fillId="6" borderId="0" xfId="0" applyFont="1" applyFill="1" applyAlignment="1">
      <alignment horizontal="center"/>
    </xf>
    <xf numFmtId="0" fontId="1" fillId="0" borderId="0" xfId="0" applyFont="1"/>
    <xf numFmtId="0" fontId="2" fillId="0" borderId="0" xfId="0" applyFont="1"/>
    <xf numFmtId="0" fontId="3" fillId="0" borderId="0" xfId="0" applyFont="1"/>
    <xf numFmtId="0" fontId="4" fillId="2" borderId="0" xfId="0" applyFont="1" applyFill="1" applyAlignment="1">
      <alignment vertical="top"/>
    </xf>
    <xf numFmtId="0" fontId="5" fillId="0" borderId="0" xfId="0" applyFont="1" applyAlignment="1">
      <alignment vertical="top" wrapText="1"/>
    </xf>
    <xf numFmtId="0" fontId="4" fillId="3" borderId="0" xfId="0" applyFont="1" applyFill="1" applyAlignment="1">
      <alignment vertical="top"/>
    </xf>
    <xf numFmtId="0" fontId="4" fillId="4" borderId="0" xfId="0" applyFont="1" applyFill="1" applyAlignment="1">
      <alignment vertical="top"/>
    </xf>
    <xf numFmtId="0" fontId="4" fillId="0" borderId="0" xfId="0" applyFont="1" applyAlignment="1">
      <alignment vertical="top"/>
    </xf>
    <xf numFmtId="0" fontId="6" fillId="5" borderId="0" xfId="0" applyFont="1" applyFill="1" applyAlignment="1">
      <alignment horizontal="center"/>
    </xf>
    <xf numFmtId="0" fontId="6" fillId="7" borderId="1" xfId="0" applyFont="1" applyFill="1" applyBorder="1" applyAlignment="1">
      <alignment horizontal="center" vertical="center" wrapText="1"/>
    </xf>
    <xf numFmtId="0" fontId="6" fillId="8" borderId="1" xfId="0" applyFont="1" applyFill="1" applyBorder="1" applyAlignment="1">
      <alignment horizontal="center" vertical="center" wrapText="1"/>
    </xf>
    <xf numFmtId="0" fontId="7" fillId="4" borderId="1" xfId="0" applyFont="1" applyFill="1" applyBorder="1" applyAlignment="1">
      <alignment vertical="center"/>
    </xf>
    <xf numFmtId="164" fontId="7" fillId="2" borderId="1" xfId="0" applyNumberFormat="1" applyFont="1" applyFill="1" applyBorder="1" applyAlignment="1">
      <alignment vertical="center"/>
    </xf>
    <xf numFmtId="0" fontId="7" fillId="2" borderId="1" xfId="0" applyFont="1" applyFill="1" applyBorder="1" applyAlignment="1">
      <alignment vertical="center"/>
    </xf>
    <xf numFmtId="3" fontId="7" fillId="2" borderId="1" xfId="0" applyNumberFormat="1" applyFont="1" applyFill="1" applyBorder="1" applyAlignment="1">
      <alignment vertical="center"/>
    </xf>
    <xf numFmtId="165" fontId="7" fillId="2" borderId="1" xfId="0" applyNumberFormat="1" applyFont="1" applyFill="1" applyBorder="1" applyAlignment="1">
      <alignment vertical="center"/>
    </xf>
    <xf numFmtId="3" fontId="7" fillId="4" borderId="1" xfId="0" applyNumberFormat="1" applyFont="1" applyFill="1" applyBorder="1" applyAlignment="1">
      <alignment vertical="center"/>
    </xf>
    <xf numFmtId="9" fontId="7" fillId="4" borderId="1" xfId="0" applyNumberFormat="1" applyFont="1" applyFill="1" applyBorder="1" applyAlignment="1">
      <alignment vertical="center"/>
    </xf>
    <xf numFmtId="166" fontId="7" fillId="4" borderId="1" xfId="0" applyNumberFormat="1" applyFont="1" applyFill="1" applyBorder="1" applyAlignment="1">
      <alignment vertical="center"/>
    </xf>
    <xf numFmtId="0" fontId="6" fillId="9" borderId="1" xfId="0" applyFont="1" applyFill="1" applyBorder="1" applyAlignment="1">
      <alignment horizontal="center" vertical="center" wrapText="1"/>
    </xf>
    <xf numFmtId="167" fontId="7" fillId="2" borderId="1" xfId="0" applyNumberFormat="1" applyFont="1" applyFill="1" applyBorder="1" applyAlignment="1">
      <alignment vertical="center"/>
    </xf>
    <xf numFmtId="168" fontId="7" fillId="2" borderId="1" xfId="0" applyNumberFormat="1" applyFont="1" applyFill="1" applyBorder="1" applyAlignment="1">
      <alignment vertical="center"/>
    </xf>
    <xf numFmtId="167" fontId="7" fillId="4" borderId="1" xfId="0" applyNumberFormat="1" applyFont="1" applyFill="1" applyBorder="1" applyAlignment="1">
      <alignment vertical="center"/>
    </xf>
    <xf numFmtId="169" fontId="7" fillId="4" borderId="1" xfId="0" applyNumberFormat="1" applyFont="1" applyFill="1" applyBorder="1" applyAlignment="1">
      <alignment vertical="center"/>
    </xf>
    <xf numFmtId="0" fontId="7" fillId="3" borderId="1" xfId="0" applyFont="1" applyFill="1" applyBorder="1" applyAlignment="1">
      <alignment vertical="center"/>
    </xf>
    <xf numFmtId="169" fontId="7" fillId="3" borderId="1" xfId="0" applyNumberFormat="1" applyFont="1" applyFill="1" applyBorder="1" applyAlignment="1">
      <alignment vertical="center"/>
    </xf>
    <xf numFmtId="2" fontId="7" fillId="4" borderId="1" xfId="0" applyNumberFormat="1" applyFont="1" applyFill="1" applyBorder="1" applyAlignment="1">
      <alignment vertical="center"/>
    </xf>
    <xf numFmtId="169" fontId="7" fillId="2" borderId="1" xfId="0" applyNumberFormat="1" applyFont="1" applyFill="1" applyBorder="1" applyAlignment="1">
      <alignment vertical="center"/>
    </xf>
    <xf numFmtId="170" fontId="7" fillId="4" borderId="1" xfId="0" applyNumberFormat="1" applyFont="1" applyFill="1" applyBorder="1" applyAlignment="1">
      <alignment vertical="center"/>
    </xf>
    <xf numFmtId="0" fontId="4" fillId="0" borderId="0" xfId="0" applyFont="1"/>
    <xf numFmtId="164" fontId="4" fillId="3" borderId="1" xfId="0" applyNumberFormat="1" applyFont="1" applyFill="1" applyBorder="1"/>
    <xf numFmtId="164" fontId="4" fillId="0" borderId="1" xfId="0" applyNumberFormat="1" applyFont="1" applyBorder="1"/>
    <xf numFmtId="0" fontId="9" fillId="0" borderId="1" xfId="0" applyFont="1" applyBorder="1" applyAlignment="1">
      <alignment vertical="center"/>
    </xf>
    <xf numFmtId="1" fontId="7" fillId="4" borderId="1" xfId="0" applyNumberFormat="1" applyFont="1" applyFill="1" applyBorder="1" applyAlignment="1">
      <alignment vertical="center"/>
    </xf>
    <xf numFmtId="1" fontId="7" fillId="0" borderId="1" xfId="0" applyNumberFormat="1" applyFont="1" applyBorder="1" applyAlignment="1">
      <alignment vertical="center"/>
    </xf>
    <xf numFmtId="0" fontId="7" fillId="0" borderId="1" xfId="0" applyFont="1" applyBorder="1" applyAlignment="1">
      <alignment vertical="center"/>
    </xf>
    <xf numFmtId="3" fontId="7" fillId="0" borderId="1" xfId="0" applyNumberFormat="1" applyFont="1" applyBorder="1" applyAlignment="1">
      <alignment vertical="center"/>
    </xf>
    <xf numFmtId="169" fontId="7" fillId="0" borderId="1" xfId="0" applyNumberFormat="1" applyFont="1" applyBorder="1" applyAlignment="1">
      <alignment vertical="center"/>
    </xf>
    <xf numFmtId="9" fontId="7" fillId="0" borderId="1" xfId="0" applyNumberFormat="1" applyFont="1" applyBorder="1" applyAlignment="1">
      <alignment vertical="center"/>
    </xf>
    <xf numFmtId="0" fontId="10" fillId="0" borderId="0" xfId="0" applyFont="1"/>
    <xf numFmtId="0" fontId="4" fillId="0" borderId="1" xfId="0" applyFont="1" applyBorder="1"/>
    <xf numFmtId="1" fontId="7" fillId="3" borderId="1" xfId="0" applyNumberFormat="1" applyFont="1" applyFill="1" applyBorder="1" applyAlignment="1">
      <alignment vertical="center"/>
    </xf>
    <xf numFmtId="0" fontId="4" fillId="3" borderId="1" xfId="0" applyFont="1" applyFill="1" applyBorder="1"/>
    <xf numFmtId="164" fontId="5" fillId="0" borderId="0" xfId="0" applyNumberFormat="1" applyFont="1"/>
    <xf numFmtId="0" fontId="11" fillId="10" borderId="1" xfId="0" applyFont="1" applyFill="1" applyBorder="1"/>
    <xf numFmtId="0" fontId="0" fillId="10" borderId="1" xfId="0" applyFill="1" applyBorder="1"/>
    <xf numFmtId="3" fontId="9" fillId="4" borderId="1" xfId="0" applyNumberFormat="1" applyFont="1" applyFill="1" applyBorder="1" applyAlignment="1">
      <alignment vertical="center"/>
    </xf>
    <xf numFmtId="0" fontId="12" fillId="0" borderId="0" xfId="0" applyFont="1"/>
    <xf numFmtId="9" fontId="7" fillId="2" borderId="1" xfId="0" applyNumberFormat="1" applyFont="1" applyFill="1" applyBorder="1" applyAlignment="1">
      <alignment vertical="center"/>
    </xf>
  </cellXfs>
  <cellStyles count="1">
    <cellStyle name="Normal" xfId="0" builtinId="0"/>
  </cellStyles>
  <dxfs count="26">
    <dxf>
      <fill>
        <patternFill>
          <bgColor rgb="FFF8CBAD"/>
        </patternFill>
      </fill>
    </dxf>
    <dxf>
      <fill>
        <patternFill>
          <bgColor rgb="FFF8CBAD"/>
        </patternFill>
      </fill>
    </dxf>
    <dxf>
      <fill>
        <patternFill>
          <bgColor rgb="FFF8CBAD"/>
        </patternFill>
      </fill>
    </dxf>
    <dxf>
      <fill>
        <patternFill>
          <bgColor rgb="FFF8CBAD"/>
        </patternFill>
      </fill>
    </dxf>
    <dxf>
      <fill>
        <patternFill>
          <bgColor rgb="FFFFE699"/>
        </patternFill>
      </fill>
    </dxf>
    <dxf>
      <fill>
        <patternFill>
          <bgColor rgb="FFF8CBAD"/>
        </patternFill>
      </fill>
    </dxf>
    <dxf>
      <fill>
        <patternFill>
          <bgColor rgb="FFC6E0B4"/>
        </patternFill>
      </fill>
    </dxf>
    <dxf>
      <fill>
        <patternFill>
          <bgColor rgb="FFF8CBAD"/>
        </patternFill>
      </fill>
    </dxf>
    <dxf>
      <fill>
        <patternFill>
          <bgColor rgb="FFF8CBAD"/>
        </patternFill>
      </fill>
    </dxf>
    <dxf>
      <fill>
        <patternFill>
          <bgColor rgb="FFF8CBAD"/>
        </patternFill>
      </fill>
    </dxf>
    <dxf>
      <fill>
        <patternFill>
          <bgColor rgb="FFF8CBAD"/>
        </patternFill>
      </fill>
    </dxf>
    <dxf>
      <fill>
        <patternFill>
          <bgColor rgb="FFF8CBAD"/>
        </patternFill>
      </fill>
    </dxf>
    <dxf>
      <fill>
        <patternFill>
          <bgColor rgb="FFF8CBAD"/>
        </patternFill>
      </fill>
    </dxf>
    <dxf>
      <fill>
        <patternFill>
          <bgColor rgb="FFC6E0B4"/>
        </patternFill>
      </fill>
    </dxf>
    <dxf>
      <fill>
        <patternFill>
          <bgColor rgb="FFFFE699"/>
        </patternFill>
      </fill>
    </dxf>
    <dxf>
      <fill>
        <patternFill>
          <bgColor rgb="FFF8CBAD"/>
        </patternFill>
      </fill>
    </dxf>
    <dxf>
      <fill>
        <patternFill>
          <bgColor rgb="FFFFE699"/>
        </patternFill>
      </fill>
    </dxf>
    <dxf>
      <fill>
        <patternFill>
          <bgColor rgb="FFF8CBAD"/>
        </patternFill>
      </fill>
    </dxf>
    <dxf>
      <fill>
        <patternFill>
          <bgColor rgb="FFF8CBAD"/>
        </patternFill>
      </fill>
    </dxf>
    <dxf>
      <fill>
        <patternFill>
          <bgColor rgb="FFFFE699"/>
        </patternFill>
      </fill>
    </dxf>
    <dxf>
      <fill>
        <patternFill>
          <bgColor rgb="FFC6E0B4"/>
        </patternFill>
      </fill>
    </dxf>
    <dxf>
      <fill>
        <patternFill>
          <bgColor rgb="FFF8CBAD"/>
        </patternFill>
      </fill>
    </dxf>
    <dxf>
      <fill>
        <patternFill>
          <bgColor rgb="FFF8CBAD"/>
        </patternFill>
      </fill>
    </dxf>
    <dxf>
      <fill>
        <patternFill>
          <bgColor rgb="FFFFE699"/>
        </patternFill>
      </fill>
    </dxf>
    <dxf>
      <fill>
        <patternFill>
          <bgColor rgb="FFF8CBAD"/>
        </patternFill>
      </fill>
    </dxf>
    <dxf>
      <fill>
        <patternFill>
          <bgColor rgb="FFF8CBAD"/>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7F7F7F"/>
      <rgbColor rgb="FF9999FF"/>
      <rgbColor rgb="FFC0504D"/>
      <rgbColor rgb="FFF2F2F2"/>
      <rgbColor rgb="FFDDEBF7"/>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D9E1F2"/>
      <rgbColor rgb="FFC6E0B4"/>
      <rgbColor rgb="FFFFE699"/>
      <rgbColor rgb="FF99CCFF"/>
      <rgbColor rgb="FFFCE4D6"/>
      <rgbColor rgb="FFCC99FF"/>
      <rgbColor rgb="FFF8CBAD"/>
      <rgbColor rgb="FF2E75B6"/>
      <rgbColor rgb="FF33CCCC"/>
      <rgbColor rgb="FF9BBB59"/>
      <rgbColor rgb="FFFFCC00"/>
      <rgbColor rgb="FFFF9900"/>
      <rgbColor rgb="FFC55A11"/>
      <rgbColor rgb="FF8064A2"/>
      <rgbColor rgb="FF878787"/>
      <rgbColor rgb="FF1F3864"/>
      <rgbColor rgb="FF4F81BD"/>
      <rgbColor rgb="FF003300"/>
      <rgbColor rgb="FF333300"/>
      <rgbColor rgb="FF993300"/>
      <rgbColor rgb="FF993366"/>
      <rgbColor rgb="FF333399"/>
      <rgbColor rgb="FF595959"/>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lang="en-US" sz="1800" b="1" strike="noStrike" spc="-1">
                <a:solidFill>
                  <a:srgbClr val="000000"/>
                </a:solidFill>
                <a:latin typeface="Calibri"/>
              </a:rPr>
              <a:t>Chi phí vận hành theo xe (đ)</a:t>
            </a:r>
          </a:p>
        </c:rich>
      </c:tx>
      <c:overlay val="0"/>
      <c:spPr>
        <a:noFill/>
        <a:ln w="0">
          <a:noFill/>
        </a:ln>
      </c:spPr>
    </c:title>
    <c:autoTitleDeleted val="0"/>
    <c:plotArea>
      <c:layout/>
      <c:barChart>
        <c:barDir val="col"/>
        <c:grouping val="stacked"/>
        <c:varyColors val="0"/>
        <c:ser>
          <c:idx val="0"/>
          <c:order val="0"/>
          <c:tx>
            <c:strRef>
              <c:f>'BÁO CÁO THÁNG'!$A$34</c:f>
              <c:strCache>
                <c:ptCount val="1"/>
                <c:pt idx="0">
                  <c:v>Tiền dầu</c:v>
                </c:pt>
              </c:strCache>
            </c:strRef>
          </c:tx>
          <c:spPr>
            <a:solidFill>
              <a:srgbClr val="4F81BD"/>
            </a:solidFill>
            <a:ln w="0">
              <a:noFill/>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'BÁO CÁO THÁNG'!$B$5:$C$5</c:f>
              <c:strCache>
                <c:ptCount val="2"/>
                <c:pt idx="0">
                  <c:v>51D98246</c:v>
                </c:pt>
                <c:pt idx="1">
                  <c:v>51D69998</c:v>
                </c:pt>
              </c:strCache>
            </c:strRef>
          </c:cat>
          <c:val>
            <c:numRef>
              <c:f>'BÁO CÁO THÁNG'!$B$34:$C$34</c:f>
              <c:numCache>
                <c:formatCode>#,##0</c:formatCode>
                <c:ptCount val="2"/>
                <c:pt idx="0">
                  <c:v>2008500</c:v>
                </c:pt>
                <c:pt idx="1">
                  <c:v>585000</c:v>
                </c:pt>
              </c:numCache>
            </c:numRef>
          </c:val>
          <c:extLst>
            <c:ext xmlns:c16="http://schemas.microsoft.com/office/drawing/2014/chart" uri="{C3380CC4-5D6E-409C-BE32-E72D297353CC}">
              <c16:uniqueId val="{00000000-E430-4129-94CF-20FB00C2DE0A}"/>
            </c:ext>
          </c:extLst>
        </c:ser>
        <c:ser>
          <c:idx val="1"/>
          <c:order val="1"/>
          <c:tx>
            <c:strRef>
              <c:f>'BÁO CÁO THÁNG'!$A$35</c:f>
              <c:strCache>
                <c:ptCount val="1"/>
                <c:pt idx="0">
                  <c:v>Tiền tăng ca được duyệt</c:v>
                </c:pt>
              </c:strCache>
            </c:strRef>
          </c:tx>
          <c:spPr>
            <a:solidFill>
              <a:srgbClr val="C0504D"/>
            </a:solidFill>
            <a:ln w="0">
              <a:noFill/>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'BÁO CÁO THÁNG'!$B$5:$C$5</c:f>
              <c:strCache>
                <c:ptCount val="2"/>
                <c:pt idx="0">
                  <c:v>51D98246</c:v>
                </c:pt>
                <c:pt idx="1">
                  <c:v>51D69998</c:v>
                </c:pt>
              </c:strCache>
            </c:strRef>
          </c:cat>
          <c:val>
            <c:numRef>
              <c:f>'BÁO CÁO THÁNG'!$B$35:$C$35</c:f>
              <c:numCache>
                <c:formatCode>#,##0</c:formatCode>
                <c:ptCount val="2"/>
                <c:pt idx="0">
                  <c:v>255750</c:v>
                </c:pt>
                <c:pt idx="1">
                  <c:v>0</c:v>
                </c:pt>
              </c:numCache>
            </c:numRef>
          </c:val>
          <c:extLst>
            <c:ext xmlns:c16="http://schemas.microsoft.com/office/drawing/2014/chart" uri="{C3380CC4-5D6E-409C-BE32-E72D297353CC}">
              <c16:uniqueId val="{00000001-E430-4129-94CF-20FB00C2DE0A}"/>
            </c:ext>
          </c:extLst>
        </c:ser>
        <c:ser>
          <c:idx val="2"/>
          <c:order val="2"/>
          <c:tx>
            <c:strRef>
              <c:f>'BÁO CÁO THÁNG'!$A$36</c:f>
              <c:strCache>
                <c:ptCount val="1"/>
                <c:pt idx="0">
                  <c:v>Sự cố và vi phạm (công ty chịu)</c:v>
                </c:pt>
              </c:strCache>
            </c:strRef>
          </c:tx>
          <c:spPr>
            <a:solidFill>
              <a:srgbClr val="9BBB59"/>
            </a:solidFill>
            <a:ln w="0">
              <a:noFill/>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'BÁO CÁO THÁNG'!$B$5:$C$5</c:f>
              <c:strCache>
                <c:ptCount val="2"/>
                <c:pt idx="0">
                  <c:v>51D98246</c:v>
                </c:pt>
                <c:pt idx="1">
                  <c:v>51D69998</c:v>
                </c:pt>
              </c:strCache>
            </c:strRef>
          </c:cat>
          <c:val>
            <c:numRef>
              <c:f>'BÁO CÁO THÁNG'!$B$36:$C$36</c:f>
              <c:numCache>
                <c:formatCode>#,##0</c:formatCode>
                <c:ptCount val="2"/>
                <c:pt idx="0">
                  <c:v>2400000</c:v>
                </c:pt>
                <c:pt idx="1">
                  <c:v>0</c:v>
                </c:pt>
              </c:numCache>
            </c:numRef>
          </c:val>
          <c:extLst>
            <c:ext xmlns:c16="http://schemas.microsoft.com/office/drawing/2014/chart" uri="{C3380CC4-5D6E-409C-BE32-E72D297353CC}">
              <c16:uniqueId val="{00000002-E430-4129-94CF-20FB00C2DE0A}"/>
            </c:ext>
          </c:extLst>
        </c:ser>
        <c:ser>
          <c:idx val="3"/>
          <c:order val="3"/>
          <c:tx>
            <c:strRef>
              <c:f>'BÁO CÁO THÁNG'!$A$37</c:f>
              <c:strCache>
                <c:ptCount val="1"/>
                <c:pt idx="0">
                  <c:v>Phí đường, bảo dưỡng, chi phí khác</c:v>
                </c:pt>
              </c:strCache>
            </c:strRef>
          </c:tx>
          <c:spPr>
            <a:solidFill>
              <a:srgbClr val="8064A2"/>
            </a:solidFill>
            <a:ln w="0">
              <a:noFill/>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'BÁO CÁO THÁNG'!$B$5:$C$5</c:f>
              <c:strCache>
                <c:ptCount val="2"/>
                <c:pt idx="0">
                  <c:v>51D98246</c:v>
                </c:pt>
                <c:pt idx="1">
                  <c:v>51D69998</c:v>
                </c:pt>
              </c:strCache>
            </c:strRef>
          </c:cat>
          <c:val>
            <c:numRef>
              <c:f>'BÁO CÁO THÁNG'!$B$37:$C$37</c:f>
              <c:numCache>
                <c:formatCode>#,##0</c:formatCode>
                <c:ptCount val="2"/>
                <c:pt idx="0">
                  <c:v>180000</c:v>
                </c:pt>
                <c:pt idx="1">
                  <c:v>0</c:v>
                </c:pt>
              </c:numCache>
            </c:numRef>
          </c:val>
          <c:extLst>
            <c:ext xmlns:c16="http://schemas.microsoft.com/office/drawing/2014/chart" uri="{C3380CC4-5D6E-409C-BE32-E72D297353CC}">
              <c16:uniqueId val="{00000003-E430-4129-94CF-20FB00C2DE0A}"/>
            </c:ext>
          </c:extLst>
        </c:ser>
        <c:dLbls>
          <c:showLegendKey val="0"/>
          <c:showVal val="0"/>
          <c:showCatName val="0"/>
          <c:showSerName val="0"/>
          <c:showPercent val="0"/>
          <c:showBubbleSize val="0"/>
        </c:dLbls>
        <c:gapWidth val="150"/>
        <c:overlap val="100"/>
        <c:axId val="57923959"/>
        <c:axId val="40679163"/>
      </c:barChart>
      <c:catAx>
        <c:axId val="57923959"/>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40679163"/>
        <c:crosses val="autoZero"/>
        <c:auto val="1"/>
        <c:lblAlgn val="ctr"/>
        <c:lblOffset val="100"/>
        <c:noMultiLvlLbl val="0"/>
      </c:catAx>
      <c:valAx>
        <c:axId val="40679163"/>
        <c:scaling>
          <c:orientation val="minMax"/>
        </c:scaling>
        <c:delete val="0"/>
        <c:axPos val="l"/>
        <c:majorGridlines>
          <c:spPr>
            <a:ln w="9360">
              <a:solidFill>
                <a:srgbClr val="878787"/>
              </a:solidFill>
              <a:round/>
            </a:ln>
          </c:spPr>
        </c:majorGridlines>
        <c:numFmt formatCode="#,##0"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57923959"/>
        <c:crosses val="autoZero"/>
        <c:crossBetween val="between"/>
      </c:valAx>
      <c:spPr>
        <a:noFill/>
        <a:ln w="0">
          <a:noFill/>
        </a:ln>
      </c:spPr>
    </c:plotArea>
    <c:legend>
      <c:legendPos val="r"/>
      <c:overlay val="0"/>
      <c:spPr>
        <a:noFill/>
        <a:ln w="0">
          <a:noFill/>
        </a:ln>
      </c:spPr>
      <c:txPr>
        <a:bodyPr/>
        <a:lstStyle/>
        <a:p>
          <a:pPr>
            <a:defRPr sz="1000" b="0" strike="noStrike" spc="-1">
              <a:solidFill>
                <a:srgbClr val="000000"/>
              </a:solidFill>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lang="en-US" sz="1800" b="1" strike="noStrike" spc="-1">
                <a:solidFill>
                  <a:srgbClr val="000000"/>
                </a:solidFill>
                <a:latin typeface="Calibri"/>
              </a:rPr>
              <a:t>L/100km thực tế so với định mức</a:t>
            </a:r>
          </a:p>
        </c:rich>
      </c:tx>
      <c:overlay val="0"/>
      <c:spPr>
        <a:noFill/>
        <a:ln w="0">
          <a:noFill/>
        </a:ln>
      </c:spPr>
    </c:title>
    <c:autoTitleDeleted val="0"/>
    <c:plotArea>
      <c:layout/>
      <c:barChart>
        <c:barDir val="col"/>
        <c:grouping val="clustered"/>
        <c:varyColors val="0"/>
        <c:ser>
          <c:idx val="0"/>
          <c:order val="0"/>
          <c:tx>
            <c:strRef>
              <c:f>'BÁO CÁO THÁNG'!$A$21</c:f>
              <c:strCache>
                <c:ptCount val="1"/>
                <c:pt idx="0">
                  <c:v>L/100km thực tế (hóa đơn / km GPS)</c:v>
                </c:pt>
              </c:strCache>
            </c:strRef>
          </c:tx>
          <c:spPr>
            <a:solidFill>
              <a:srgbClr val="4F81BD"/>
            </a:solidFill>
            <a:ln w="0">
              <a:noFill/>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'BÁO CÁO THÁNG'!$B$5:$C$5</c:f>
              <c:strCache>
                <c:ptCount val="2"/>
                <c:pt idx="0">
                  <c:v>51D98246</c:v>
                </c:pt>
                <c:pt idx="1">
                  <c:v>51D69998</c:v>
                </c:pt>
              </c:strCache>
            </c:strRef>
          </c:cat>
          <c:val>
            <c:numRef>
              <c:f>'BÁO CÁO THÁNG'!$B$21:$C$21</c:f>
              <c:numCache>
                <c:formatCode>0.0</c:formatCode>
                <c:ptCount val="2"/>
                <c:pt idx="0">
                  <c:v>11.0752688172043</c:v>
                </c:pt>
                <c:pt idx="1">
                  <c:v>12.658227848101266</c:v>
                </c:pt>
              </c:numCache>
            </c:numRef>
          </c:val>
          <c:extLst>
            <c:ext xmlns:c16="http://schemas.microsoft.com/office/drawing/2014/chart" uri="{C3380CC4-5D6E-409C-BE32-E72D297353CC}">
              <c16:uniqueId val="{00000000-73D9-45DA-A71B-38A3CCA7697F}"/>
            </c:ext>
          </c:extLst>
        </c:ser>
        <c:ser>
          <c:idx val="1"/>
          <c:order val="1"/>
          <c:tx>
            <c:strRef>
              <c:f>'BÁO CÁO THÁNG'!$A$22</c:f>
              <c:strCache>
                <c:ptCount val="1"/>
                <c:pt idx="0">
                  <c:v>Định mức lăn bánh (L/100km)</c:v>
                </c:pt>
              </c:strCache>
            </c:strRef>
          </c:tx>
          <c:spPr>
            <a:solidFill>
              <a:srgbClr val="C0504D"/>
            </a:solidFill>
            <a:ln w="0">
              <a:noFill/>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'BÁO CÁO THÁNG'!$B$5:$C$5</c:f>
              <c:strCache>
                <c:ptCount val="2"/>
                <c:pt idx="0">
                  <c:v>51D98246</c:v>
                </c:pt>
                <c:pt idx="1">
                  <c:v>51D69998</c:v>
                </c:pt>
              </c:strCache>
            </c:strRef>
          </c:cat>
          <c:val>
            <c:numRef>
              <c:f>'BÁO CÁO THÁNG'!$B$22:$C$22</c:f>
              <c:numCache>
                <c:formatCode>0.0</c:formatCode>
                <c:ptCount val="2"/>
                <c:pt idx="0">
                  <c:v>10</c:v>
                </c:pt>
                <c:pt idx="1">
                  <c:v>9</c:v>
                </c:pt>
              </c:numCache>
            </c:numRef>
          </c:val>
          <c:extLst>
            <c:ext xmlns:c16="http://schemas.microsoft.com/office/drawing/2014/chart" uri="{C3380CC4-5D6E-409C-BE32-E72D297353CC}">
              <c16:uniqueId val="{00000001-73D9-45DA-A71B-38A3CCA7697F}"/>
            </c:ext>
          </c:extLst>
        </c:ser>
        <c:dLbls>
          <c:showLegendKey val="0"/>
          <c:showVal val="0"/>
          <c:showCatName val="0"/>
          <c:showSerName val="0"/>
          <c:showPercent val="0"/>
          <c:showBubbleSize val="0"/>
        </c:dLbls>
        <c:gapWidth val="150"/>
        <c:axId val="74701276"/>
        <c:axId val="72087303"/>
      </c:barChart>
      <c:catAx>
        <c:axId val="74701276"/>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72087303"/>
        <c:crosses val="autoZero"/>
        <c:auto val="1"/>
        <c:lblAlgn val="ctr"/>
        <c:lblOffset val="100"/>
        <c:noMultiLvlLbl val="0"/>
      </c:catAx>
      <c:valAx>
        <c:axId val="72087303"/>
        <c:scaling>
          <c:orientation val="minMax"/>
        </c:scaling>
        <c:delete val="0"/>
        <c:axPos val="l"/>
        <c:majorGridlines>
          <c:spPr>
            <a:ln w="9360">
              <a:solidFill>
                <a:srgbClr val="878787"/>
              </a:solidFill>
              <a:round/>
            </a:ln>
          </c:spPr>
        </c:majorGridlines>
        <c:numFmt formatCode="0.0"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74701276"/>
        <c:crosses val="autoZero"/>
        <c:crossBetween val="between"/>
      </c:valAx>
      <c:spPr>
        <a:noFill/>
        <a:ln w="0">
          <a:noFill/>
        </a:ln>
      </c:spPr>
    </c:plotArea>
    <c:legend>
      <c:legendPos val="r"/>
      <c:overlay val="0"/>
      <c:spPr>
        <a:noFill/>
        <a:ln w="0">
          <a:noFill/>
        </a:ln>
      </c:spPr>
      <c:txPr>
        <a:bodyPr/>
        <a:lstStyle/>
        <a:p>
          <a:pPr>
            <a:defRPr sz="1000" b="0" strike="noStrike" spc="-1">
              <a:solidFill>
                <a:srgbClr val="000000"/>
              </a:solidFill>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7</xdr:col>
      <xdr:colOff>0</xdr:colOff>
      <xdr:row>3</xdr:row>
      <xdr:rowOff>160920</xdr:rowOff>
    </xdr:from>
    <xdr:to>
      <xdr:col>15</xdr:col>
      <xdr:colOff>507600</xdr:colOff>
      <xdr:row>18</xdr:row>
      <xdr:rowOff>49680</xdr:rowOff>
    </xdr:to>
    <xdr:graphicFrame macro="">
      <xdr:nvGraphicFramePr>
        <xdr:cNvPr id="2" name="Chart 1">
          <a:extLst>
            <a:ext uri="{FF2B5EF4-FFF2-40B4-BE49-F238E27FC236}">
              <a16:creationId xmlns:a16="http://schemas.microsoft.com/office/drawing/2014/main" id="{00000000-0008-0000-08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7</xdr:col>
      <xdr:colOff>0</xdr:colOff>
      <xdr:row>20</xdr:row>
      <xdr:rowOff>160560</xdr:rowOff>
    </xdr:from>
    <xdr:to>
      <xdr:col>15</xdr:col>
      <xdr:colOff>507600</xdr:colOff>
      <xdr:row>35</xdr:row>
      <xdr:rowOff>182880</xdr:rowOff>
    </xdr:to>
    <xdr:graphicFrame macro="">
      <xdr:nvGraphicFramePr>
        <xdr:cNvPr id="3" name="Chart 2">
          <a:extLst>
            <a:ext uri="{FF2B5EF4-FFF2-40B4-BE49-F238E27FC236}">
              <a16:creationId xmlns:a16="http://schemas.microsoft.com/office/drawing/2014/main" id="{00000000-0008-0000-08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7F7F7F"/>
  </sheetPr>
  <dimension ref="A1:B34"/>
  <sheetViews>
    <sheetView showGridLines="0" zoomScaleNormal="100" workbookViewId="0">
      <selection activeCell="B15" sqref="B15"/>
    </sheetView>
  </sheetViews>
  <sheetFormatPr defaultColWidth="8.6640625" defaultRowHeight="14.25" x14ac:dyDescent="0.45"/>
  <cols>
    <col min="1" max="1" width="24" customWidth="1"/>
    <col min="2" max="2" width="120" customWidth="1"/>
  </cols>
  <sheetData>
    <row r="1" spans="1:2" ht="17.649999999999999" x14ac:dyDescent="0.5">
      <c r="A1" s="5" t="s">
        <v>0</v>
      </c>
    </row>
    <row r="2" spans="1:2" x14ac:dyDescent="0.45">
      <c r="A2" s="6" t="s">
        <v>1</v>
      </c>
    </row>
    <row r="4" spans="1:2" x14ac:dyDescent="0.45">
      <c r="A4" s="7" t="s">
        <v>2</v>
      </c>
    </row>
    <row r="5" spans="1:2" x14ac:dyDescent="0.45">
      <c r="A5" s="8" t="s">
        <v>3</v>
      </c>
      <c r="B5" s="9" t="s">
        <v>4</v>
      </c>
    </row>
    <row r="6" spans="1:2" x14ac:dyDescent="0.45">
      <c r="A6" s="10" t="s">
        <v>5</v>
      </c>
      <c r="B6" s="9" t="s">
        <v>6</v>
      </c>
    </row>
    <row r="7" spans="1:2" x14ac:dyDescent="0.45">
      <c r="A7" s="11" t="s">
        <v>7</v>
      </c>
      <c r="B7" s="9" t="s">
        <v>8</v>
      </c>
    </row>
    <row r="8" spans="1:2" x14ac:dyDescent="0.45">
      <c r="A8" s="12"/>
      <c r="B8" s="9"/>
    </row>
    <row r="9" spans="1:2" x14ac:dyDescent="0.45">
      <c r="A9" s="7" t="s">
        <v>9</v>
      </c>
    </row>
    <row r="10" spans="1:2" x14ac:dyDescent="0.45">
      <c r="A10" s="12" t="s">
        <v>10</v>
      </c>
      <c r="B10" s="9" t="s">
        <v>11</v>
      </c>
    </row>
    <row r="11" spans="1:2" ht="25.5" x14ac:dyDescent="0.45">
      <c r="A11" s="12" t="s">
        <v>12</v>
      </c>
      <c r="B11" s="9" t="s">
        <v>13</v>
      </c>
    </row>
    <row r="12" spans="1:2" x14ac:dyDescent="0.45">
      <c r="A12" s="12" t="s">
        <v>14</v>
      </c>
      <c r="B12" s="9" t="s">
        <v>15</v>
      </c>
    </row>
    <row r="13" spans="1:2" x14ac:dyDescent="0.45">
      <c r="A13" s="12" t="s">
        <v>16</v>
      </c>
      <c r="B13" s="9" t="s">
        <v>17</v>
      </c>
    </row>
    <row r="14" spans="1:2" x14ac:dyDescent="0.45">
      <c r="A14" s="12" t="s">
        <v>18</v>
      </c>
      <c r="B14" s="9" t="s">
        <v>19</v>
      </c>
    </row>
    <row r="15" spans="1:2" x14ac:dyDescent="0.45">
      <c r="A15" s="12" t="s">
        <v>20</v>
      </c>
      <c r="B15" s="9" t="s">
        <v>21</v>
      </c>
    </row>
    <row r="16" spans="1:2" x14ac:dyDescent="0.45">
      <c r="A16" s="12"/>
      <c r="B16" s="9"/>
    </row>
    <row r="17" spans="1:2" x14ac:dyDescent="0.45">
      <c r="A17" s="7" t="s">
        <v>22</v>
      </c>
    </row>
    <row r="18" spans="1:2" x14ac:dyDescent="0.45">
      <c r="A18" s="12" t="s">
        <v>23</v>
      </c>
      <c r="B18" s="9" t="s">
        <v>24</v>
      </c>
    </row>
    <row r="19" spans="1:2" ht="25.5" x14ac:dyDescent="0.45">
      <c r="A19" s="12" t="s">
        <v>25</v>
      </c>
      <c r="B19" s="9" t="s">
        <v>26</v>
      </c>
    </row>
    <row r="20" spans="1:2" x14ac:dyDescent="0.45">
      <c r="A20" s="12" t="s">
        <v>27</v>
      </c>
      <c r="B20" s="9" t="s">
        <v>28</v>
      </c>
    </row>
    <row r="21" spans="1:2" x14ac:dyDescent="0.45">
      <c r="A21" s="12" t="s">
        <v>29</v>
      </c>
      <c r="B21" s="9" t="s">
        <v>30</v>
      </c>
    </row>
    <row r="22" spans="1:2" x14ac:dyDescent="0.45">
      <c r="A22" s="12"/>
      <c r="B22" s="9"/>
    </row>
    <row r="23" spans="1:2" x14ac:dyDescent="0.45">
      <c r="A23" s="7" t="s">
        <v>31</v>
      </c>
    </row>
    <row r="24" spans="1:2" x14ac:dyDescent="0.45">
      <c r="A24" s="12" t="s">
        <v>32</v>
      </c>
      <c r="B24" s="9" t="s">
        <v>33</v>
      </c>
    </row>
    <row r="25" spans="1:2" x14ac:dyDescent="0.45">
      <c r="A25" s="12" t="s">
        <v>34</v>
      </c>
      <c r="B25" s="9" t="s">
        <v>35</v>
      </c>
    </row>
    <row r="26" spans="1:2" x14ac:dyDescent="0.45">
      <c r="A26" s="12" t="s">
        <v>36</v>
      </c>
      <c r="B26" s="9" t="s">
        <v>37</v>
      </c>
    </row>
    <row r="27" spans="1:2" x14ac:dyDescent="0.45">
      <c r="A27" s="12" t="s">
        <v>38</v>
      </c>
      <c r="B27" s="9" t="s">
        <v>39</v>
      </c>
    </row>
    <row r="28" spans="1:2" x14ac:dyDescent="0.45">
      <c r="A28" s="12" t="s">
        <v>40</v>
      </c>
      <c r="B28" s="9" t="s">
        <v>41</v>
      </c>
    </row>
    <row r="29" spans="1:2" x14ac:dyDescent="0.45">
      <c r="A29" s="12"/>
      <c r="B29" s="9"/>
    </row>
    <row r="30" spans="1:2" x14ac:dyDescent="0.45">
      <c r="A30" s="7" t="s">
        <v>42</v>
      </c>
    </row>
    <row r="31" spans="1:2" ht="25.5" x14ac:dyDescent="0.45">
      <c r="A31" s="12" t="s">
        <v>43</v>
      </c>
      <c r="B31" s="9" t="s">
        <v>44</v>
      </c>
    </row>
    <row r="32" spans="1:2" x14ac:dyDescent="0.45">
      <c r="A32" s="12" t="s">
        <v>45</v>
      </c>
      <c r="B32" s="9" t="s">
        <v>46</v>
      </c>
    </row>
    <row r="33" spans="1:2" x14ac:dyDescent="0.45">
      <c r="A33" s="12" t="s">
        <v>47</v>
      </c>
      <c r="B33" s="9" t="s">
        <v>48</v>
      </c>
    </row>
    <row r="34" spans="1:2" x14ac:dyDescent="0.45">
      <c r="A34" s="12" t="s">
        <v>49</v>
      </c>
      <c r="B34" s="9" t="s">
        <v>50</v>
      </c>
    </row>
  </sheetData>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2E75B6"/>
  </sheetPr>
  <dimension ref="A1:V604"/>
  <sheetViews>
    <sheetView showGridLines="0" zoomScaleNormal="100" workbookViewId="0">
      <pane xSplit="4" ySplit="4" topLeftCell="E5" activePane="bottomRight" state="frozen"/>
      <selection pane="topRight" activeCell="E1" sqref="E1"/>
      <selection pane="bottomLeft" activeCell="A5" sqref="A5"/>
      <selection pane="bottomRight" activeCell="H8" sqref="H8"/>
    </sheetView>
  </sheetViews>
  <sheetFormatPr defaultColWidth="8.6640625" defaultRowHeight="14.25" x14ac:dyDescent="0.45"/>
  <cols>
    <col min="1" max="1" width="3.6640625" customWidth="1"/>
    <col min="2" max="3" width="11" customWidth="1"/>
    <col min="4" max="4" width="17" customWidth="1"/>
    <col min="5" max="5" width="20" customWidth="1"/>
    <col min="6" max="6" width="22" customWidth="1"/>
    <col min="7" max="7" width="18" customWidth="1"/>
    <col min="8" max="8" width="21" bestFit="1" customWidth="1"/>
    <col min="9" max="9" width="8" customWidth="1"/>
    <col min="10" max="12" width="9" customWidth="1"/>
    <col min="13" max="13" width="11" customWidth="1"/>
    <col min="14" max="14" width="10" customWidth="1"/>
    <col min="15" max="15" width="9" customWidth="1"/>
    <col min="16" max="16" width="12" customWidth="1"/>
    <col min="17" max="17" width="16" customWidth="1"/>
    <col min="18" max="18" width="10" customWidth="1"/>
    <col min="19" max="19" width="7" customWidth="1"/>
    <col min="20" max="20" width="10" customWidth="1"/>
    <col min="21" max="21" width="9" hidden="1" customWidth="1"/>
    <col min="22" max="22" width="24" customWidth="1"/>
  </cols>
  <sheetData>
    <row r="1" spans="1:22" ht="17.649999999999999" x14ac:dyDescent="0.5">
      <c r="A1" s="5" t="s">
        <v>10</v>
      </c>
    </row>
    <row r="2" spans="1:22" x14ac:dyDescent="0.45">
      <c r="A2" s="6" t="s">
        <v>51</v>
      </c>
    </row>
    <row r="3" spans="1:22" x14ac:dyDescent="0.45">
      <c r="A3" s="13" t="s">
        <v>52</v>
      </c>
      <c r="B3" s="4" t="s">
        <v>53</v>
      </c>
      <c r="C3" s="4"/>
      <c r="D3" s="4"/>
      <c r="E3" s="4"/>
      <c r="F3" s="4"/>
      <c r="G3" s="4"/>
      <c r="H3" s="4"/>
      <c r="I3" s="4"/>
      <c r="J3" s="4"/>
      <c r="K3" s="4"/>
      <c r="L3" s="4"/>
      <c r="M3" s="4"/>
      <c r="N3" s="4"/>
      <c r="O3" s="4"/>
      <c r="P3" s="4"/>
      <c r="Q3" s="4"/>
      <c r="R3" s="3" t="s">
        <v>52</v>
      </c>
      <c r="S3" s="3"/>
      <c r="T3" s="3"/>
      <c r="U3" s="3"/>
    </row>
    <row r="4" spans="1:22" ht="39.75" customHeight="1" x14ac:dyDescent="0.45">
      <c r="A4" s="14" t="s">
        <v>54</v>
      </c>
      <c r="B4" s="15" t="s">
        <v>55</v>
      </c>
      <c r="C4" s="15" t="s">
        <v>56</v>
      </c>
      <c r="D4" s="15" t="s">
        <v>57</v>
      </c>
      <c r="E4" s="15" t="s">
        <v>58</v>
      </c>
      <c r="F4" s="15" t="s">
        <v>59</v>
      </c>
      <c r="G4" s="15" t="s">
        <v>60</v>
      </c>
      <c r="H4" s="15" t="s">
        <v>61</v>
      </c>
      <c r="I4" s="15" t="s">
        <v>62</v>
      </c>
      <c r="J4" s="15" t="s">
        <v>63</v>
      </c>
      <c r="K4" s="15" t="s">
        <v>64</v>
      </c>
      <c r="L4" s="15" t="s">
        <v>65</v>
      </c>
      <c r="M4" s="15" t="s">
        <v>66</v>
      </c>
      <c r="N4" s="15" t="s">
        <v>67</v>
      </c>
      <c r="O4" s="15" t="s">
        <v>68</v>
      </c>
      <c r="P4" s="15" t="s">
        <v>69</v>
      </c>
      <c r="Q4" s="15" t="s">
        <v>70</v>
      </c>
      <c r="R4" s="14" t="s">
        <v>71</v>
      </c>
      <c r="S4" s="14" t="s">
        <v>72</v>
      </c>
      <c r="T4" s="14" t="s">
        <v>73</v>
      </c>
      <c r="U4" s="14" t="s">
        <v>74</v>
      </c>
      <c r="V4" s="15" t="s">
        <v>75</v>
      </c>
    </row>
    <row r="5" spans="1:22" x14ac:dyDescent="0.45">
      <c r="A5" s="16" t="str">
        <f>IF(B5="","","LDX-"&amp;TEXT(B5,"yymmdd")&amp;"-"&amp;TEXT(COUNTIFS(B$5:B5,B5),"00"))</f>
        <v>LDX-261005-01</v>
      </c>
      <c r="B5" s="17">
        <v>46300</v>
      </c>
      <c r="C5" s="18" t="s">
        <v>76</v>
      </c>
      <c r="D5" s="18" t="s">
        <v>77</v>
      </c>
      <c r="E5" s="18" t="s">
        <v>78</v>
      </c>
      <c r="F5" s="18" t="s">
        <v>78</v>
      </c>
      <c r="G5" s="18" t="s">
        <v>79</v>
      </c>
      <c r="H5" s="18" t="s">
        <v>80</v>
      </c>
      <c r="I5" s="18">
        <v>1</v>
      </c>
      <c r="J5" s="19">
        <v>175</v>
      </c>
      <c r="K5" s="20">
        <v>0.27083333333333298</v>
      </c>
      <c r="L5" s="20">
        <v>0.77083333333333304</v>
      </c>
      <c r="M5" s="19">
        <v>1500</v>
      </c>
      <c r="N5" s="18" t="s">
        <v>81</v>
      </c>
      <c r="O5" s="18">
        <v>1.5</v>
      </c>
      <c r="P5" s="18" t="s">
        <v>82</v>
      </c>
      <c r="Q5" s="18" t="s">
        <v>83</v>
      </c>
      <c r="R5" s="21">
        <f>IF(C5="","",IFERROR(INDEX('THAM SỐ'!$F$5:$F$7,MATCH(C5,'THAM SỐ'!$A$5:$A$7,0)),""))</f>
        <v>1750</v>
      </c>
      <c r="S5" s="22">
        <f t="shared" ref="S5:S68" si="0">IF(OR(M5="",R5="",R5=0),"",M5/R5)</f>
        <v>0.8571428571428571</v>
      </c>
      <c r="T5" s="16" t="str">
        <f t="shared" ref="T5:T68" si="1">IF(S5="","",IF(S5&gt;1,"QUÁ TẢI",IF(S5&gt;0.9,"Sát tải","Đạt")))</f>
        <v>Đạt</v>
      </c>
      <c r="U5" s="23">
        <f t="shared" ref="U5:U68" si="2">IF(L5="","",L5+(L5&lt;4/24))</f>
        <v>0.77083333333333304</v>
      </c>
      <c r="V5" s="18" t="s">
        <v>84</v>
      </c>
    </row>
    <row r="6" spans="1:22" x14ac:dyDescent="0.45">
      <c r="A6" s="16" t="str">
        <f>IF(B6="","","LDX-"&amp;TEXT(B6,"yymmdd")&amp;"-"&amp;TEXT(COUNTIFS(B$5:B6,B6),"00"))</f>
        <v>LDX-261005-02</v>
      </c>
      <c r="B6" s="17">
        <v>46300</v>
      </c>
      <c r="C6" s="18" t="s">
        <v>85</v>
      </c>
      <c r="D6" s="18" t="s">
        <v>86</v>
      </c>
      <c r="E6" s="18" t="s">
        <v>87</v>
      </c>
      <c r="F6" s="18" t="s">
        <v>88</v>
      </c>
      <c r="G6" s="18" t="s">
        <v>79</v>
      </c>
      <c r="H6" s="18" t="s">
        <v>89</v>
      </c>
      <c r="I6" s="18">
        <v>2</v>
      </c>
      <c r="J6" s="19">
        <v>38</v>
      </c>
      <c r="K6" s="20">
        <v>0.33333333333333298</v>
      </c>
      <c r="L6" s="20">
        <v>0.625</v>
      </c>
      <c r="M6" s="19">
        <v>900</v>
      </c>
      <c r="N6" s="18" t="s">
        <v>90</v>
      </c>
      <c r="O6" s="18"/>
      <c r="P6" s="18" t="s">
        <v>82</v>
      </c>
      <c r="Q6" s="18" t="s">
        <v>83</v>
      </c>
      <c r="R6" s="21">
        <f>IF(C6="","",IFERROR(INDEX('THAM SỐ'!$F$5:$F$7,MATCH(C6,'THAM SỐ'!$A$5:$A$7,0)),""))</f>
        <v>1900</v>
      </c>
      <c r="S6" s="22">
        <f t="shared" si="0"/>
        <v>0.47368421052631576</v>
      </c>
      <c r="T6" s="16" t="str">
        <f t="shared" si="1"/>
        <v>Đạt</v>
      </c>
      <c r="U6" s="23">
        <f t="shared" si="2"/>
        <v>0.625</v>
      </c>
      <c r="V6" s="18" t="s">
        <v>84</v>
      </c>
    </row>
    <row r="7" spans="1:22" x14ac:dyDescent="0.45">
      <c r="A7" s="16" t="str">
        <f>IF(B7="","","LDX-"&amp;TEXT(B7,"yymmdd")&amp;"-"&amp;TEXT(COUNTIFS(B$5:B7,B7),"00"))</f>
        <v>LDX-261006-01</v>
      </c>
      <c r="B7" s="17">
        <v>46301</v>
      </c>
      <c r="C7" s="18" t="s">
        <v>76</v>
      </c>
      <c r="D7" s="18" t="s">
        <v>77</v>
      </c>
      <c r="E7" s="18" t="s">
        <v>78</v>
      </c>
      <c r="F7" s="18" t="s">
        <v>78</v>
      </c>
      <c r="G7" s="18" t="s">
        <v>80</v>
      </c>
      <c r="H7" s="18" t="s">
        <v>79</v>
      </c>
      <c r="I7" s="18">
        <v>1</v>
      </c>
      <c r="J7" s="19">
        <v>175</v>
      </c>
      <c r="K7" s="20">
        <v>0.33333333333333298</v>
      </c>
      <c r="L7" s="20">
        <v>0.58333333333333304</v>
      </c>
      <c r="M7" s="19">
        <v>1200</v>
      </c>
      <c r="N7" s="18" t="s">
        <v>90</v>
      </c>
      <c r="O7" s="18"/>
      <c r="P7" s="18" t="s">
        <v>82</v>
      </c>
      <c r="Q7" s="18" t="s">
        <v>83</v>
      </c>
      <c r="R7" s="21">
        <f>IF(C7="","",IFERROR(INDEX('THAM SỐ'!$F$5:$F$7,MATCH(C7,'THAM SỐ'!$A$5:$A$7,0)),""))</f>
        <v>1750</v>
      </c>
      <c r="S7" s="22">
        <f t="shared" si="0"/>
        <v>0.68571428571428572</v>
      </c>
      <c r="T7" s="16" t="str">
        <f t="shared" si="1"/>
        <v>Đạt</v>
      </c>
      <c r="U7" s="23">
        <f t="shared" si="2"/>
        <v>0.58333333333333304</v>
      </c>
      <c r="V7" s="18" t="s">
        <v>84</v>
      </c>
    </row>
    <row r="8" spans="1:22" x14ac:dyDescent="0.45">
      <c r="A8" s="16" t="str">
        <f>IF(B8="","","LDX-"&amp;TEXT(B8,"yymmdd")&amp;"-"&amp;TEXT(COUNTIFS(B$5:B8,B8),"00"))</f>
        <v>LDX-261006-02</v>
      </c>
      <c r="B8" s="17">
        <v>46301</v>
      </c>
      <c r="C8" s="18" t="s">
        <v>85</v>
      </c>
      <c r="D8" s="18" t="s">
        <v>86</v>
      </c>
      <c r="E8" s="18" t="s">
        <v>91</v>
      </c>
      <c r="F8" s="18" t="s">
        <v>92</v>
      </c>
      <c r="G8" s="18" t="s">
        <v>79</v>
      </c>
      <c r="H8" s="18" t="s">
        <v>93</v>
      </c>
      <c r="I8" s="18">
        <v>3</v>
      </c>
      <c r="J8" s="19">
        <v>85</v>
      </c>
      <c r="K8" s="20">
        <v>0.33333333333333298</v>
      </c>
      <c r="L8" s="20">
        <v>0.70833333333333304</v>
      </c>
      <c r="M8" s="19">
        <v>1600</v>
      </c>
      <c r="N8" s="18" t="s">
        <v>90</v>
      </c>
      <c r="O8" s="18"/>
      <c r="P8" s="18" t="s">
        <v>82</v>
      </c>
      <c r="Q8" s="18" t="s">
        <v>83</v>
      </c>
      <c r="R8" s="21">
        <f>IF(C8="","",IFERROR(INDEX('THAM SỐ'!$F$5:$F$7,MATCH(C8,'THAM SỐ'!$A$5:$A$7,0)),""))</f>
        <v>1900</v>
      </c>
      <c r="S8" s="22">
        <f t="shared" si="0"/>
        <v>0.84210526315789469</v>
      </c>
      <c r="T8" s="16" t="str">
        <f t="shared" si="1"/>
        <v>Đạt</v>
      </c>
      <c r="U8" s="23">
        <f t="shared" si="2"/>
        <v>0.70833333333333304</v>
      </c>
      <c r="V8" s="18" t="s">
        <v>84</v>
      </c>
    </row>
    <row r="9" spans="1:22" x14ac:dyDescent="0.45">
      <c r="A9" s="16" t="str">
        <f>IF(B9="","","LDX-"&amp;TEXT(B9,"yymmdd")&amp;"-"&amp;TEXT(COUNTIFS(B$5:B9,B9),"00"))</f>
        <v>LDX-261007-01</v>
      </c>
      <c r="B9" s="17">
        <v>46302</v>
      </c>
      <c r="C9" s="18" t="s">
        <v>76</v>
      </c>
      <c r="D9" s="18" t="s">
        <v>77</v>
      </c>
      <c r="E9" s="18" t="s">
        <v>91</v>
      </c>
      <c r="F9" s="18" t="s">
        <v>94</v>
      </c>
      <c r="G9" s="18" t="s">
        <v>79</v>
      </c>
      <c r="H9" s="18" t="s">
        <v>95</v>
      </c>
      <c r="I9" s="18">
        <v>2</v>
      </c>
      <c r="J9" s="19">
        <v>46</v>
      </c>
      <c r="K9" s="20">
        <v>0.33333333333333298</v>
      </c>
      <c r="L9" s="20">
        <v>0.79166666666666696</v>
      </c>
      <c r="M9" s="19">
        <v>1900</v>
      </c>
      <c r="N9" s="18" t="s">
        <v>81</v>
      </c>
      <c r="O9" s="18">
        <v>2</v>
      </c>
      <c r="P9" s="18" t="s">
        <v>82</v>
      </c>
      <c r="Q9" s="18" t="s">
        <v>83</v>
      </c>
      <c r="R9" s="21">
        <f>IF(C9="","",IFERROR(INDEX('THAM SỐ'!$F$5:$F$7,MATCH(C9,'THAM SỐ'!$A$5:$A$7,0)),""))</f>
        <v>1750</v>
      </c>
      <c r="S9" s="22">
        <f t="shared" si="0"/>
        <v>1.0857142857142856</v>
      </c>
      <c r="T9" s="16" t="str">
        <f t="shared" si="1"/>
        <v>QUÁ TẢI</v>
      </c>
      <c r="U9" s="23">
        <f t="shared" si="2"/>
        <v>0.79166666666666696</v>
      </c>
      <c r="V9" s="18" t="s">
        <v>84</v>
      </c>
    </row>
    <row r="10" spans="1:22" x14ac:dyDescent="0.45">
      <c r="A10" s="16" t="str">
        <f>IF(B10="","","LDX-"&amp;TEXT(B10,"yymmdd")&amp;"-"&amp;TEXT(COUNTIFS(B$5:B10,B10),"00"))</f>
        <v>LDX-261007-02</v>
      </c>
      <c r="B10" s="17">
        <v>46302</v>
      </c>
      <c r="C10" s="18" t="s">
        <v>85</v>
      </c>
      <c r="D10" s="18" t="s">
        <v>86</v>
      </c>
      <c r="E10" s="18" t="s">
        <v>87</v>
      </c>
      <c r="F10" s="18" t="s">
        <v>88</v>
      </c>
      <c r="G10" s="18" t="s">
        <v>79</v>
      </c>
      <c r="H10" s="18" t="s">
        <v>96</v>
      </c>
      <c r="I10" s="18">
        <v>3</v>
      </c>
      <c r="J10" s="19">
        <v>42</v>
      </c>
      <c r="K10" s="20">
        <v>0.33333333333333298</v>
      </c>
      <c r="L10" s="20">
        <v>0.66666666666666696</v>
      </c>
      <c r="M10" s="19">
        <v>700</v>
      </c>
      <c r="N10" s="18" t="s">
        <v>90</v>
      </c>
      <c r="O10" s="18"/>
      <c r="P10" s="18" t="s">
        <v>82</v>
      </c>
      <c r="Q10" s="18" t="s">
        <v>97</v>
      </c>
      <c r="R10" s="21">
        <f>IF(C10="","",IFERROR(INDEX('THAM SỐ'!$F$5:$F$7,MATCH(C10,'THAM SỐ'!$A$5:$A$7,0)),""))</f>
        <v>1900</v>
      </c>
      <c r="S10" s="22">
        <f t="shared" si="0"/>
        <v>0.36842105263157893</v>
      </c>
      <c r="T10" s="16" t="str">
        <f t="shared" si="1"/>
        <v>Đạt</v>
      </c>
      <c r="U10" s="23">
        <f t="shared" si="2"/>
        <v>0.66666666666666696</v>
      </c>
      <c r="V10" s="18" t="s">
        <v>84</v>
      </c>
    </row>
    <row r="11" spans="1:22" x14ac:dyDescent="0.45">
      <c r="A11" s="16" t="str">
        <f>IF(B11="","","LDX-"&amp;TEXT(B11,"yymmdd")&amp;"-"&amp;TEXT(COUNTIFS(B$5:B11,B11),"00"))</f>
        <v>LDX-261008-01</v>
      </c>
      <c r="B11" s="17">
        <v>46303</v>
      </c>
      <c r="C11" s="18" t="s">
        <v>76</v>
      </c>
      <c r="D11" s="18" t="s">
        <v>77</v>
      </c>
      <c r="E11" s="18" t="s">
        <v>87</v>
      </c>
      <c r="F11" s="18" t="s">
        <v>92</v>
      </c>
      <c r="G11" s="18" t="s">
        <v>79</v>
      </c>
      <c r="H11" s="18" t="s">
        <v>98</v>
      </c>
      <c r="I11" s="18">
        <v>4</v>
      </c>
      <c r="J11" s="19">
        <v>160</v>
      </c>
      <c r="K11" s="20">
        <v>0.29166666666666702</v>
      </c>
      <c r="L11" s="20">
        <v>0.72916666666666696</v>
      </c>
      <c r="M11" s="19">
        <v>1400</v>
      </c>
      <c r="N11" s="18" t="s">
        <v>81</v>
      </c>
      <c r="O11" s="18">
        <v>1</v>
      </c>
      <c r="P11" s="18" t="s">
        <v>82</v>
      </c>
      <c r="Q11" s="18" t="s">
        <v>83</v>
      </c>
      <c r="R11" s="21">
        <f>IF(C11="","",IFERROR(INDEX('THAM SỐ'!$F$5:$F$7,MATCH(C11,'THAM SỐ'!$A$5:$A$7,0)),""))</f>
        <v>1750</v>
      </c>
      <c r="S11" s="22">
        <f t="shared" si="0"/>
        <v>0.8</v>
      </c>
      <c r="T11" s="16" t="str">
        <f t="shared" si="1"/>
        <v>Đạt</v>
      </c>
      <c r="U11" s="23">
        <f t="shared" si="2"/>
        <v>0.72916666666666696</v>
      </c>
      <c r="V11" s="18" t="s">
        <v>84</v>
      </c>
    </row>
    <row r="12" spans="1:22" x14ac:dyDescent="0.45">
      <c r="A12" s="16" t="str">
        <f>IF(B12="","","LDX-"&amp;TEXT(B12,"yymmdd")&amp;"-"&amp;TEXT(COUNTIFS(B$5:B12,B12),"00"))</f>
        <v>LDX-261008-02</v>
      </c>
      <c r="B12" s="17">
        <v>46303</v>
      </c>
      <c r="C12" s="18" t="s">
        <v>85</v>
      </c>
      <c r="D12" s="18" t="s">
        <v>86</v>
      </c>
      <c r="E12" s="18" t="s">
        <v>91</v>
      </c>
      <c r="F12" s="18" t="s">
        <v>94</v>
      </c>
      <c r="G12" s="18" t="s">
        <v>79</v>
      </c>
      <c r="H12" s="18" t="s">
        <v>99</v>
      </c>
      <c r="I12" s="18">
        <v>1</v>
      </c>
      <c r="J12" s="19">
        <v>52</v>
      </c>
      <c r="K12" s="20">
        <v>0.375</v>
      </c>
      <c r="L12" s="20">
        <v>0.58333333333333304</v>
      </c>
      <c r="M12" s="19">
        <v>1100</v>
      </c>
      <c r="N12" s="18" t="s">
        <v>90</v>
      </c>
      <c r="O12" s="18"/>
      <c r="P12" s="18" t="s">
        <v>82</v>
      </c>
      <c r="Q12" s="18" t="s">
        <v>100</v>
      </c>
      <c r="R12" s="21">
        <f>IF(C12="","",IFERROR(INDEX('THAM SỐ'!$F$5:$F$7,MATCH(C12,'THAM SỐ'!$A$5:$A$7,0)),""))</f>
        <v>1900</v>
      </c>
      <c r="S12" s="22">
        <f t="shared" si="0"/>
        <v>0.57894736842105265</v>
      </c>
      <c r="T12" s="16" t="str">
        <f t="shared" si="1"/>
        <v>Đạt</v>
      </c>
      <c r="U12" s="23">
        <f t="shared" si="2"/>
        <v>0.58333333333333304</v>
      </c>
      <c r="V12" s="18" t="s">
        <v>84</v>
      </c>
    </row>
    <row r="13" spans="1:22" x14ac:dyDescent="0.45">
      <c r="A13" s="16" t="str">
        <f>IF(B13="","","LDX-"&amp;TEXT(B13,"yymmdd")&amp;"-"&amp;TEXT(COUNTIFS(B$5:B13,B13),"00"))</f>
        <v>LDX-261009-01</v>
      </c>
      <c r="B13" s="17">
        <v>46304</v>
      </c>
      <c r="C13" s="18" t="s">
        <v>76</v>
      </c>
      <c r="D13" s="18" t="s">
        <v>77</v>
      </c>
      <c r="E13" s="18" t="s">
        <v>78</v>
      </c>
      <c r="F13" s="18" t="s">
        <v>78</v>
      </c>
      <c r="G13" s="18" t="s">
        <v>79</v>
      </c>
      <c r="H13" s="18" t="s">
        <v>101</v>
      </c>
      <c r="I13" s="18">
        <v>1</v>
      </c>
      <c r="J13" s="19">
        <v>350</v>
      </c>
      <c r="K13" s="20">
        <v>0.22916666666666699</v>
      </c>
      <c r="L13" s="20">
        <v>0.83333333333333304</v>
      </c>
      <c r="M13" s="19">
        <v>1700</v>
      </c>
      <c r="N13" s="18" t="s">
        <v>81</v>
      </c>
      <c r="O13" s="18">
        <v>3</v>
      </c>
      <c r="P13" s="18" t="s">
        <v>82</v>
      </c>
      <c r="Q13" s="18" t="s">
        <v>83</v>
      </c>
      <c r="R13" s="21">
        <f>IF(C13="","",IFERROR(INDEX('THAM SỐ'!$F$5:$F$7,MATCH(C13,'THAM SỐ'!$A$5:$A$7,0)),""))</f>
        <v>1750</v>
      </c>
      <c r="S13" s="22">
        <f t="shared" si="0"/>
        <v>0.97142857142857142</v>
      </c>
      <c r="T13" s="16" t="str">
        <f t="shared" si="1"/>
        <v>Sát tải</v>
      </c>
      <c r="U13" s="23">
        <f t="shared" si="2"/>
        <v>0.83333333333333304</v>
      </c>
      <c r="V13" s="18" t="s">
        <v>84</v>
      </c>
    </row>
    <row r="14" spans="1:22" x14ac:dyDescent="0.45">
      <c r="A14" s="16" t="str">
        <f>IF(B14="","","LDX-"&amp;TEXT(B14,"yymmdd")&amp;"-"&amp;TEXT(COUNTIFS(B$5:B14,B14),"00"))</f>
        <v/>
      </c>
      <c r="B14" s="17"/>
      <c r="C14" s="18"/>
      <c r="D14" s="18"/>
      <c r="E14" s="18"/>
      <c r="F14" s="18"/>
      <c r="G14" s="18"/>
      <c r="H14" s="18"/>
      <c r="I14" s="18"/>
      <c r="J14" s="19"/>
      <c r="K14" s="20"/>
      <c r="L14" s="20"/>
      <c r="M14" s="19"/>
      <c r="N14" s="18"/>
      <c r="O14" s="18"/>
      <c r="P14" s="18"/>
      <c r="Q14" s="18"/>
      <c r="R14" s="21" t="str">
        <f>IF(C14="","",IFERROR(INDEX('THAM SỐ'!$F$5:$F$7,MATCH(C14,'THAM SỐ'!$A$5:$A$7,0)),""))</f>
        <v/>
      </c>
      <c r="S14" s="22" t="str">
        <f t="shared" si="0"/>
        <v/>
      </c>
      <c r="T14" s="16" t="str">
        <f t="shared" si="1"/>
        <v/>
      </c>
      <c r="U14" s="23" t="str">
        <f t="shared" si="2"/>
        <v/>
      </c>
      <c r="V14" s="18"/>
    </row>
    <row r="15" spans="1:22" x14ac:dyDescent="0.45">
      <c r="A15" s="16" t="str">
        <f>IF(B15="","","LDX-"&amp;TEXT(B15,"yymmdd")&amp;"-"&amp;TEXT(COUNTIFS(B$5:B15,B15),"00"))</f>
        <v/>
      </c>
      <c r="B15" s="17"/>
      <c r="C15" s="18"/>
      <c r="D15" s="18"/>
      <c r="E15" s="18"/>
      <c r="F15" s="18"/>
      <c r="G15" s="18"/>
      <c r="H15" s="18"/>
      <c r="I15" s="18"/>
      <c r="J15" s="19"/>
      <c r="K15" s="20"/>
      <c r="L15" s="20"/>
      <c r="M15" s="19"/>
      <c r="N15" s="18"/>
      <c r="O15" s="18"/>
      <c r="P15" s="18"/>
      <c r="Q15" s="18"/>
      <c r="R15" s="21" t="str">
        <f>IF(C15="","",IFERROR(INDEX('THAM SỐ'!$F$5:$F$7,MATCH(C15,'THAM SỐ'!$A$5:$A$7,0)),""))</f>
        <v/>
      </c>
      <c r="S15" s="22" t="str">
        <f t="shared" si="0"/>
        <v/>
      </c>
      <c r="T15" s="16" t="str">
        <f t="shared" si="1"/>
        <v/>
      </c>
      <c r="U15" s="23" t="str">
        <f t="shared" si="2"/>
        <v/>
      </c>
      <c r="V15" s="18"/>
    </row>
    <row r="16" spans="1:22" x14ac:dyDescent="0.45">
      <c r="A16" s="16" t="str">
        <f>IF(B16="","","LDX-"&amp;TEXT(B16,"yymmdd")&amp;"-"&amp;TEXT(COUNTIFS(B$5:B16,B16),"00"))</f>
        <v/>
      </c>
      <c r="B16" s="17"/>
      <c r="C16" s="18"/>
      <c r="D16" s="18"/>
      <c r="E16" s="18"/>
      <c r="F16" s="18"/>
      <c r="G16" s="18"/>
      <c r="H16" s="18"/>
      <c r="I16" s="18"/>
      <c r="J16" s="19"/>
      <c r="K16" s="20"/>
      <c r="L16" s="20"/>
      <c r="M16" s="19"/>
      <c r="N16" s="18"/>
      <c r="O16" s="18"/>
      <c r="P16" s="18"/>
      <c r="Q16" s="18"/>
      <c r="R16" s="21" t="str">
        <f>IF(C16="","",IFERROR(INDEX('THAM SỐ'!$F$5:$F$7,MATCH(C16,'THAM SỐ'!$A$5:$A$7,0)),""))</f>
        <v/>
      </c>
      <c r="S16" s="22" t="str">
        <f t="shared" si="0"/>
        <v/>
      </c>
      <c r="T16" s="16" t="str">
        <f t="shared" si="1"/>
        <v/>
      </c>
      <c r="U16" s="23" t="str">
        <f t="shared" si="2"/>
        <v/>
      </c>
      <c r="V16" s="18"/>
    </row>
    <row r="17" spans="1:22" x14ac:dyDescent="0.45">
      <c r="A17" s="16" t="str">
        <f>IF(B17="","","LDX-"&amp;TEXT(B17,"yymmdd")&amp;"-"&amp;TEXT(COUNTIFS(B$5:B17,B17),"00"))</f>
        <v/>
      </c>
      <c r="B17" s="17"/>
      <c r="C17" s="18"/>
      <c r="D17" s="18"/>
      <c r="E17" s="18"/>
      <c r="F17" s="18"/>
      <c r="G17" s="18"/>
      <c r="H17" s="18"/>
      <c r="I17" s="18"/>
      <c r="J17" s="19"/>
      <c r="K17" s="20"/>
      <c r="L17" s="20"/>
      <c r="M17" s="19"/>
      <c r="N17" s="18"/>
      <c r="O17" s="18"/>
      <c r="P17" s="18"/>
      <c r="Q17" s="18"/>
      <c r="R17" s="21" t="str">
        <f>IF(C17="","",IFERROR(INDEX('THAM SỐ'!$F$5:$F$7,MATCH(C17,'THAM SỐ'!$A$5:$A$7,0)),""))</f>
        <v/>
      </c>
      <c r="S17" s="22" t="str">
        <f t="shared" si="0"/>
        <v/>
      </c>
      <c r="T17" s="16" t="str">
        <f t="shared" si="1"/>
        <v/>
      </c>
      <c r="U17" s="23" t="str">
        <f t="shared" si="2"/>
        <v/>
      </c>
      <c r="V17" s="18"/>
    </row>
    <row r="18" spans="1:22" x14ac:dyDescent="0.45">
      <c r="A18" s="16" t="str">
        <f>IF(B18="","","LDX-"&amp;TEXT(B18,"yymmdd")&amp;"-"&amp;TEXT(COUNTIFS(B$5:B18,B18),"00"))</f>
        <v/>
      </c>
      <c r="B18" s="17"/>
      <c r="C18" s="18"/>
      <c r="D18" s="18"/>
      <c r="E18" s="18"/>
      <c r="F18" s="18"/>
      <c r="G18" s="18"/>
      <c r="H18" s="18"/>
      <c r="I18" s="18"/>
      <c r="J18" s="19"/>
      <c r="K18" s="20"/>
      <c r="L18" s="20"/>
      <c r="M18" s="19"/>
      <c r="N18" s="18"/>
      <c r="O18" s="18"/>
      <c r="P18" s="18"/>
      <c r="Q18" s="18"/>
      <c r="R18" s="21" t="str">
        <f>IF(C18="","",IFERROR(INDEX('THAM SỐ'!$F$5:$F$7,MATCH(C18,'THAM SỐ'!$A$5:$A$7,0)),""))</f>
        <v/>
      </c>
      <c r="S18" s="22" t="str">
        <f t="shared" si="0"/>
        <v/>
      </c>
      <c r="T18" s="16" t="str">
        <f t="shared" si="1"/>
        <v/>
      </c>
      <c r="U18" s="23" t="str">
        <f t="shared" si="2"/>
        <v/>
      </c>
      <c r="V18" s="18"/>
    </row>
    <row r="19" spans="1:22" x14ac:dyDescent="0.45">
      <c r="A19" s="16" t="str">
        <f>IF(B19="","","LDX-"&amp;TEXT(B19,"yymmdd")&amp;"-"&amp;TEXT(COUNTIFS(B$5:B19,B19),"00"))</f>
        <v/>
      </c>
      <c r="B19" s="17"/>
      <c r="C19" s="18"/>
      <c r="D19" s="18"/>
      <c r="E19" s="18"/>
      <c r="F19" s="18"/>
      <c r="G19" s="18"/>
      <c r="H19" s="18"/>
      <c r="I19" s="18"/>
      <c r="J19" s="19"/>
      <c r="K19" s="20"/>
      <c r="L19" s="20"/>
      <c r="M19" s="19"/>
      <c r="N19" s="18"/>
      <c r="O19" s="18"/>
      <c r="P19" s="18"/>
      <c r="Q19" s="18"/>
      <c r="R19" s="21" t="str">
        <f>IF(C19="","",IFERROR(INDEX('THAM SỐ'!$F$5:$F$7,MATCH(C19,'THAM SỐ'!$A$5:$A$7,0)),""))</f>
        <v/>
      </c>
      <c r="S19" s="22" t="str">
        <f t="shared" si="0"/>
        <v/>
      </c>
      <c r="T19" s="16" t="str">
        <f t="shared" si="1"/>
        <v/>
      </c>
      <c r="U19" s="23" t="str">
        <f t="shared" si="2"/>
        <v/>
      </c>
      <c r="V19" s="18"/>
    </row>
    <row r="20" spans="1:22" x14ac:dyDescent="0.45">
      <c r="A20" s="16" t="str">
        <f>IF(B20="","","LDX-"&amp;TEXT(B20,"yymmdd")&amp;"-"&amp;TEXT(COUNTIFS(B$5:B20,B20),"00"))</f>
        <v/>
      </c>
      <c r="B20" s="17"/>
      <c r="C20" s="18"/>
      <c r="D20" s="18"/>
      <c r="E20" s="18"/>
      <c r="F20" s="18"/>
      <c r="G20" s="18"/>
      <c r="H20" s="18"/>
      <c r="I20" s="18"/>
      <c r="J20" s="19"/>
      <c r="K20" s="20"/>
      <c r="L20" s="20"/>
      <c r="M20" s="19"/>
      <c r="N20" s="18"/>
      <c r="O20" s="18"/>
      <c r="P20" s="18"/>
      <c r="Q20" s="18"/>
      <c r="R20" s="21" t="str">
        <f>IF(C20="","",IFERROR(INDEX('THAM SỐ'!$F$5:$F$7,MATCH(C20,'THAM SỐ'!$A$5:$A$7,0)),""))</f>
        <v/>
      </c>
      <c r="S20" s="22" t="str">
        <f t="shared" si="0"/>
        <v/>
      </c>
      <c r="T20" s="16" t="str">
        <f t="shared" si="1"/>
        <v/>
      </c>
      <c r="U20" s="23" t="str">
        <f t="shared" si="2"/>
        <v/>
      </c>
      <c r="V20" s="18"/>
    </row>
    <row r="21" spans="1:22" x14ac:dyDescent="0.45">
      <c r="A21" s="16" t="str">
        <f>IF(B21="","","LDX-"&amp;TEXT(B21,"yymmdd")&amp;"-"&amp;TEXT(COUNTIFS(B$5:B21,B21),"00"))</f>
        <v/>
      </c>
      <c r="B21" s="17"/>
      <c r="C21" s="18"/>
      <c r="D21" s="18"/>
      <c r="E21" s="18"/>
      <c r="F21" s="18"/>
      <c r="G21" s="18"/>
      <c r="H21" s="18"/>
      <c r="I21" s="18"/>
      <c r="J21" s="19"/>
      <c r="K21" s="20"/>
      <c r="L21" s="20"/>
      <c r="M21" s="19"/>
      <c r="N21" s="18"/>
      <c r="O21" s="18"/>
      <c r="P21" s="18"/>
      <c r="Q21" s="18"/>
      <c r="R21" s="21" t="str">
        <f>IF(C21="","",IFERROR(INDEX('THAM SỐ'!$F$5:$F$7,MATCH(C21,'THAM SỐ'!$A$5:$A$7,0)),""))</f>
        <v/>
      </c>
      <c r="S21" s="22" t="str">
        <f t="shared" si="0"/>
        <v/>
      </c>
      <c r="T21" s="16" t="str">
        <f t="shared" si="1"/>
        <v/>
      </c>
      <c r="U21" s="23" t="str">
        <f t="shared" si="2"/>
        <v/>
      </c>
      <c r="V21" s="18"/>
    </row>
    <row r="22" spans="1:22" x14ac:dyDescent="0.45">
      <c r="A22" s="16" t="str">
        <f>IF(B22="","","LDX-"&amp;TEXT(B22,"yymmdd")&amp;"-"&amp;TEXT(COUNTIFS(B$5:B22,B22),"00"))</f>
        <v/>
      </c>
      <c r="B22" s="17"/>
      <c r="C22" s="18"/>
      <c r="D22" s="18"/>
      <c r="E22" s="18"/>
      <c r="F22" s="18"/>
      <c r="G22" s="18"/>
      <c r="H22" s="18"/>
      <c r="I22" s="18"/>
      <c r="J22" s="19"/>
      <c r="K22" s="20"/>
      <c r="L22" s="20"/>
      <c r="M22" s="19"/>
      <c r="N22" s="18"/>
      <c r="O22" s="18"/>
      <c r="P22" s="18"/>
      <c r="Q22" s="18"/>
      <c r="R22" s="21" t="str">
        <f>IF(C22="","",IFERROR(INDEX('THAM SỐ'!$F$5:$F$7,MATCH(C22,'THAM SỐ'!$A$5:$A$7,0)),""))</f>
        <v/>
      </c>
      <c r="S22" s="22" t="str">
        <f t="shared" si="0"/>
        <v/>
      </c>
      <c r="T22" s="16" t="str">
        <f t="shared" si="1"/>
        <v/>
      </c>
      <c r="U22" s="23" t="str">
        <f t="shared" si="2"/>
        <v/>
      </c>
      <c r="V22" s="18"/>
    </row>
    <row r="23" spans="1:22" x14ac:dyDescent="0.45">
      <c r="A23" s="16" t="str">
        <f>IF(B23="","","LDX-"&amp;TEXT(B23,"yymmdd")&amp;"-"&amp;TEXT(COUNTIFS(B$5:B23,B23),"00"))</f>
        <v/>
      </c>
      <c r="B23" s="17"/>
      <c r="C23" s="18"/>
      <c r="D23" s="18"/>
      <c r="E23" s="18"/>
      <c r="F23" s="18"/>
      <c r="G23" s="18"/>
      <c r="H23" s="18"/>
      <c r="I23" s="18"/>
      <c r="J23" s="19"/>
      <c r="K23" s="20"/>
      <c r="L23" s="20"/>
      <c r="M23" s="19"/>
      <c r="N23" s="18"/>
      <c r="O23" s="18"/>
      <c r="P23" s="18"/>
      <c r="Q23" s="18"/>
      <c r="R23" s="21" t="str">
        <f>IF(C23="","",IFERROR(INDEX('THAM SỐ'!$F$5:$F$7,MATCH(C23,'THAM SỐ'!$A$5:$A$7,0)),""))</f>
        <v/>
      </c>
      <c r="S23" s="22" t="str">
        <f t="shared" si="0"/>
        <v/>
      </c>
      <c r="T23" s="16" t="str">
        <f t="shared" si="1"/>
        <v/>
      </c>
      <c r="U23" s="23" t="str">
        <f t="shared" si="2"/>
        <v/>
      </c>
      <c r="V23" s="18"/>
    </row>
    <row r="24" spans="1:22" x14ac:dyDescent="0.45">
      <c r="A24" s="16" t="str">
        <f>IF(B24="","","LDX-"&amp;TEXT(B24,"yymmdd")&amp;"-"&amp;TEXT(COUNTIFS(B$5:B24,B24),"00"))</f>
        <v/>
      </c>
      <c r="B24" s="17"/>
      <c r="C24" s="18"/>
      <c r="D24" s="18"/>
      <c r="E24" s="18"/>
      <c r="F24" s="18"/>
      <c r="G24" s="18"/>
      <c r="H24" s="18"/>
      <c r="I24" s="18"/>
      <c r="J24" s="19"/>
      <c r="K24" s="20"/>
      <c r="L24" s="20"/>
      <c r="M24" s="19"/>
      <c r="N24" s="18"/>
      <c r="O24" s="18"/>
      <c r="P24" s="18"/>
      <c r="Q24" s="18"/>
      <c r="R24" s="21" t="str">
        <f>IF(C24="","",IFERROR(INDEX('THAM SỐ'!$F$5:$F$7,MATCH(C24,'THAM SỐ'!$A$5:$A$7,0)),""))</f>
        <v/>
      </c>
      <c r="S24" s="22" t="str">
        <f t="shared" si="0"/>
        <v/>
      </c>
      <c r="T24" s="16" t="str">
        <f t="shared" si="1"/>
        <v/>
      </c>
      <c r="U24" s="23" t="str">
        <f t="shared" si="2"/>
        <v/>
      </c>
      <c r="V24" s="18"/>
    </row>
    <row r="25" spans="1:22" x14ac:dyDescent="0.45">
      <c r="A25" s="16" t="str">
        <f>IF(B25="","","LDX-"&amp;TEXT(B25,"yymmdd")&amp;"-"&amp;TEXT(COUNTIFS(B$5:B25,B25),"00"))</f>
        <v/>
      </c>
      <c r="B25" s="17"/>
      <c r="C25" s="18"/>
      <c r="D25" s="18"/>
      <c r="E25" s="18"/>
      <c r="F25" s="18"/>
      <c r="G25" s="18"/>
      <c r="H25" s="18"/>
      <c r="I25" s="18"/>
      <c r="J25" s="19"/>
      <c r="K25" s="20"/>
      <c r="L25" s="20"/>
      <c r="M25" s="19"/>
      <c r="N25" s="18"/>
      <c r="O25" s="18"/>
      <c r="P25" s="18"/>
      <c r="Q25" s="18"/>
      <c r="R25" s="21" t="str">
        <f>IF(C25="","",IFERROR(INDEX('THAM SỐ'!$F$5:$F$7,MATCH(C25,'THAM SỐ'!$A$5:$A$7,0)),""))</f>
        <v/>
      </c>
      <c r="S25" s="22" t="str">
        <f t="shared" si="0"/>
        <v/>
      </c>
      <c r="T25" s="16" t="str">
        <f t="shared" si="1"/>
        <v/>
      </c>
      <c r="U25" s="23" t="str">
        <f t="shared" si="2"/>
        <v/>
      </c>
      <c r="V25" s="18"/>
    </row>
    <row r="26" spans="1:22" x14ac:dyDescent="0.45">
      <c r="A26" s="16" t="str">
        <f>IF(B26="","","LDX-"&amp;TEXT(B26,"yymmdd")&amp;"-"&amp;TEXT(COUNTIFS(B$5:B26,B26),"00"))</f>
        <v/>
      </c>
      <c r="B26" s="17"/>
      <c r="C26" s="18"/>
      <c r="D26" s="18"/>
      <c r="E26" s="18"/>
      <c r="F26" s="18"/>
      <c r="G26" s="18"/>
      <c r="H26" s="18"/>
      <c r="I26" s="18"/>
      <c r="J26" s="19"/>
      <c r="K26" s="20"/>
      <c r="L26" s="20"/>
      <c r="M26" s="19"/>
      <c r="N26" s="18"/>
      <c r="O26" s="18"/>
      <c r="P26" s="18"/>
      <c r="Q26" s="18"/>
      <c r="R26" s="21" t="str">
        <f>IF(C26="","",IFERROR(INDEX('THAM SỐ'!$F$5:$F$7,MATCH(C26,'THAM SỐ'!$A$5:$A$7,0)),""))</f>
        <v/>
      </c>
      <c r="S26" s="22" t="str">
        <f t="shared" si="0"/>
        <v/>
      </c>
      <c r="T26" s="16" t="str">
        <f t="shared" si="1"/>
        <v/>
      </c>
      <c r="U26" s="23" t="str">
        <f t="shared" si="2"/>
        <v/>
      </c>
      <c r="V26" s="18"/>
    </row>
    <row r="27" spans="1:22" x14ac:dyDescent="0.45">
      <c r="A27" s="16" t="str">
        <f>IF(B27="","","LDX-"&amp;TEXT(B27,"yymmdd")&amp;"-"&amp;TEXT(COUNTIFS(B$5:B27,B27),"00"))</f>
        <v/>
      </c>
      <c r="B27" s="17"/>
      <c r="C27" s="18"/>
      <c r="D27" s="18"/>
      <c r="E27" s="18"/>
      <c r="F27" s="18"/>
      <c r="G27" s="18"/>
      <c r="H27" s="18"/>
      <c r="I27" s="18"/>
      <c r="J27" s="19"/>
      <c r="K27" s="20"/>
      <c r="L27" s="20"/>
      <c r="M27" s="19"/>
      <c r="N27" s="18"/>
      <c r="O27" s="18"/>
      <c r="P27" s="18"/>
      <c r="Q27" s="18"/>
      <c r="R27" s="21" t="str">
        <f>IF(C27="","",IFERROR(INDEX('THAM SỐ'!$F$5:$F$7,MATCH(C27,'THAM SỐ'!$A$5:$A$7,0)),""))</f>
        <v/>
      </c>
      <c r="S27" s="22" t="str">
        <f t="shared" si="0"/>
        <v/>
      </c>
      <c r="T27" s="16" t="str">
        <f t="shared" si="1"/>
        <v/>
      </c>
      <c r="U27" s="23" t="str">
        <f t="shared" si="2"/>
        <v/>
      </c>
      <c r="V27" s="18"/>
    </row>
    <row r="28" spans="1:22" x14ac:dyDescent="0.45">
      <c r="A28" s="16" t="str">
        <f>IF(B28="","","LDX-"&amp;TEXT(B28,"yymmdd")&amp;"-"&amp;TEXT(COUNTIFS(B$5:B28,B28),"00"))</f>
        <v/>
      </c>
      <c r="B28" s="17"/>
      <c r="C28" s="18"/>
      <c r="D28" s="18"/>
      <c r="E28" s="18"/>
      <c r="F28" s="18"/>
      <c r="G28" s="18"/>
      <c r="H28" s="18"/>
      <c r="I28" s="18"/>
      <c r="J28" s="19"/>
      <c r="K28" s="20"/>
      <c r="L28" s="20"/>
      <c r="M28" s="19"/>
      <c r="N28" s="18"/>
      <c r="O28" s="18"/>
      <c r="P28" s="18"/>
      <c r="Q28" s="18"/>
      <c r="R28" s="21" t="str">
        <f>IF(C28="","",IFERROR(INDEX('THAM SỐ'!$F$5:$F$7,MATCH(C28,'THAM SỐ'!$A$5:$A$7,0)),""))</f>
        <v/>
      </c>
      <c r="S28" s="22" t="str">
        <f t="shared" si="0"/>
        <v/>
      </c>
      <c r="T28" s="16" t="str">
        <f t="shared" si="1"/>
        <v/>
      </c>
      <c r="U28" s="23" t="str">
        <f t="shared" si="2"/>
        <v/>
      </c>
      <c r="V28" s="18"/>
    </row>
    <row r="29" spans="1:22" x14ac:dyDescent="0.45">
      <c r="A29" s="16" t="str">
        <f>IF(B29="","","LDX-"&amp;TEXT(B29,"yymmdd")&amp;"-"&amp;TEXT(COUNTIFS(B$5:B29,B29),"00"))</f>
        <v/>
      </c>
      <c r="B29" s="17"/>
      <c r="C29" s="18"/>
      <c r="D29" s="18"/>
      <c r="E29" s="18"/>
      <c r="F29" s="18"/>
      <c r="G29" s="18"/>
      <c r="H29" s="18"/>
      <c r="I29" s="18"/>
      <c r="J29" s="19"/>
      <c r="K29" s="20"/>
      <c r="L29" s="20"/>
      <c r="M29" s="19"/>
      <c r="N29" s="18"/>
      <c r="O29" s="18"/>
      <c r="P29" s="18"/>
      <c r="Q29" s="18"/>
      <c r="R29" s="21" t="str">
        <f>IF(C29="","",IFERROR(INDEX('THAM SỐ'!$F$5:$F$7,MATCH(C29,'THAM SỐ'!$A$5:$A$7,0)),""))</f>
        <v/>
      </c>
      <c r="S29" s="22" t="str">
        <f t="shared" si="0"/>
        <v/>
      </c>
      <c r="T29" s="16" t="str">
        <f t="shared" si="1"/>
        <v/>
      </c>
      <c r="U29" s="23" t="str">
        <f t="shared" si="2"/>
        <v/>
      </c>
      <c r="V29" s="18"/>
    </row>
    <row r="30" spans="1:22" x14ac:dyDescent="0.45">
      <c r="A30" s="16" t="str">
        <f>IF(B30="","","LDX-"&amp;TEXT(B30,"yymmdd")&amp;"-"&amp;TEXT(COUNTIFS(B$5:B30,B30),"00"))</f>
        <v/>
      </c>
      <c r="B30" s="17"/>
      <c r="C30" s="18"/>
      <c r="D30" s="18"/>
      <c r="E30" s="18"/>
      <c r="F30" s="18"/>
      <c r="G30" s="18"/>
      <c r="H30" s="18"/>
      <c r="I30" s="18"/>
      <c r="J30" s="19"/>
      <c r="K30" s="20"/>
      <c r="L30" s="20"/>
      <c r="M30" s="19"/>
      <c r="N30" s="18"/>
      <c r="O30" s="18"/>
      <c r="P30" s="18"/>
      <c r="Q30" s="18"/>
      <c r="R30" s="21" t="str">
        <f>IF(C30="","",IFERROR(INDEX('THAM SỐ'!$F$5:$F$7,MATCH(C30,'THAM SỐ'!$A$5:$A$7,0)),""))</f>
        <v/>
      </c>
      <c r="S30" s="22" t="str">
        <f t="shared" si="0"/>
        <v/>
      </c>
      <c r="T30" s="16" t="str">
        <f t="shared" si="1"/>
        <v/>
      </c>
      <c r="U30" s="23" t="str">
        <f t="shared" si="2"/>
        <v/>
      </c>
      <c r="V30" s="18"/>
    </row>
    <row r="31" spans="1:22" x14ac:dyDescent="0.45">
      <c r="A31" s="16" t="str">
        <f>IF(B31="","","LDX-"&amp;TEXT(B31,"yymmdd")&amp;"-"&amp;TEXT(COUNTIFS(B$5:B31,B31),"00"))</f>
        <v/>
      </c>
      <c r="B31" s="17"/>
      <c r="C31" s="18"/>
      <c r="D31" s="18"/>
      <c r="E31" s="18"/>
      <c r="F31" s="18"/>
      <c r="G31" s="18"/>
      <c r="H31" s="18"/>
      <c r="I31" s="18"/>
      <c r="J31" s="19"/>
      <c r="K31" s="20"/>
      <c r="L31" s="20"/>
      <c r="M31" s="19"/>
      <c r="N31" s="18"/>
      <c r="O31" s="18"/>
      <c r="P31" s="18"/>
      <c r="Q31" s="18"/>
      <c r="R31" s="21" t="str">
        <f>IF(C31="","",IFERROR(INDEX('THAM SỐ'!$F$5:$F$7,MATCH(C31,'THAM SỐ'!$A$5:$A$7,0)),""))</f>
        <v/>
      </c>
      <c r="S31" s="22" t="str">
        <f t="shared" si="0"/>
        <v/>
      </c>
      <c r="T31" s="16" t="str">
        <f t="shared" si="1"/>
        <v/>
      </c>
      <c r="U31" s="23" t="str">
        <f t="shared" si="2"/>
        <v/>
      </c>
      <c r="V31" s="18"/>
    </row>
    <row r="32" spans="1:22" x14ac:dyDescent="0.45">
      <c r="A32" s="16" t="str">
        <f>IF(B32="","","LDX-"&amp;TEXT(B32,"yymmdd")&amp;"-"&amp;TEXT(COUNTIFS(B$5:B32,B32),"00"))</f>
        <v/>
      </c>
      <c r="B32" s="17"/>
      <c r="C32" s="18"/>
      <c r="D32" s="18"/>
      <c r="E32" s="18"/>
      <c r="F32" s="18"/>
      <c r="G32" s="18"/>
      <c r="H32" s="18"/>
      <c r="I32" s="18"/>
      <c r="J32" s="19"/>
      <c r="K32" s="20"/>
      <c r="L32" s="20"/>
      <c r="M32" s="19"/>
      <c r="N32" s="18"/>
      <c r="O32" s="18"/>
      <c r="P32" s="18"/>
      <c r="Q32" s="18"/>
      <c r="R32" s="21" t="str">
        <f>IF(C32="","",IFERROR(INDEX('THAM SỐ'!$F$5:$F$7,MATCH(C32,'THAM SỐ'!$A$5:$A$7,0)),""))</f>
        <v/>
      </c>
      <c r="S32" s="22" t="str">
        <f t="shared" si="0"/>
        <v/>
      </c>
      <c r="T32" s="16" t="str">
        <f t="shared" si="1"/>
        <v/>
      </c>
      <c r="U32" s="23" t="str">
        <f t="shared" si="2"/>
        <v/>
      </c>
      <c r="V32" s="18"/>
    </row>
    <row r="33" spans="1:22" x14ac:dyDescent="0.45">
      <c r="A33" s="16" t="str">
        <f>IF(B33="","","LDX-"&amp;TEXT(B33,"yymmdd")&amp;"-"&amp;TEXT(COUNTIFS(B$5:B33,B33),"00"))</f>
        <v/>
      </c>
      <c r="B33" s="17"/>
      <c r="C33" s="18"/>
      <c r="D33" s="18"/>
      <c r="E33" s="18"/>
      <c r="F33" s="18"/>
      <c r="G33" s="18"/>
      <c r="H33" s="18"/>
      <c r="I33" s="18"/>
      <c r="J33" s="19"/>
      <c r="K33" s="20"/>
      <c r="L33" s="20"/>
      <c r="M33" s="19"/>
      <c r="N33" s="18"/>
      <c r="O33" s="18"/>
      <c r="P33" s="18"/>
      <c r="Q33" s="18"/>
      <c r="R33" s="21" t="str">
        <f>IF(C33="","",IFERROR(INDEX('THAM SỐ'!$F$5:$F$7,MATCH(C33,'THAM SỐ'!$A$5:$A$7,0)),""))</f>
        <v/>
      </c>
      <c r="S33" s="22" t="str">
        <f t="shared" si="0"/>
        <v/>
      </c>
      <c r="T33" s="16" t="str">
        <f t="shared" si="1"/>
        <v/>
      </c>
      <c r="U33" s="23" t="str">
        <f t="shared" si="2"/>
        <v/>
      </c>
      <c r="V33" s="18"/>
    </row>
    <row r="34" spans="1:22" x14ac:dyDescent="0.45">
      <c r="A34" s="16" t="str">
        <f>IF(B34="","","LDX-"&amp;TEXT(B34,"yymmdd")&amp;"-"&amp;TEXT(COUNTIFS(B$5:B34,B34),"00"))</f>
        <v/>
      </c>
      <c r="B34" s="17"/>
      <c r="C34" s="18"/>
      <c r="D34" s="18"/>
      <c r="E34" s="18"/>
      <c r="F34" s="18"/>
      <c r="G34" s="18"/>
      <c r="H34" s="18"/>
      <c r="I34" s="18"/>
      <c r="J34" s="19"/>
      <c r="K34" s="20"/>
      <c r="L34" s="20"/>
      <c r="M34" s="19"/>
      <c r="N34" s="18"/>
      <c r="O34" s="18"/>
      <c r="P34" s="18"/>
      <c r="Q34" s="18"/>
      <c r="R34" s="21" t="str">
        <f>IF(C34="","",IFERROR(INDEX('THAM SỐ'!$F$5:$F$7,MATCH(C34,'THAM SỐ'!$A$5:$A$7,0)),""))</f>
        <v/>
      </c>
      <c r="S34" s="22" t="str">
        <f t="shared" si="0"/>
        <v/>
      </c>
      <c r="T34" s="16" t="str">
        <f t="shared" si="1"/>
        <v/>
      </c>
      <c r="U34" s="23" t="str">
        <f t="shared" si="2"/>
        <v/>
      </c>
      <c r="V34" s="18"/>
    </row>
    <row r="35" spans="1:22" x14ac:dyDescent="0.45">
      <c r="A35" s="16" t="str">
        <f>IF(B35="","","LDX-"&amp;TEXT(B35,"yymmdd")&amp;"-"&amp;TEXT(COUNTIFS(B$5:B35,B35),"00"))</f>
        <v/>
      </c>
      <c r="B35" s="17"/>
      <c r="C35" s="18"/>
      <c r="D35" s="18"/>
      <c r="E35" s="18"/>
      <c r="F35" s="18"/>
      <c r="G35" s="18"/>
      <c r="H35" s="18"/>
      <c r="I35" s="18"/>
      <c r="J35" s="19"/>
      <c r="K35" s="20"/>
      <c r="L35" s="20"/>
      <c r="M35" s="19"/>
      <c r="N35" s="18"/>
      <c r="O35" s="18"/>
      <c r="P35" s="18"/>
      <c r="Q35" s="18"/>
      <c r="R35" s="21" t="str">
        <f>IF(C35="","",IFERROR(INDEX('THAM SỐ'!$F$5:$F$7,MATCH(C35,'THAM SỐ'!$A$5:$A$7,0)),""))</f>
        <v/>
      </c>
      <c r="S35" s="22" t="str">
        <f t="shared" si="0"/>
        <v/>
      </c>
      <c r="T35" s="16" t="str">
        <f t="shared" si="1"/>
        <v/>
      </c>
      <c r="U35" s="23" t="str">
        <f t="shared" si="2"/>
        <v/>
      </c>
      <c r="V35" s="18"/>
    </row>
    <row r="36" spans="1:22" x14ac:dyDescent="0.45">
      <c r="A36" s="16" t="str">
        <f>IF(B36="","","LDX-"&amp;TEXT(B36,"yymmdd")&amp;"-"&amp;TEXT(COUNTIFS(B$5:B36,B36),"00"))</f>
        <v/>
      </c>
      <c r="B36" s="17"/>
      <c r="C36" s="18"/>
      <c r="D36" s="18"/>
      <c r="E36" s="18"/>
      <c r="F36" s="18"/>
      <c r="G36" s="18"/>
      <c r="H36" s="18"/>
      <c r="I36" s="18"/>
      <c r="J36" s="19"/>
      <c r="K36" s="20"/>
      <c r="L36" s="20"/>
      <c r="M36" s="19"/>
      <c r="N36" s="18"/>
      <c r="O36" s="18"/>
      <c r="P36" s="18"/>
      <c r="Q36" s="18"/>
      <c r="R36" s="21" t="str">
        <f>IF(C36="","",IFERROR(INDEX('THAM SỐ'!$F$5:$F$7,MATCH(C36,'THAM SỐ'!$A$5:$A$7,0)),""))</f>
        <v/>
      </c>
      <c r="S36" s="22" t="str">
        <f t="shared" si="0"/>
        <v/>
      </c>
      <c r="T36" s="16" t="str">
        <f t="shared" si="1"/>
        <v/>
      </c>
      <c r="U36" s="23" t="str">
        <f t="shared" si="2"/>
        <v/>
      </c>
      <c r="V36" s="18"/>
    </row>
    <row r="37" spans="1:22" x14ac:dyDescent="0.45">
      <c r="A37" s="16" t="str">
        <f>IF(B37="","","LDX-"&amp;TEXT(B37,"yymmdd")&amp;"-"&amp;TEXT(COUNTIFS(B$5:B37,B37),"00"))</f>
        <v/>
      </c>
      <c r="B37" s="17"/>
      <c r="C37" s="18"/>
      <c r="D37" s="18"/>
      <c r="E37" s="18"/>
      <c r="F37" s="18"/>
      <c r="G37" s="18"/>
      <c r="H37" s="18"/>
      <c r="I37" s="18"/>
      <c r="J37" s="19"/>
      <c r="K37" s="20"/>
      <c r="L37" s="20"/>
      <c r="M37" s="19"/>
      <c r="N37" s="18"/>
      <c r="O37" s="18"/>
      <c r="P37" s="18"/>
      <c r="Q37" s="18"/>
      <c r="R37" s="21" t="str">
        <f>IF(C37="","",IFERROR(INDEX('THAM SỐ'!$F$5:$F$7,MATCH(C37,'THAM SỐ'!$A$5:$A$7,0)),""))</f>
        <v/>
      </c>
      <c r="S37" s="22" t="str">
        <f t="shared" si="0"/>
        <v/>
      </c>
      <c r="T37" s="16" t="str">
        <f t="shared" si="1"/>
        <v/>
      </c>
      <c r="U37" s="23" t="str">
        <f t="shared" si="2"/>
        <v/>
      </c>
      <c r="V37" s="18"/>
    </row>
    <row r="38" spans="1:22" x14ac:dyDescent="0.45">
      <c r="A38" s="16" t="str">
        <f>IF(B38="","","LDX-"&amp;TEXT(B38,"yymmdd")&amp;"-"&amp;TEXT(COUNTIFS(B$5:B38,B38),"00"))</f>
        <v/>
      </c>
      <c r="B38" s="17"/>
      <c r="C38" s="18"/>
      <c r="D38" s="18"/>
      <c r="E38" s="18"/>
      <c r="F38" s="18"/>
      <c r="G38" s="18"/>
      <c r="H38" s="18"/>
      <c r="I38" s="18"/>
      <c r="J38" s="19"/>
      <c r="K38" s="20"/>
      <c r="L38" s="20"/>
      <c r="M38" s="19"/>
      <c r="N38" s="18"/>
      <c r="O38" s="18"/>
      <c r="P38" s="18"/>
      <c r="Q38" s="18"/>
      <c r="R38" s="21" t="str">
        <f>IF(C38="","",IFERROR(INDEX('THAM SỐ'!$F$5:$F$7,MATCH(C38,'THAM SỐ'!$A$5:$A$7,0)),""))</f>
        <v/>
      </c>
      <c r="S38" s="22" t="str">
        <f t="shared" si="0"/>
        <v/>
      </c>
      <c r="T38" s="16" t="str">
        <f t="shared" si="1"/>
        <v/>
      </c>
      <c r="U38" s="23" t="str">
        <f t="shared" si="2"/>
        <v/>
      </c>
      <c r="V38" s="18"/>
    </row>
    <row r="39" spans="1:22" x14ac:dyDescent="0.45">
      <c r="A39" s="16" t="str">
        <f>IF(B39="","","LDX-"&amp;TEXT(B39,"yymmdd")&amp;"-"&amp;TEXT(COUNTIFS(B$5:B39,B39),"00"))</f>
        <v/>
      </c>
      <c r="B39" s="17"/>
      <c r="C39" s="18"/>
      <c r="D39" s="18"/>
      <c r="E39" s="18"/>
      <c r="F39" s="18"/>
      <c r="G39" s="18"/>
      <c r="H39" s="18"/>
      <c r="I39" s="18"/>
      <c r="J39" s="19"/>
      <c r="K39" s="20"/>
      <c r="L39" s="20"/>
      <c r="M39" s="19"/>
      <c r="N39" s="18"/>
      <c r="O39" s="18"/>
      <c r="P39" s="18"/>
      <c r="Q39" s="18"/>
      <c r="R39" s="21" t="str">
        <f>IF(C39="","",IFERROR(INDEX('THAM SỐ'!$F$5:$F$7,MATCH(C39,'THAM SỐ'!$A$5:$A$7,0)),""))</f>
        <v/>
      </c>
      <c r="S39" s="22" t="str">
        <f t="shared" si="0"/>
        <v/>
      </c>
      <c r="T39" s="16" t="str">
        <f t="shared" si="1"/>
        <v/>
      </c>
      <c r="U39" s="23" t="str">
        <f t="shared" si="2"/>
        <v/>
      </c>
      <c r="V39" s="18"/>
    </row>
    <row r="40" spans="1:22" x14ac:dyDescent="0.45">
      <c r="A40" s="16" t="str">
        <f>IF(B40="","","LDX-"&amp;TEXT(B40,"yymmdd")&amp;"-"&amp;TEXT(COUNTIFS(B$5:B40,B40),"00"))</f>
        <v/>
      </c>
      <c r="B40" s="17"/>
      <c r="C40" s="18"/>
      <c r="D40" s="18"/>
      <c r="E40" s="18"/>
      <c r="F40" s="18"/>
      <c r="G40" s="18"/>
      <c r="H40" s="18"/>
      <c r="I40" s="18"/>
      <c r="J40" s="19"/>
      <c r="K40" s="20"/>
      <c r="L40" s="20"/>
      <c r="M40" s="19"/>
      <c r="N40" s="18"/>
      <c r="O40" s="18"/>
      <c r="P40" s="18"/>
      <c r="Q40" s="18"/>
      <c r="R40" s="21" t="str">
        <f>IF(C40="","",IFERROR(INDEX('THAM SỐ'!$F$5:$F$7,MATCH(C40,'THAM SỐ'!$A$5:$A$7,0)),""))</f>
        <v/>
      </c>
      <c r="S40" s="22" t="str">
        <f t="shared" si="0"/>
        <v/>
      </c>
      <c r="T40" s="16" t="str">
        <f t="shared" si="1"/>
        <v/>
      </c>
      <c r="U40" s="23" t="str">
        <f t="shared" si="2"/>
        <v/>
      </c>
      <c r="V40" s="18"/>
    </row>
    <row r="41" spans="1:22" x14ac:dyDescent="0.45">
      <c r="A41" s="16" t="str">
        <f>IF(B41="","","LDX-"&amp;TEXT(B41,"yymmdd")&amp;"-"&amp;TEXT(COUNTIFS(B$5:B41,B41),"00"))</f>
        <v/>
      </c>
      <c r="B41" s="17"/>
      <c r="C41" s="18"/>
      <c r="D41" s="18"/>
      <c r="E41" s="18"/>
      <c r="F41" s="18"/>
      <c r="G41" s="18"/>
      <c r="H41" s="18"/>
      <c r="I41" s="18"/>
      <c r="J41" s="19"/>
      <c r="K41" s="20"/>
      <c r="L41" s="20"/>
      <c r="M41" s="19"/>
      <c r="N41" s="18"/>
      <c r="O41" s="18"/>
      <c r="P41" s="18"/>
      <c r="Q41" s="18"/>
      <c r="R41" s="21" t="str">
        <f>IF(C41="","",IFERROR(INDEX('THAM SỐ'!$F$5:$F$7,MATCH(C41,'THAM SỐ'!$A$5:$A$7,0)),""))</f>
        <v/>
      </c>
      <c r="S41" s="22" t="str">
        <f t="shared" si="0"/>
        <v/>
      </c>
      <c r="T41" s="16" t="str">
        <f t="shared" si="1"/>
        <v/>
      </c>
      <c r="U41" s="23" t="str">
        <f t="shared" si="2"/>
        <v/>
      </c>
      <c r="V41" s="18"/>
    </row>
    <row r="42" spans="1:22" x14ac:dyDescent="0.45">
      <c r="A42" s="16" t="str">
        <f>IF(B42="","","LDX-"&amp;TEXT(B42,"yymmdd")&amp;"-"&amp;TEXT(COUNTIFS(B$5:B42,B42),"00"))</f>
        <v/>
      </c>
      <c r="B42" s="17"/>
      <c r="C42" s="18"/>
      <c r="D42" s="18"/>
      <c r="E42" s="18"/>
      <c r="F42" s="18"/>
      <c r="G42" s="18"/>
      <c r="H42" s="18"/>
      <c r="I42" s="18"/>
      <c r="J42" s="19"/>
      <c r="K42" s="20"/>
      <c r="L42" s="20"/>
      <c r="M42" s="19"/>
      <c r="N42" s="18"/>
      <c r="O42" s="18"/>
      <c r="P42" s="18"/>
      <c r="Q42" s="18"/>
      <c r="R42" s="21" t="str">
        <f>IF(C42="","",IFERROR(INDEX('THAM SỐ'!$F$5:$F$7,MATCH(C42,'THAM SỐ'!$A$5:$A$7,0)),""))</f>
        <v/>
      </c>
      <c r="S42" s="22" t="str">
        <f t="shared" si="0"/>
        <v/>
      </c>
      <c r="T42" s="16" t="str">
        <f t="shared" si="1"/>
        <v/>
      </c>
      <c r="U42" s="23" t="str">
        <f t="shared" si="2"/>
        <v/>
      </c>
      <c r="V42" s="18"/>
    </row>
    <row r="43" spans="1:22" x14ac:dyDescent="0.45">
      <c r="A43" s="16" t="str">
        <f>IF(B43="","","LDX-"&amp;TEXT(B43,"yymmdd")&amp;"-"&amp;TEXT(COUNTIFS(B$5:B43,B43),"00"))</f>
        <v/>
      </c>
      <c r="B43" s="17"/>
      <c r="C43" s="18"/>
      <c r="D43" s="18"/>
      <c r="E43" s="18"/>
      <c r="F43" s="18"/>
      <c r="G43" s="18"/>
      <c r="H43" s="18"/>
      <c r="I43" s="18"/>
      <c r="J43" s="19"/>
      <c r="K43" s="20"/>
      <c r="L43" s="20"/>
      <c r="M43" s="19"/>
      <c r="N43" s="18"/>
      <c r="O43" s="18"/>
      <c r="P43" s="18"/>
      <c r="Q43" s="18"/>
      <c r="R43" s="21" t="str">
        <f>IF(C43="","",IFERROR(INDEX('THAM SỐ'!$F$5:$F$7,MATCH(C43,'THAM SỐ'!$A$5:$A$7,0)),""))</f>
        <v/>
      </c>
      <c r="S43" s="22" t="str">
        <f t="shared" si="0"/>
        <v/>
      </c>
      <c r="T43" s="16" t="str">
        <f t="shared" si="1"/>
        <v/>
      </c>
      <c r="U43" s="23" t="str">
        <f t="shared" si="2"/>
        <v/>
      </c>
      <c r="V43" s="18"/>
    </row>
    <row r="44" spans="1:22" x14ac:dyDescent="0.45">
      <c r="A44" s="16" t="str">
        <f>IF(B44="","","LDX-"&amp;TEXT(B44,"yymmdd")&amp;"-"&amp;TEXT(COUNTIFS(B$5:B44,B44),"00"))</f>
        <v/>
      </c>
      <c r="B44" s="17"/>
      <c r="C44" s="18"/>
      <c r="D44" s="18"/>
      <c r="E44" s="18"/>
      <c r="F44" s="18"/>
      <c r="G44" s="18"/>
      <c r="H44" s="18"/>
      <c r="I44" s="18"/>
      <c r="J44" s="19"/>
      <c r="K44" s="20"/>
      <c r="L44" s="20"/>
      <c r="M44" s="19"/>
      <c r="N44" s="18"/>
      <c r="O44" s="18"/>
      <c r="P44" s="18"/>
      <c r="Q44" s="18"/>
      <c r="R44" s="21" t="str">
        <f>IF(C44="","",IFERROR(INDEX('THAM SỐ'!$F$5:$F$7,MATCH(C44,'THAM SỐ'!$A$5:$A$7,0)),""))</f>
        <v/>
      </c>
      <c r="S44" s="22" t="str">
        <f t="shared" si="0"/>
        <v/>
      </c>
      <c r="T44" s="16" t="str">
        <f t="shared" si="1"/>
        <v/>
      </c>
      <c r="U44" s="23" t="str">
        <f t="shared" si="2"/>
        <v/>
      </c>
      <c r="V44" s="18"/>
    </row>
    <row r="45" spans="1:22" x14ac:dyDescent="0.45">
      <c r="A45" s="16" t="str">
        <f>IF(B45="","","LDX-"&amp;TEXT(B45,"yymmdd")&amp;"-"&amp;TEXT(COUNTIFS(B$5:B45,B45),"00"))</f>
        <v/>
      </c>
      <c r="B45" s="17"/>
      <c r="C45" s="18"/>
      <c r="D45" s="18"/>
      <c r="E45" s="18"/>
      <c r="F45" s="18"/>
      <c r="G45" s="18"/>
      <c r="H45" s="18"/>
      <c r="I45" s="18"/>
      <c r="J45" s="19"/>
      <c r="K45" s="20"/>
      <c r="L45" s="20"/>
      <c r="M45" s="19"/>
      <c r="N45" s="18"/>
      <c r="O45" s="18"/>
      <c r="P45" s="18"/>
      <c r="Q45" s="18"/>
      <c r="R45" s="21" t="str">
        <f>IF(C45="","",IFERROR(INDEX('THAM SỐ'!$F$5:$F$7,MATCH(C45,'THAM SỐ'!$A$5:$A$7,0)),""))</f>
        <v/>
      </c>
      <c r="S45" s="22" t="str">
        <f t="shared" si="0"/>
        <v/>
      </c>
      <c r="T45" s="16" t="str">
        <f t="shared" si="1"/>
        <v/>
      </c>
      <c r="U45" s="23" t="str">
        <f t="shared" si="2"/>
        <v/>
      </c>
      <c r="V45" s="18"/>
    </row>
    <row r="46" spans="1:22" x14ac:dyDescent="0.45">
      <c r="A46" s="16" t="str">
        <f>IF(B46="","","LDX-"&amp;TEXT(B46,"yymmdd")&amp;"-"&amp;TEXT(COUNTIFS(B$5:B46,B46),"00"))</f>
        <v/>
      </c>
      <c r="B46" s="17"/>
      <c r="C46" s="18"/>
      <c r="D46" s="18"/>
      <c r="E46" s="18"/>
      <c r="F46" s="18"/>
      <c r="G46" s="18"/>
      <c r="H46" s="18"/>
      <c r="I46" s="18"/>
      <c r="J46" s="19"/>
      <c r="K46" s="20"/>
      <c r="L46" s="20"/>
      <c r="M46" s="19"/>
      <c r="N46" s="18"/>
      <c r="O46" s="18"/>
      <c r="P46" s="18"/>
      <c r="Q46" s="18"/>
      <c r="R46" s="21" t="str">
        <f>IF(C46="","",IFERROR(INDEX('THAM SỐ'!$F$5:$F$7,MATCH(C46,'THAM SỐ'!$A$5:$A$7,0)),""))</f>
        <v/>
      </c>
      <c r="S46" s="22" t="str">
        <f t="shared" si="0"/>
        <v/>
      </c>
      <c r="T46" s="16" t="str">
        <f t="shared" si="1"/>
        <v/>
      </c>
      <c r="U46" s="23" t="str">
        <f t="shared" si="2"/>
        <v/>
      </c>
      <c r="V46" s="18"/>
    </row>
    <row r="47" spans="1:22" x14ac:dyDescent="0.45">
      <c r="A47" s="16" t="str">
        <f>IF(B47="","","LDX-"&amp;TEXT(B47,"yymmdd")&amp;"-"&amp;TEXT(COUNTIFS(B$5:B47,B47),"00"))</f>
        <v/>
      </c>
      <c r="B47" s="17"/>
      <c r="C47" s="18"/>
      <c r="D47" s="18"/>
      <c r="E47" s="18"/>
      <c r="F47" s="18"/>
      <c r="G47" s="18"/>
      <c r="H47" s="18"/>
      <c r="I47" s="18"/>
      <c r="J47" s="19"/>
      <c r="K47" s="20"/>
      <c r="L47" s="20"/>
      <c r="M47" s="19"/>
      <c r="N47" s="18"/>
      <c r="O47" s="18"/>
      <c r="P47" s="18"/>
      <c r="Q47" s="18"/>
      <c r="R47" s="21" t="str">
        <f>IF(C47="","",IFERROR(INDEX('THAM SỐ'!$F$5:$F$7,MATCH(C47,'THAM SỐ'!$A$5:$A$7,0)),""))</f>
        <v/>
      </c>
      <c r="S47" s="22" t="str">
        <f t="shared" si="0"/>
        <v/>
      </c>
      <c r="T47" s="16" t="str">
        <f t="shared" si="1"/>
        <v/>
      </c>
      <c r="U47" s="23" t="str">
        <f t="shared" si="2"/>
        <v/>
      </c>
      <c r="V47" s="18"/>
    </row>
    <row r="48" spans="1:22" x14ac:dyDescent="0.45">
      <c r="A48" s="16" t="str">
        <f>IF(B48="","","LDX-"&amp;TEXT(B48,"yymmdd")&amp;"-"&amp;TEXT(COUNTIFS(B$5:B48,B48),"00"))</f>
        <v/>
      </c>
      <c r="B48" s="17"/>
      <c r="C48" s="18"/>
      <c r="D48" s="18"/>
      <c r="E48" s="18"/>
      <c r="F48" s="18"/>
      <c r="G48" s="18"/>
      <c r="H48" s="18"/>
      <c r="I48" s="18"/>
      <c r="J48" s="19"/>
      <c r="K48" s="20"/>
      <c r="L48" s="20"/>
      <c r="M48" s="19"/>
      <c r="N48" s="18"/>
      <c r="O48" s="18"/>
      <c r="P48" s="18"/>
      <c r="Q48" s="18"/>
      <c r="R48" s="21" t="str">
        <f>IF(C48="","",IFERROR(INDEX('THAM SỐ'!$F$5:$F$7,MATCH(C48,'THAM SỐ'!$A$5:$A$7,0)),""))</f>
        <v/>
      </c>
      <c r="S48" s="22" t="str">
        <f t="shared" si="0"/>
        <v/>
      </c>
      <c r="T48" s="16" t="str">
        <f t="shared" si="1"/>
        <v/>
      </c>
      <c r="U48" s="23" t="str">
        <f t="shared" si="2"/>
        <v/>
      </c>
      <c r="V48" s="18"/>
    </row>
    <row r="49" spans="1:22" x14ac:dyDescent="0.45">
      <c r="A49" s="16" t="str">
        <f>IF(B49="","","LDX-"&amp;TEXT(B49,"yymmdd")&amp;"-"&amp;TEXT(COUNTIFS(B$5:B49,B49),"00"))</f>
        <v/>
      </c>
      <c r="B49" s="17"/>
      <c r="C49" s="18"/>
      <c r="D49" s="18"/>
      <c r="E49" s="18"/>
      <c r="F49" s="18"/>
      <c r="G49" s="18"/>
      <c r="H49" s="18"/>
      <c r="I49" s="18"/>
      <c r="J49" s="19"/>
      <c r="K49" s="20"/>
      <c r="L49" s="20"/>
      <c r="M49" s="19"/>
      <c r="N49" s="18"/>
      <c r="O49" s="18"/>
      <c r="P49" s="18"/>
      <c r="Q49" s="18"/>
      <c r="R49" s="21" t="str">
        <f>IF(C49="","",IFERROR(INDEX('THAM SỐ'!$F$5:$F$7,MATCH(C49,'THAM SỐ'!$A$5:$A$7,0)),""))</f>
        <v/>
      </c>
      <c r="S49" s="22" t="str">
        <f t="shared" si="0"/>
        <v/>
      </c>
      <c r="T49" s="16" t="str">
        <f t="shared" si="1"/>
        <v/>
      </c>
      <c r="U49" s="23" t="str">
        <f t="shared" si="2"/>
        <v/>
      </c>
      <c r="V49" s="18"/>
    </row>
    <row r="50" spans="1:22" x14ac:dyDescent="0.45">
      <c r="A50" s="16" t="str">
        <f>IF(B50="","","LDX-"&amp;TEXT(B50,"yymmdd")&amp;"-"&amp;TEXT(COUNTIFS(B$5:B50,B50),"00"))</f>
        <v/>
      </c>
      <c r="B50" s="17"/>
      <c r="C50" s="18"/>
      <c r="D50" s="18"/>
      <c r="E50" s="18"/>
      <c r="F50" s="18"/>
      <c r="G50" s="18"/>
      <c r="H50" s="18"/>
      <c r="I50" s="18"/>
      <c r="J50" s="19"/>
      <c r="K50" s="20"/>
      <c r="L50" s="20"/>
      <c r="M50" s="19"/>
      <c r="N50" s="18"/>
      <c r="O50" s="18"/>
      <c r="P50" s="18"/>
      <c r="Q50" s="18"/>
      <c r="R50" s="21" t="str">
        <f>IF(C50="","",IFERROR(INDEX('THAM SỐ'!$F$5:$F$7,MATCH(C50,'THAM SỐ'!$A$5:$A$7,0)),""))</f>
        <v/>
      </c>
      <c r="S50" s="22" t="str">
        <f t="shared" si="0"/>
        <v/>
      </c>
      <c r="T50" s="16" t="str">
        <f t="shared" si="1"/>
        <v/>
      </c>
      <c r="U50" s="23" t="str">
        <f t="shared" si="2"/>
        <v/>
      </c>
      <c r="V50" s="18"/>
    </row>
    <row r="51" spans="1:22" x14ac:dyDescent="0.45">
      <c r="A51" s="16" t="str">
        <f>IF(B51="","","LDX-"&amp;TEXT(B51,"yymmdd")&amp;"-"&amp;TEXT(COUNTIFS(B$5:B51,B51),"00"))</f>
        <v/>
      </c>
      <c r="B51" s="17"/>
      <c r="C51" s="18"/>
      <c r="D51" s="18"/>
      <c r="E51" s="18"/>
      <c r="F51" s="18"/>
      <c r="G51" s="18"/>
      <c r="H51" s="18"/>
      <c r="I51" s="18"/>
      <c r="J51" s="19"/>
      <c r="K51" s="20"/>
      <c r="L51" s="20"/>
      <c r="M51" s="19"/>
      <c r="N51" s="18"/>
      <c r="O51" s="18"/>
      <c r="P51" s="18"/>
      <c r="Q51" s="18"/>
      <c r="R51" s="21" t="str">
        <f>IF(C51="","",IFERROR(INDEX('THAM SỐ'!$F$5:$F$7,MATCH(C51,'THAM SỐ'!$A$5:$A$7,0)),""))</f>
        <v/>
      </c>
      <c r="S51" s="22" t="str">
        <f t="shared" si="0"/>
        <v/>
      </c>
      <c r="T51" s="16" t="str">
        <f t="shared" si="1"/>
        <v/>
      </c>
      <c r="U51" s="23" t="str">
        <f t="shared" si="2"/>
        <v/>
      </c>
      <c r="V51" s="18"/>
    </row>
    <row r="52" spans="1:22" x14ac:dyDescent="0.45">
      <c r="A52" s="16" t="str">
        <f>IF(B52="","","LDX-"&amp;TEXT(B52,"yymmdd")&amp;"-"&amp;TEXT(COUNTIFS(B$5:B52,B52),"00"))</f>
        <v/>
      </c>
      <c r="B52" s="17"/>
      <c r="C52" s="18"/>
      <c r="D52" s="18"/>
      <c r="E52" s="18"/>
      <c r="F52" s="18"/>
      <c r="G52" s="18"/>
      <c r="H52" s="18"/>
      <c r="I52" s="18"/>
      <c r="J52" s="19"/>
      <c r="K52" s="20"/>
      <c r="L52" s="20"/>
      <c r="M52" s="19"/>
      <c r="N52" s="18"/>
      <c r="O52" s="18"/>
      <c r="P52" s="18"/>
      <c r="Q52" s="18"/>
      <c r="R52" s="21" t="str">
        <f>IF(C52="","",IFERROR(INDEX('THAM SỐ'!$F$5:$F$7,MATCH(C52,'THAM SỐ'!$A$5:$A$7,0)),""))</f>
        <v/>
      </c>
      <c r="S52" s="22" t="str">
        <f t="shared" si="0"/>
        <v/>
      </c>
      <c r="T52" s="16" t="str">
        <f t="shared" si="1"/>
        <v/>
      </c>
      <c r="U52" s="23" t="str">
        <f t="shared" si="2"/>
        <v/>
      </c>
      <c r="V52" s="18"/>
    </row>
    <row r="53" spans="1:22" x14ac:dyDescent="0.45">
      <c r="A53" s="16" t="str">
        <f>IF(B53="","","LDX-"&amp;TEXT(B53,"yymmdd")&amp;"-"&amp;TEXT(COUNTIFS(B$5:B53,B53),"00"))</f>
        <v/>
      </c>
      <c r="B53" s="17"/>
      <c r="C53" s="18"/>
      <c r="D53" s="18"/>
      <c r="E53" s="18"/>
      <c r="F53" s="18"/>
      <c r="G53" s="18"/>
      <c r="H53" s="18"/>
      <c r="I53" s="18"/>
      <c r="J53" s="19"/>
      <c r="K53" s="20"/>
      <c r="L53" s="20"/>
      <c r="M53" s="19"/>
      <c r="N53" s="18"/>
      <c r="O53" s="18"/>
      <c r="P53" s="18"/>
      <c r="Q53" s="18"/>
      <c r="R53" s="21" t="str">
        <f>IF(C53="","",IFERROR(INDEX('THAM SỐ'!$F$5:$F$7,MATCH(C53,'THAM SỐ'!$A$5:$A$7,0)),""))</f>
        <v/>
      </c>
      <c r="S53" s="22" t="str">
        <f t="shared" si="0"/>
        <v/>
      </c>
      <c r="T53" s="16" t="str">
        <f t="shared" si="1"/>
        <v/>
      </c>
      <c r="U53" s="23" t="str">
        <f t="shared" si="2"/>
        <v/>
      </c>
      <c r="V53" s="18"/>
    </row>
    <row r="54" spans="1:22" x14ac:dyDescent="0.45">
      <c r="A54" s="16" t="str">
        <f>IF(B54="","","LDX-"&amp;TEXT(B54,"yymmdd")&amp;"-"&amp;TEXT(COUNTIFS(B$5:B54,B54),"00"))</f>
        <v/>
      </c>
      <c r="B54" s="17"/>
      <c r="C54" s="18"/>
      <c r="D54" s="18"/>
      <c r="E54" s="18"/>
      <c r="F54" s="18"/>
      <c r="G54" s="18"/>
      <c r="H54" s="18"/>
      <c r="I54" s="18"/>
      <c r="J54" s="19"/>
      <c r="K54" s="20"/>
      <c r="L54" s="20"/>
      <c r="M54" s="19"/>
      <c r="N54" s="18"/>
      <c r="O54" s="18"/>
      <c r="P54" s="18"/>
      <c r="Q54" s="18"/>
      <c r="R54" s="21" t="str">
        <f>IF(C54="","",IFERROR(INDEX('THAM SỐ'!$F$5:$F$7,MATCH(C54,'THAM SỐ'!$A$5:$A$7,0)),""))</f>
        <v/>
      </c>
      <c r="S54" s="22" t="str">
        <f t="shared" si="0"/>
        <v/>
      </c>
      <c r="T54" s="16" t="str">
        <f t="shared" si="1"/>
        <v/>
      </c>
      <c r="U54" s="23" t="str">
        <f t="shared" si="2"/>
        <v/>
      </c>
      <c r="V54" s="18"/>
    </row>
    <row r="55" spans="1:22" x14ac:dyDescent="0.45">
      <c r="A55" s="16" t="str">
        <f>IF(B55="","","LDX-"&amp;TEXT(B55,"yymmdd")&amp;"-"&amp;TEXT(COUNTIFS(B$5:B55,B55),"00"))</f>
        <v/>
      </c>
      <c r="B55" s="17"/>
      <c r="C55" s="18"/>
      <c r="D55" s="18"/>
      <c r="E55" s="18"/>
      <c r="F55" s="18"/>
      <c r="G55" s="18"/>
      <c r="H55" s="18"/>
      <c r="I55" s="18"/>
      <c r="J55" s="19"/>
      <c r="K55" s="20"/>
      <c r="L55" s="20"/>
      <c r="M55" s="19"/>
      <c r="N55" s="18"/>
      <c r="O55" s="18"/>
      <c r="P55" s="18"/>
      <c r="Q55" s="18"/>
      <c r="R55" s="21" t="str">
        <f>IF(C55="","",IFERROR(INDEX('THAM SỐ'!$F$5:$F$7,MATCH(C55,'THAM SỐ'!$A$5:$A$7,0)),""))</f>
        <v/>
      </c>
      <c r="S55" s="22" t="str">
        <f t="shared" si="0"/>
        <v/>
      </c>
      <c r="T55" s="16" t="str">
        <f t="shared" si="1"/>
        <v/>
      </c>
      <c r="U55" s="23" t="str">
        <f t="shared" si="2"/>
        <v/>
      </c>
      <c r="V55" s="18"/>
    </row>
    <row r="56" spans="1:22" x14ac:dyDescent="0.45">
      <c r="A56" s="16" t="str">
        <f>IF(B56="","","LDX-"&amp;TEXT(B56,"yymmdd")&amp;"-"&amp;TEXT(COUNTIFS(B$5:B56,B56),"00"))</f>
        <v/>
      </c>
      <c r="B56" s="17"/>
      <c r="C56" s="18"/>
      <c r="D56" s="18"/>
      <c r="E56" s="18"/>
      <c r="F56" s="18"/>
      <c r="G56" s="18"/>
      <c r="H56" s="18"/>
      <c r="I56" s="18"/>
      <c r="J56" s="19"/>
      <c r="K56" s="20"/>
      <c r="L56" s="20"/>
      <c r="M56" s="19"/>
      <c r="N56" s="18"/>
      <c r="O56" s="18"/>
      <c r="P56" s="18"/>
      <c r="Q56" s="18"/>
      <c r="R56" s="21" t="str">
        <f>IF(C56="","",IFERROR(INDEX('THAM SỐ'!$F$5:$F$7,MATCH(C56,'THAM SỐ'!$A$5:$A$7,0)),""))</f>
        <v/>
      </c>
      <c r="S56" s="22" t="str">
        <f t="shared" si="0"/>
        <v/>
      </c>
      <c r="T56" s="16" t="str">
        <f t="shared" si="1"/>
        <v/>
      </c>
      <c r="U56" s="23" t="str">
        <f t="shared" si="2"/>
        <v/>
      </c>
      <c r="V56" s="18"/>
    </row>
    <row r="57" spans="1:22" x14ac:dyDescent="0.45">
      <c r="A57" s="16" t="str">
        <f>IF(B57="","","LDX-"&amp;TEXT(B57,"yymmdd")&amp;"-"&amp;TEXT(COUNTIFS(B$5:B57,B57),"00"))</f>
        <v/>
      </c>
      <c r="B57" s="17"/>
      <c r="C57" s="18"/>
      <c r="D57" s="18"/>
      <c r="E57" s="18"/>
      <c r="F57" s="18"/>
      <c r="G57" s="18"/>
      <c r="H57" s="18"/>
      <c r="I57" s="18"/>
      <c r="J57" s="19"/>
      <c r="K57" s="20"/>
      <c r="L57" s="20"/>
      <c r="M57" s="19"/>
      <c r="N57" s="18"/>
      <c r="O57" s="18"/>
      <c r="P57" s="18"/>
      <c r="Q57" s="18"/>
      <c r="R57" s="21" t="str">
        <f>IF(C57="","",IFERROR(INDEX('THAM SỐ'!$F$5:$F$7,MATCH(C57,'THAM SỐ'!$A$5:$A$7,0)),""))</f>
        <v/>
      </c>
      <c r="S57" s="22" t="str">
        <f t="shared" si="0"/>
        <v/>
      </c>
      <c r="T57" s="16" t="str">
        <f t="shared" si="1"/>
        <v/>
      </c>
      <c r="U57" s="23" t="str">
        <f t="shared" si="2"/>
        <v/>
      </c>
      <c r="V57" s="18"/>
    </row>
    <row r="58" spans="1:22" x14ac:dyDescent="0.45">
      <c r="A58" s="16" t="str">
        <f>IF(B58="","","LDX-"&amp;TEXT(B58,"yymmdd")&amp;"-"&amp;TEXT(COUNTIFS(B$5:B58,B58),"00"))</f>
        <v/>
      </c>
      <c r="B58" s="17"/>
      <c r="C58" s="18"/>
      <c r="D58" s="18"/>
      <c r="E58" s="18"/>
      <c r="F58" s="18"/>
      <c r="G58" s="18"/>
      <c r="H58" s="18"/>
      <c r="I58" s="18"/>
      <c r="J58" s="19"/>
      <c r="K58" s="20"/>
      <c r="L58" s="20"/>
      <c r="M58" s="19"/>
      <c r="N58" s="18"/>
      <c r="O58" s="18"/>
      <c r="P58" s="18"/>
      <c r="Q58" s="18"/>
      <c r="R58" s="21" t="str">
        <f>IF(C58="","",IFERROR(INDEX('THAM SỐ'!$F$5:$F$7,MATCH(C58,'THAM SỐ'!$A$5:$A$7,0)),""))</f>
        <v/>
      </c>
      <c r="S58" s="22" t="str">
        <f t="shared" si="0"/>
        <v/>
      </c>
      <c r="T58" s="16" t="str">
        <f t="shared" si="1"/>
        <v/>
      </c>
      <c r="U58" s="23" t="str">
        <f t="shared" si="2"/>
        <v/>
      </c>
      <c r="V58" s="18"/>
    </row>
    <row r="59" spans="1:22" x14ac:dyDescent="0.45">
      <c r="A59" s="16" t="str">
        <f>IF(B59="","","LDX-"&amp;TEXT(B59,"yymmdd")&amp;"-"&amp;TEXT(COUNTIFS(B$5:B59,B59),"00"))</f>
        <v/>
      </c>
      <c r="B59" s="17"/>
      <c r="C59" s="18"/>
      <c r="D59" s="18"/>
      <c r="E59" s="18"/>
      <c r="F59" s="18"/>
      <c r="G59" s="18"/>
      <c r="H59" s="18"/>
      <c r="I59" s="18"/>
      <c r="J59" s="19"/>
      <c r="K59" s="20"/>
      <c r="L59" s="20"/>
      <c r="M59" s="19"/>
      <c r="N59" s="18"/>
      <c r="O59" s="18"/>
      <c r="P59" s="18"/>
      <c r="Q59" s="18"/>
      <c r="R59" s="21" t="str">
        <f>IF(C59="","",IFERROR(INDEX('THAM SỐ'!$F$5:$F$7,MATCH(C59,'THAM SỐ'!$A$5:$A$7,0)),""))</f>
        <v/>
      </c>
      <c r="S59" s="22" t="str">
        <f t="shared" si="0"/>
        <v/>
      </c>
      <c r="T59" s="16" t="str">
        <f t="shared" si="1"/>
        <v/>
      </c>
      <c r="U59" s="23" t="str">
        <f t="shared" si="2"/>
        <v/>
      </c>
      <c r="V59" s="18"/>
    </row>
    <row r="60" spans="1:22" x14ac:dyDescent="0.45">
      <c r="A60" s="16" t="str">
        <f>IF(B60="","","LDX-"&amp;TEXT(B60,"yymmdd")&amp;"-"&amp;TEXT(COUNTIFS(B$5:B60,B60),"00"))</f>
        <v/>
      </c>
      <c r="B60" s="17"/>
      <c r="C60" s="18"/>
      <c r="D60" s="18"/>
      <c r="E60" s="18"/>
      <c r="F60" s="18"/>
      <c r="G60" s="18"/>
      <c r="H60" s="18"/>
      <c r="I60" s="18"/>
      <c r="J60" s="19"/>
      <c r="K60" s="20"/>
      <c r="L60" s="20"/>
      <c r="M60" s="19"/>
      <c r="N60" s="18"/>
      <c r="O60" s="18"/>
      <c r="P60" s="18"/>
      <c r="Q60" s="18"/>
      <c r="R60" s="21" t="str">
        <f>IF(C60="","",IFERROR(INDEX('THAM SỐ'!$F$5:$F$7,MATCH(C60,'THAM SỐ'!$A$5:$A$7,0)),""))</f>
        <v/>
      </c>
      <c r="S60" s="22" t="str">
        <f t="shared" si="0"/>
        <v/>
      </c>
      <c r="T60" s="16" t="str">
        <f t="shared" si="1"/>
        <v/>
      </c>
      <c r="U60" s="23" t="str">
        <f t="shared" si="2"/>
        <v/>
      </c>
      <c r="V60" s="18"/>
    </row>
    <row r="61" spans="1:22" x14ac:dyDescent="0.45">
      <c r="A61" s="16" t="str">
        <f>IF(B61="","","LDX-"&amp;TEXT(B61,"yymmdd")&amp;"-"&amp;TEXT(COUNTIFS(B$5:B61,B61),"00"))</f>
        <v/>
      </c>
      <c r="B61" s="17"/>
      <c r="C61" s="18"/>
      <c r="D61" s="18"/>
      <c r="E61" s="18"/>
      <c r="F61" s="18"/>
      <c r="G61" s="18"/>
      <c r="H61" s="18"/>
      <c r="I61" s="18"/>
      <c r="J61" s="19"/>
      <c r="K61" s="20"/>
      <c r="L61" s="20"/>
      <c r="M61" s="19"/>
      <c r="N61" s="18"/>
      <c r="O61" s="18"/>
      <c r="P61" s="18"/>
      <c r="Q61" s="18"/>
      <c r="R61" s="21" t="str">
        <f>IF(C61="","",IFERROR(INDEX('THAM SỐ'!$F$5:$F$7,MATCH(C61,'THAM SỐ'!$A$5:$A$7,0)),""))</f>
        <v/>
      </c>
      <c r="S61" s="22" t="str">
        <f t="shared" si="0"/>
        <v/>
      </c>
      <c r="T61" s="16" t="str">
        <f t="shared" si="1"/>
        <v/>
      </c>
      <c r="U61" s="23" t="str">
        <f t="shared" si="2"/>
        <v/>
      </c>
      <c r="V61" s="18"/>
    </row>
    <row r="62" spans="1:22" x14ac:dyDescent="0.45">
      <c r="A62" s="16" t="str">
        <f>IF(B62="","","LDX-"&amp;TEXT(B62,"yymmdd")&amp;"-"&amp;TEXT(COUNTIFS(B$5:B62,B62),"00"))</f>
        <v/>
      </c>
      <c r="B62" s="17"/>
      <c r="C62" s="18"/>
      <c r="D62" s="18"/>
      <c r="E62" s="18"/>
      <c r="F62" s="18"/>
      <c r="G62" s="18"/>
      <c r="H62" s="18"/>
      <c r="I62" s="18"/>
      <c r="J62" s="19"/>
      <c r="K62" s="20"/>
      <c r="L62" s="20"/>
      <c r="M62" s="19"/>
      <c r="N62" s="18"/>
      <c r="O62" s="18"/>
      <c r="P62" s="18"/>
      <c r="Q62" s="18"/>
      <c r="R62" s="21" t="str">
        <f>IF(C62="","",IFERROR(INDEX('THAM SỐ'!$F$5:$F$7,MATCH(C62,'THAM SỐ'!$A$5:$A$7,0)),""))</f>
        <v/>
      </c>
      <c r="S62" s="22" t="str">
        <f t="shared" si="0"/>
        <v/>
      </c>
      <c r="T62" s="16" t="str">
        <f t="shared" si="1"/>
        <v/>
      </c>
      <c r="U62" s="23" t="str">
        <f t="shared" si="2"/>
        <v/>
      </c>
      <c r="V62" s="18"/>
    </row>
    <row r="63" spans="1:22" x14ac:dyDescent="0.45">
      <c r="A63" s="16" t="str">
        <f>IF(B63="","","LDX-"&amp;TEXT(B63,"yymmdd")&amp;"-"&amp;TEXT(COUNTIFS(B$5:B63,B63),"00"))</f>
        <v/>
      </c>
      <c r="B63" s="17"/>
      <c r="C63" s="18"/>
      <c r="D63" s="18"/>
      <c r="E63" s="18"/>
      <c r="F63" s="18"/>
      <c r="G63" s="18"/>
      <c r="H63" s="18"/>
      <c r="I63" s="18"/>
      <c r="J63" s="19"/>
      <c r="K63" s="20"/>
      <c r="L63" s="20"/>
      <c r="M63" s="19"/>
      <c r="N63" s="18"/>
      <c r="O63" s="18"/>
      <c r="P63" s="18"/>
      <c r="Q63" s="18"/>
      <c r="R63" s="21" t="str">
        <f>IF(C63="","",IFERROR(INDEX('THAM SỐ'!$F$5:$F$7,MATCH(C63,'THAM SỐ'!$A$5:$A$7,0)),""))</f>
        <v/>
      </c>
      <c r="S63" s="22" t="str">
        <f t="shared" si="0"/>
        <v/>
      </c>
      <c r="T63" s="16" t="str">
        <f t="shared" si="1"/>
        <v/>
      </c>
      <c r="U63" s="23" t="str">
        <f t="shared" si="2"/>
        <v/>
      </c>
      <c r="V63" s="18"/>
    </row>
    <row r="64" spans="1:22" x14ac:dyDescent="0.45">
      <c r="A64" s="16" t="str">
        <f>IF(B64="","","LDX-"&amp;TEXT(B64,"yymmdd")&amp;"-"&amp;TEXT(COUNTIFS(B$5:B64,B64),"00"))</f>
        <v/>
      </c>
      <c r="B64" s="17"/>
      <c r="C64" s="18"/>
      <c r="D64" s="18"/>
      <c r="E64" s="18"/>
      <c r="F64" s="18"/>
      <c r="G64" s="18"/>
      <c r="H64" s="18"/>
      <c r="I64" s="18"/>
      <c r="J64" s="19"/>
      <c r="K64" s="20"/>
      <c r="L64" s="20"/>
      <c r="M64" s="19"/>
      <c r="N64" s="18"/>
      <c r="O64" s="18"/>
      <c r="P64" s="18"/>
      <c r="Q64" s="18"/>
      <c r="R64" s="21" t="str">
        <f>IF(C64="","",IFERROR(INDEX('THAM SỐ'!$F$5:$F$7,MATCH(C64,'THAM SỐ'!$A$5:$A$7,0)),""))</f>
        <v/>
      </c>
      <c r="S64" s="22" t="str">
        <f t="shared" si="0"/>
        <v/>
      </c>
      <c r="T64" s="16" t="str">
        <f t="shared" si="1"/>
        <v/>
      </c>
      <c r="U64" s="23" t="str">
        <f t="shared" si="2"/>
        <v/>
      </c>
      <c r="V64" s="18"/>
    </row>
    <row r="65" spans="1:22" x14ac:dyDescent="0.45">
      <c r="A65" s="16" t="str">
        <f>IF(B65="","","LDX-"&amp;TEXT(B65,"yymmdd")&amp;"-"&amp;TEXT(COUNTIFS(B$5:B65,B65),"00"))</f>
        <v/>
      </c>
      <c r="B65" s="17"/>
      <c r="C65" s="18"/>
      <c r="D65" s="18"/>
      <c r="E65" s="18"/>
      <c r="F65" s="18"/>
      <c r="G65" s="18"/>
      <c r="H65" s="18"/>
      <c r="I65" s="18"/>
      <c r="J65" s="19"/>
      <c r="K65" s="20"/>
      <c r="L65" s="20"/>
      <c r="M65" s="19"/>
      <c r="N65" s="18"/>
      <c r="O65" s="18"/>
      <c r="P65" s="18"/>
      <c r="Q65" s="18"/>
      <c r="R65" s="21" t="str">
        <f>IF(C65="","",IFERROR(INDEX('THAM SỐ'!$F$5:$F$7,MATCH(C65,'THAM SỐ'!$A$5:$A$7,0)),""))</f>
        <v/>
      </c>
      <c r="S65" s="22" t="str">
        <f t="shared" si="0"/>
        <v/>
      </c>
      <c r="T65" s="16" t="str">
        <f t="shared" si="1"/>
        <v/>
      </c>
      <c r="U65" s="23" t="str">
        <f t="shared" si="2"/>
        <v/>
      </c>
      <c r="V65" s="18"/>
    </row>
    <row r="66" spans="1:22" x14ac:dyDescent="0.45">
      <c r="A66" s="16" t="str">
        <f>IF(B66="","","LDX-"&amp;TEXT(B66,"yymmdd")&amp;"-"&amp;TEXT(COUNTIFS(B$5:B66,B66),"00"))</f>
        <v/>
      </c>
      <c r="B66" s="17"/>
      <c r="C66" s="18"/>
      <c r="D66" s="18"/>
      <c r="E66" s="18"/>
      <c r="F66" s="18"/>
      <c r="G66" s="18"/>
      <c r="H66" s="18"/>
      <c r="I66" s="18"/>
      <c r="J66" s="19"/>
      <c r="K66" s="20"/>
      <c r="L66" s="20"/>
      <c r="M66" s="19"/>
      <c r="N66" s="18"/>
      <c r="O66" s="18"/>
      <c r="P66" s="18"/>
      <c r="Q66" s="18"/>
      <c r="R66" s="21" t="str">
        <f>IF(C66="","",IFERROR(INDEX('THAM SỐ'!$F$5:$F$7,MATCH(C66,'THAM SỐ'!$A$5:$A$7,0)),""))</f>
        <v/>
      </c>
      <c r="S66" s="22" t="str">
        <f t="shared" si="0"/>
        <v/>
      </c>
      <c r="T66" s="16" t="str">
        <f t="shared" si="1"/>
        <v/>
      </c>
      <c r="U66" s="23" t="str">
        <f t="shared" si="2"/>
        <v/>
      </c>
      <c r="V66" s="18"/>
    </row>
    <row r="67" spans="1:22" x14ac:dyDescent="0.45">
      <c r="A67" s="16" t="str">
        <f>IF(B67="","","LDX-"&amp;TEXT(B67,"yymmdd")&amp;"-"&amp;TEXT(COUNTIFS(B$5:B67,B67),"00"))</f>
        <v/>
      </c>
      <c r="B67" s="17"/>
      <c r="C67" s="18"/>
      <c r="D67" s="18"/>
      <c r="E67" s="18"/>
      <c r="F67" s="18"/>
      <c r="G67" s="18"/>
      <c r="H67" s="18"/>
      <c r="I67" s="18"/>
      <c r="J67" s="19"/>
      <c r="K67" s="20"/>
      <c r="L67" s="20"/>
      <c r="M67" s="19"/>
      <c r="N67" s="18"/>
      <c r="O67" s="18"/>
      <c r="P67" s="18"/>
      <c r="Q67" s="18"/>
      <c r="R67" s="21" t="str">
        <f>IF(C67="","",IFERROR(INDEX('THAM SỐ'!$F$5:$F$7,MATCH(C67,'THAM SỐ'!$A$5:$A$7,0)),""))</f>
        <v/>
      </c>
      <c r="S67" s="22" t="str">
        <f t="shared" si="0"/>
        <v/>
      </c>
      <c r="T67" s="16" t="str">
        <f t="shared" si="1"/>
        <v/>
      </c>
      <c r="U67" s="23" t="str">
        <f t="shared" si="2"/>
        <v/>
      </c>
      <c r="V67" s="18"/>
    </row>
    <row r="68" spans="1:22" x14ac:dyDescent="0.45">
      <c r="A68" s="16" t="str">
        <f>IF(B68="","","LDX-"&amp;TEXT(B68,"yymmdd")&amp;"-"&amp;TEXT(COUNTIFS(B$5:B68,B68),"00"))</f>
        <v/>
      </c>
      <c r="B68" s="17"/>
      <c r="C68" s="18"/>
      <c r="D68" s="18"/>
      <c r="E68" s="18"/>
      <c r="F68" s="18"/>
      <c r="G68" s="18"/>
      <c r="H68" s="18"/>
      <c r="I68" s="18"/>
      <c r="J68" s="19"/>
      <c r="K68" s="20"/>
      <c r="L68" s="20"/>
      <c r="M68" s="19"/>
      <c r="N68" s="18"/>
      <c r="O68" s="18"/>
      <c r="P68" s="18"/>
      <c r="Q68" s="18"/>
      <c r="R68" s="21" t="str">
        <f>IF(C68="","",IFERROR(INDEX('THAM SỐ'!$F$5:$F$7,MATCH(C68,'THAM SỐ'!$A$5:$A$7,0)),""))</f>
        <v/>
      </c>
      <c r="S68" s="22" t="str">
        <f t="shared" si="0"/>
        <v/>
      </c>
      <c r="T68" s="16" t="str">
        <f t="shared" si="1"/>
        <v/>
      </c>
      <c r="U68" s="23" t="str">
        <f t="shared" si="2"/>
        <v/>
      </c>
      <c r="V68" s="18"/>
    </row>
    <row r="69" spans="1:22" x14ac:dyDescent="0.45">
      <c r="A69" s="16" t="str">
        <f>IF(B69="","","LDX-"&amp;TEXT(B69,"yymmdd")&amp;"-"&amp;TEXT(COUNTIFS(B$5:B69,B69),"00"))</f>
        <v/>
      </c>
      <c r="B69" s="17"/>
      <c r="C69" s="18"/>
      <c r="D69" s="18"/>
      <c r="E69" s="18"/>
      <c r="F69" s="18"/>
      <c r="G69" s="18"/>
      <c r="H69" s="18"/>
      <c r="I69" s="18"/>
      <c r="J69" s="19"/>
      <c r="K69" s="20"/>
      <c r="L69" s="20"/>
      <c r="M69" s="19"/>
      <c r="N69" s="18"/>
      <c r="O69" s="18"/>
      <c r="P69" s="18"/>
      <c r="Q69" s="18"/>
      <c r="R69" s="21" t="str">
        <f>IF(C69="","",IFERROR(INDEX('THAM SỐ'!$F$5:$F$7,MATCH(C69,'THAM SỐ'!$A$5:$A$7,0)),""))</f>
        <v/>
      </c>
      <c r="S69" s="22" t="str">
        <f t="shared" ref="S69:S132" si="3">IF(OR(M69="",R69="",R69=0),"",M69/R69)</f>
        <v/>
      </c>
      <c r="T69" s="16" t="str">
        <f t="shared" ref="T69:T132" si="4">IF(S69="","",IF(S69&gt;1,"QUÁ TẢI",IF(S69&gt;0.9,"Sát tải","Đạt")))</f>
        <v/>
      </c>
      <c r="U69" s="23" t="str">
        <f t="shared" ref="U69:U132" si="5">IF(L69="","",L69+(L69&lt;4/24))</f>
        <v/>
      </c>
      <c r="V69" s="18"/>
    </row>
    <row r="70" spans="1:22" x14ac:dyDescent="0.45">
      <c r="A70" s="16" t="str">
        <f>IF(B70="","","LDX-"&amp;TEXT(B70,"yymmdd")&amp;"-"&amp;TEXT(COUNTIFS(B$5:B70,B70),"00"))</f>
        <v/>
      </c>
      <c r="B70" s="17"/>
      <c r="C70" s="18"/>
      <c r="D70" s="18"/>
      <c r="E70" s="18"/>
      <c r="F70" s="18"/>
      <c r="G70" s="18"/>
      <c r="H70" s="18"/>
      <c r="I70" s="18"/>
      <c r="J70" s="19"/>
      <c r="K70" s="20"/>
      <c r="L70" s="20"/>
      <c r="M70" s="19"/>
      <c r="N70" s="18"/>
      <c r="O70" s="18"/>
      <c r="P70" s="18"/>
      <c r="Q70" s="18"/>
      <c r="R70" s="21" t="str">
        <f>IF(C70="","",IFERROR(INDEX('THAM SỐ'!$F$5:$F$7,MATCH(C70,'THAM SỐ'!$A$5:$A$7,0)),""))</f>
        <v/>
      </c>
      <c r="S70" s="22" t="str">
        <f t="shared" si="3"/>
        <v/>
      </c>
      <c r="T70" s="16" t="str">
        <f t="shared" si="4"/>
        <v/>
      </c>
      <c r="U70" s="23" t="str">
        <f t="shared" si="5"/>
        <v/>
      </c>
      <c r="V70" s="18"/>
    </row>
    <row r="71" spans="1:22" x14ac:dyDescent="0.45">
      <c r="A71" s="16" t="str">
        <f>IF(B71="","","LDX-"&amp;TEXT(B71,"yymmdd")&amp;"-"&amp;TEXT(COUNTIFS(B$5:B71,B71),"00"))</f>
        <v/>
      </c>
      <c r="B71" s="17"/>
      <c r="C71" s="18"/>
      <c r="D71" s="18"/>
      <c r="E71" s="18"/>
      <c r="F71" s="18"/>
      <c r="G71" s="18"/>
      <c r="H71" s="18"/>
      <c r="I71" s="18"/>
      <c r="J71" s="19"/>
      <c r="K71" s="20"/>
      <c r="L71" s="20"/>
      <c r="M71" s="19"/>
      <c r="N71" s="18"/>
      <c r="O71" s="18"/>
      <c r="P71" s="18"/>
      <c r="Q71" s="18"/>
      <c r="R71" s="21" t="str">
        <f>IF(C71="","",IFERROR(INDEX('THAM SỐ'!$F$5:$F$7,MATCH(C71,'THAM SỐ'!$A$5:$A$7,0)),""))</f>
        <v/>
      </c>
      <c r="S71" s="22" t="str">
        <f t="shared" si="3"/>
        <v/>
      </c>
      <c r="T71" s="16" t="str">
        <f t="shared" si="4"/>
        <v/>
      </c>
      <c r="U71" s="23" t="str">
        <f t="shared" si="5"/>
        <v/>
      </c>
      <c r="V71" s="18"/>
    </row>
    <row r="72" spans="1:22" x14ac:dyDescent="0.45">
      <c r="A72" s="16" t="str">
        <f>IF(B72="","","LDX-"&amp;TEXT(B72,"yymmdd")&amp;"-"&amp;TEXT(COUNTIFS(B$5:B72,B72),"00"))</f>
        <v/>
      </c>
      <c r="B72" s="17"/>
      <c r="C72" s="18"/>
      <c r="D72" s="18"/>
      <c r="E72" s="18"/>
      <c r="F72" s="18"/>
      <c r="G72" s="18"/>
      <c r="H72" s="18"/>
      <c r="I72" s="18"/>
      <c r="J72" s="19"/>
      <c r="K72" s="20"/>
      <c r="L72" s="20"/>
      <c r="M72" s="19"/>
      <c r="N72" s="18"/>
      <c r="O72" s="18"/>
      <c r="P72" s="18"/>
      <c r="Q72" s="18"/>
      <c r="R72" s="21" t="str">
        <f>IF(C72="","",IFERROR(INDEX('THAM SỐ'!$F$5:$F$7,MATCH(C72,'THAM SỐ'!$A$5:$A$7,0)),""))</f>
        <v/>
      </c>
      <c r="S72" s="22" t="str">
        <f t="shared" si="3"/>
        <v/>
      </c>
      <c r="T72" s="16" t="str">
        <f t="shared" si="4"/>
        <v/>
      </c>
      <c r="U72" s="23" t="str">
        <f t="shared" si="5"/>
        <v/>
      </c>
      <c r="V72" s="18"/>
    </row>
    <row r="73" spans="1:22" x14ac:dyDescent="0.45">
      <c r="A73" s="16" t="str">
        <f>IF(B73="","","LDX-"&amp;TEXT(B73,"yymmdd")&amp;"-"&amp;TEXT(COUNTIFS(B$5:B73,B73),"00"))</f>
        <v/>
      </c>
      <c r="B73" s="17"/>
      <c r="C73" s="18"/>
      <c r="D73" s="18"/>
      <c r="E73" s="18"/>
      <c r="F73" s="18"/>
      <c r="G73" s="18"/>
      <c r="H73" s="18"/>
      <c r="I73" s="18"/>
      <c r="J73" s="19"/>
      <c r="K73" s="20"/>
      <c r="L73" s="20"/>
      <c r="M73" s="19"/>
      <c r="N73" s="18"/>
      <c r="O73" s="18"/>
      <c r="P73" s="18"/>
      <c r="Q73" s="18"/>
      <c r="R73" s="21" t="str">
        <f>IF(C73="","",IFERROR(INDEX('THAM SỐ'!$F$5:$F$7,MATCH(C73,'THAM SỐ'!$A$5:$A$7,0)),""))</f>
        <v/>
      </c>
      <c r="S73" s="22" t="str">
        <f t="shared" si="3"/>
        <v/>
      </c>
      <c r="T73" s="16" t="str">
        <f t="shared" si="4"/>
        <v/>
      </c>
      <c r="U73" s="23" t="str">
        <f t="shared" si="5"/>
        <v/>
      </c>
      <c r="V73" s="18"/>
    </row>
    <row r="74" spans="1:22" x14ac:dyDescent="0.45">
      <c r="A74" s="16" t="str">
        <f>IF(B74="","","LDX-"&amp;TEXT(B74,"yymmdd")&amp;"-"&amp;TEXT(COUNTIFS(B$5:B74,B74),"00"))</f>
        <v/>
      </c>
      <c r="B74" s="17"/>
      <c r="C74" s="18"/>
      <c r="D74" s="18"/>
      <c r="E74" s="18"/>
      <c r="F74" s="18"/>
      <c r="G74" s="18"/>
      <c r="H74" s="18"/>
      <c r="I74" s="18"/>
      <c r="J74" s="19"/>
      <c r="K74" s="20"/>
      <c r="L74" s="20"/>
      <c r="M74" s="19"/>
      <c r="N74" s="18"/>
      <c r="O74" s="18"/>
      <c r="P74" s="18"/>
      <c r="Q74" s="18"/>
      <c r="R74" s="21" t="str">
        <f>IF(C74="","",IFERROR(INDEX('THAM SỐ'!$F$5:$F$7,MATCH(C74,'THAM SỐ'!$A$5:$A$7,0)),""))</f>
        <v/>
      </c>
      <c r="S74" s="22" t="str">
        <f t="shared" si="3"/>
        <v/>
      </c>
      <c r="T74" s="16" t="str">
        <f t="shared" si="4"/>
        <v/>
      </c>
      <c r="U74" s="23" t="str">
        <f t="shared" si="5"/>
        <v/>
      </c>
      <c r="V74" s="18"/>
    </row>
    <row r="75" spans="1:22" x14ac:dyDescent="0.45">
      <c r="A75" s="16" t="str">
        <f>IF(B75="","","LDX-"&amp;TEXT(B75,"yymmdd")&amp;"-"&amp;TEXT(COUNTIFS(B$5:B75,B75),"00"))</f>
        <v/>
      </c>
      <c r="B75" s="17"/>
      <c r="C75" s="18"/>
      <c r="D75" s="18"/>
      <c r="E75" s="18"/>
      <c r="F75" s="18"/>
      <c r="G75" s="18"/>
      <c r="H75" s="18"/>
      <c r="I75" s="18"/>
      <c r="J75" s="19"/>
      <c r="K75" s="20"/>
      <c r="L75" s="20"/>
      <c r="M75" s="19"/>
      <c r="N75" s="18"/>
      <c r="O75" s="18"/>
      <c r="P75" s="18"/>
      <c r="Q75" s="18"/>
      <c r="R75" s="21" t="str">
        <f>IF(C75="","",IFERROR(INDEX('THAM SỐ'!$F$5:$F$7,MATCH(C75,'THAM SỐ'!$A$5:$A$7,0)),""))</f>
        <v/>
      </c>
      <c r="S75" s="22" t="str">
        <f t="shared" si="3"/>
        <v/>
      </c>
      <c r="T75" s="16" t="str">
        <f t="shared" si="4"/>
        <v/>
      </c>
      <c r="U75" s="23" t="str">
        <f t="shared" si="5"/>
        <v/>
      </c>
      <c r="V75" s="18"/>
    </row>
    <row r="76" spans="1:22" x14ac:dyDescent="0.45">
      <c r="A76" s="16" t="str">
        <f>IF(B76="","","LDX-"&amp;TEXT(B76,"yymmdd")&amp;"-"&amp;TEXT(COUNTIFS(B$5:B76,B76),"00"))</f>
        <v/>
      </c>
      <c r="B76" s="17"/>
      <c r="C76" s="18"/>
      <c r="D76" s="18"/>
      <c r="E76" s="18"/>
      <c r="F76" s="18"/>
      <c r="G76" s="18"/>
      <c r="H76" s="18"/>
      <c r="I76" s="18"/>
      <c r="J76" s="19"/>
      <c r="K76" s="20"/>
      <c r="L76" s="20"/>
      <c r="M76" s="19"/>
      <c r="N76" s="18"/>
      <c r="O76" s="18"/>
      <c r="P76" s="18"/>
      <c r="Q76" s="18"/>
      <c r="R76" s="21" t="str">
        <f>IF(C76="","",IFERROR(INDEX('THAM SỐ'!$F$5:$F$7,MATCH(C76,'THAM SỐ'!$A$5:$A$7,0)),""))</f>
        <v/>
      </c>
      <c r="S76" s="22" t="str">
        <f t="shared" si="3"/>
        <v/>
      </c>
      <c r="T76" s="16" t="str">
        <f t="shared" si="4"/>
        <v/>
      </c>
      <c r="U76" s="23" t="str">
        <f t="shared" si="5"/>
        <v/>
      </c>
      <c r="V76" s="18"/>
    </row>
    <row r="77" spans="1:22" x14ac:dyDescent="0.45">
      <c r="A77" s="16" t="str">
        <f>IF(B77="","","LDX-"&amp;TEXT(B77,"yymmdd")&amp;"-"&amp;TEXT(COUNTIFS(B$5:B77,B77),"00"))</f>
        <v/>
      </c>
      <c r="B77" s="17"/>
      <c r="C77" s="18"/>
      <c r="D77" s="18"/>
      <c r="E77" s="18"/>
      <c r="F77" s="18"/>
      <c r="G77" s="18"/>
      <c r="H77" s="18"/>
      <c r="I77" s="18"/>
      <c r="J77" s="19"/>
      <c r="K77" s="20"/>
      <c r="L77" s="20"/>
      <c r="M77" s="19"/>
      <c r="N77" s="18"/>
      <c r="O77" s="18"/>
      <c r="P77" s="18"/>
      <c r="Q77" s="18"/>
      <c r="R77" s="21" t="str">
        <f>IF(C77="","",IFERROR(INDEX('THAM SỐ'!$F$5:$F$7,MATCH(C77,'THAM SỐ'!$A$5:$A$7,0)),""))</f>
        <v/>
      </c>
      <c r="S77" s="22" t="str">
        <f t="shared" si="3"/>
        <v/>
      </c>
      <c r="T77" s="16" t="str">
        <f t="shared" si="4"/>
        <v/>
      </c>
      <c r="U77" s="23" t="str">
        <f t="shared" si="5"/>
        <v/>
      </c>
      <c r="V77" s="18"/>
    </row>
    <row r="78" spans="1:22" x14ac:dyDescent="0.45">
      <c r="A78" s="16" t="str">
        <f>IF(B78="","","LDX-"&amp;TEXT(B78,"yymmdd")&amp;"-"&amp;TEXT(COUNTIFS(B$5:B78,B78),"00"))</f>
        <v/>
      </c>
      <c r="B78" s="17"/>
      <c r="C78" s="18"/>
      <c r="D78" s="18"/>
      <c r="E78" s="18"/>
      <c r="F78" s="18"/>
      <c r="G78" s="18"/>
      <c r="H78" s="18"/>
      <c r="I78" s="18"/>
      <c r="J78" s="19"/>
      <c r="K78" s="20"/>
      <c r="L78" s="20"/>
      <c r="M78" s="19"/>
      <c r="N78" s="18"/>
      <c r="O78" s="18"/>
      <c r="P78" s="18"/>
      <c r="Q78" s="18"/>
      <c r="R78" s="21" t="str">
        <f>IF(C78="","",IFERROR(INDEX('THAM SỐ'!$F$5:$F$7,MATCH(C78,'THAM SỐ'!$A$5:$A$7,0)),""))</f>
        <v/>
      </c>
      <c r="S78" s="22" t="str">
        <f t="shared" si="3"/>
        <v/>
      </c>
      <c r="T78" s="16" t="str">
        <f t="shared" si="4"/>
        <v/>
      </c>
      <c r="U78" s="23" t="str">
        <f t="shared" si="5"/>
        <v/>
      </c>
      <c r="V78" s="18"/>
    </row>
    <row r="79" spans="1:22" x14ac:dyDescent="0.45">
      <c r="A79" s="16" t="str">
        <f>IF(B79="","","LDX-"&amp;TEXT(B79,"yymmdd")&amp;"-"&amp;TEXT(COUNTIFS(B$5:B79,B79),"00"))</f>
        <v/>
      </c>
      <c r="B79" s="17"/>
      <c r="C79" s="18"/>
      <c r="D79" s="18"/>
      <c r="E79" s="18"/>
      <c r="F79" s="18"/>
      <c r="G79" s="18"/>
      <c r="H79" s="18"/>
      <c r="I79" s="18"/>
      <c r="J79" s="19"/>
      <c r="K79" s="20"/>
      <c r="L79" s="20"/>
      <c r="M79" s="19"/>
      <c r="N79" s="18"/>
      <c r="O79" s="18"/>
      <c r="P79" s="18"/>
      <c r="Q79" s="18"/>
      <c r="R79" s="21" t="str">
        <f>IF(C79="","",IFERROR(INDEX('THAM SỐ'!$F$5:$F$7,MATCH(C79,'THAM SỐ'!$A$5:$A$7,0)),""))</f>
        <v/>
      </c>
      <c r="S79" s="22" t="str">
        <f t="shared" si="3"/>
        <v/>
      </c>
      <c r="T79" s="16" t="str">
        <f t="shared" si="4"/>
        <v/>
      </c>
      <c r="U79" s="23" t="str">
        <f t="shared" si="5"/>
        <v/>
      </c>
      <c r="V79" s="18"/>
    </row>
    <row r="80" spans="1:22" x14ac:dyDescent="0.45">
      <c r="A80" s="16" t="str">
        <f>IF(B80="","","LDX-"&amp;TEXT(B80,"yymmdd")&amp;"-"&amp;TEXT(COUNTIFS(B$5:B80,B80),"00"))</f>
        <v/>
      </c>
      <c r="B80" s="17"/>
      <c r="C80" s="18"/>
      <c r="D80" s="18"/>
      <c r="E80" s="18"/>
      <c r="F80" s="18"/>
      <c r="G80" s="18"/>
      <c r="H80" s="18"/>
      <c r="I80" s="18"/>
      <c r="J80" s="19"/>
      <c r="K80" s="20"/>
      <c r="L80" s="20"/>
      <c r="M80" s="19"/>
      <c r="N80" s="18"/>
      <c r="O80" s="18"/>
      <c r="P80" s="18"/>
      <c r="Q80" s="18"/>
      <c r="R80" s="21" t="str">
        <f>IF(C80="","",IFERROR(INDEX('THAM SỐ'!$F$5:$F$7,MATCH(C80,'THAM SỐ'!$A$5:$A$7,0)),""))</f>
        <v/>
      </c>
      <c r="S80" s="22" t="str">
        <f t="shared" si="3"/>
        <v/>
      </c>
      <c r="T80" s="16" t="str">
        <f t="shared" si="4"/>
        <v/>
      </c>
      <c r="U80" s="23" t="str">
        <f t="shared" si="5"/>
        <v/>
      </c>
      <c r="V80" s="18"/>
    </row>
    <row r="81" spans="1:22" x14ac:dyDescent="0.45">
      <c r="A81" s="16" t="str">
        <f>IF(B81="","","LDX-"&amp;TEXT(B81,"yymmdd")&amp;"-"&amp;TEXT(COUNTIFS(B$5:B81,B81),"00"))</f>
        <v/>
      </c>
      <c r="B81" s="17"/>
      <c r="C81" s="18"/>
      <c r="D81" s="18"/>
      <c r="E81" s="18"/>
      <c r="F81" s="18"/>
      <c r="G81" s="18"/>
      <c r="H81" s="18"/>
      <c r="I81" s="18"/>
      <c r="J81" s="19"/>
      <c r="K81" s="20"/>
      <c r="L81" s="20"/>
      <c r="M81" s="19"/>
      <c r="N81" s="18"/>
      <c r="O81" s="18"/>
      <c r="P81" s="18"/>
      <c r="Q81" s="18"/>
      <c r="R81" s="21" t="str">
        <f>IF(C81="","",IFERROR(INDEX('THAM SỐ'!$F$5:$F$7,MATCH(C81,'THAM SỐ'!$A$5:$A$7,0)),""))</f>
        <v/>
      </c>
      <c r="S81" s="22" t="str">
        <f t="shared" si="3"/>
        <v/>
      </c>
      <c r="T81" s="16" t="str">
        <f t="shared" si="4"/>
        <v/>
      </c>
      <c r="U81" s="23" t="str">
        <f t="shared" si="5"/>
        <v/>
      </c>
      <c r="V81" s="18"/>
    </row>
    <row r="82" spans="1:22" x14ac:dyDescent="0.45">
      <c r="A82" s="16" t="str">
        <f>IF(B82="","","LDX-"&amp;TEXT(B82,"yymmdd")&amp;"-"&amp;TEXT(COUNTIFS(B$5:B82,B82),"00"))</f>
        <v/>
      </c>
      <c r="B82" s="17"/>
      <c r="C82" s="18"/>
      <c r="D82" s="18"/>
      <c r="E82" s="18"/>
      <c r="F82" s="18"/>
      <c r="G82" s="18"/>
      <c r="H82" s="18"/>
      <c r="I82" s="18"/>
      <c r="J82" s="19"/>
      <c r="K82" s="20"/>
      <c r="L82" s="20"/>
      <c r="M82" s="19"/>
      <c r="N82" s="18"/>
      <c r="O82" s="18"/>
      <c r="P82" s="18"/>
      <c r="Q82" s="18"/>
      <c r="R82" s="21" t="str">
        <f>IF(C82="","",IFERROR(INDEX('THAM SỐ'!$F$5:$F$7,MATCH(C82,'THAM SỐ'!$A$5:$A$7,0)),""))</f>
        <v/>
      </c>
      <c r="S82" s="22" t="str">
        <f t="shared" si="3"/>
        <v/>
      </c>
      <c r="T82" s="16" t="str">
        <f t="shared" si="4"/>
        <v/>
      </c>
      <c r="U82" s="23" t="str">
        <f t="shared" si="5"/>
        <v/>
      </c>
      <c r="V82" s="18"/>
    </row>
    <row r="83" spans="1:22" x14ac:dyDescent="0.45">
      <c r="A83" s="16" t="str">
        <f>IF(B83="","","LDX-"&amp;TEXT(B83,"yymmdd")&amp;"-"&amp;TEXT(COUNTIFS(B$5:B83,B83),"00"))</f>
        <v/>
      </c>
      <c r="B83" s="17"/>
      <c r="C83" s="18"/>
      <c r="D83" s="18"/>
      <c r="E83" s="18"/>
      <c r="F83" s="18"/>
      <c r="G83" s="18"/>
      <c r="H83" s="18"/>
      <c r="I83" s="18"/>
      <c r="J83" s="19"/>
      <c r="K83" s="20"/>
      <c r="L83" s="20"/>
      <c r="M83" s="19"/>
      <c r="N83" s="18"/>
      <c r="O83" s="18"/>
      <c r="P83" s="18"/>
      <c r="Q83" s="18"/>
      <c r="R83" s="21" t="str">
        <f>IF(C83="","",IFERROR(INDEX('THAM SỐ'!$F$5:$F$7,MATCH(C83,'THAM SỐ'!$A$5:$A$7,0)),""))</f>
        <v/>
      </c>
      <c r="S83" s="22" t="str">
        <f t="shared" si="3"/>
        <v/>
      </c>
      <c r="T83" s="16" t="str">
        <f t="shared" si="4"/>
        <v/>
      </c>
      <c r="U83" s="23" t="str">
        <f t="shared" si="5"/>
        <v/>
      </c>
      <c r="V83" s="18"/>
    </row>
    <row r="84" spans="1:22" x14ac:dyDescent="0.45">
      <c r="A84" s="16" t="str">
        <f>IF(B84="","","LDX-"&amp;TEXT(B84,"yymmdd")&amp;"-"&amp;TEXT(COUNTIFS(B$5:B84,B84),"00"))</f>
        <v/>
      </c>
      <c r="B84" s="17"/>
      <c r="C84" s="18"/>
      <c r="D84" s="18"/>
      <c r="E84" s="18"/>
      <c r="F84" s="18"/>
      <c r="G84" s="18"/>
      <c r="H84" s="18"/>
      <c r="I84" s="18"/>
      <c r="J84" s="19"/>
      <c r="K84" s="20"/>
      <c r="L84" s="20"/>
      <c r="M84" s="19"/>
      <c r="N84" s="18"/>
      <c r="O84" s="18"/>
      <c r="P84" s="18"/>
      <c r="Q84" s="18"/>
      <c r="R84" s="21" t="str">
        <f>IF(C84="","",IFERROR(INDEX('THAM SỐ'!$F$5:$F$7,MATCH(C84,'THAM SỐ'!$A$5:$A$7,0)),""))</f>
        <v/>
      </c>
      <c r="S84" s="22" t="str">
        <f t="shared" si="3"/>
        <v/>
      </c>
      <c r="T84" s="16" t="str">
        <f t="shared" si="4"/>
        <v/>
      </c>
      <c r="U84" s="23" t="str">
        <f t="shared" si="5"/>
        <v/>
      </c>
      <c r="V84" s="18"/>
    </row>
    <row r="85" spans="1:22" x14ac:dyDescent="0.45">
      <c r="A85" s="16" t="str">
        <f>IF(B85="","","LDX-"&amp;TEXT(B85,"yymmdd")&amp;"-"&amp;TEXT(COUNTIFS(B$5:B85,B85),"00"))</f>
        <v/>
      </c>
      <c r="B85" s="17"/>
      <c r="C85" s="18"/>
      <c r="D85" s="18"/>
      <c r="E85" s="18"/>
      <c r="F85" s="18"/>
      <c r="G85" s="18"/>
      <c r="H85" s="18"/>
      <c r="I85" s="18"/>
      <c r="J85" s="19"/>
      <c r="K85" s="20"/>
      <c r="L85" s="20"/>
      <c r="M85" s="19"/>
      <c r="N85" s="18"/>
      <c r="O85" s="18"/>
      <c r="P85" s="18"/>
      <c r="Q85" s="18"/>
      <c r="R85" s="21" t="str">
        <f>IF(C85="","",IFERROR(INDEX('THAM SỐ'!$F$5:$F$7,MATCH(C85,'THAM SỐ'!$A$5:$A$7,0)),""))</f>
        <v/>
      </c>
      <c r="S85" s="22" t="str">
        <f t="shared" si="3"/>
        <v/>
      </c>
      <c r="T85" s="16" t="str">
        <f t="shared" si="4"/>
        <v/>
      </c>
      <c r="U85" s="23" t="str">
        <f t="shared" si="5"/>
        <v/>
      </c>
      <c r="V85" s="18"/>
    </row>
    <row r="86" spans="1:22" x14ac:dyDescent="0.45">
      <c r="A86" s="16" t="str">
        <f>IF(B86="","","LDX-"&amp;TEXT(B86,"yymmdd")&amp;"-"&amp;TEXT(COUNTIFS(B$5:B86,B86),"00"))</f>
        <v/>
      </c>
      <c r="B86" s="17"/>
      <c r="C86" s="18"/>
      <c r="D86" s="18"/>
      <c r="E86" s="18"/>
      <c r="F86" s="18"/>
      <c r="G86" s="18"/>
      <c r="H86" s="18"/>
      <c r="I86" s="18"/>
      <c r="J86" s="19"/>
      <c r="K86" s="20"/>
      <c r="L86" s="20"/>
      <c r="M86" s="19"/>
      <c r="N86" s="18"/>
      <c r="O86" s="18"/>
      <c r="P86" s="18"/>
      <c r="Q86" s="18"/>
      <c r="R86" s="21" t="str">
        <f>IF(C86="","",IFERROR(INDEX('THAM SỐ'!$F$5:$F$7,MATCH(C86,'THAM SỐ'!$A$5:$A$7,0)),""))</f>
        <v/>
      </c>
      <c r="S86" s="22" t="str">
        <f t="shared" si="3"/>
        <v/>
      </c>
      <c r="T86" s="16" t="str">
        <f t="shared" si="4"/>
        <v/>
      </c>
      <c r="U86" s="23" t="str">
        <f t="shared" si="5"/>
        <v/>
      </c>
      <c r="V86" s="18"/>
    </row>
    <row r="87" spans="1:22" x14ac:dyDescent="0.45">
      <c r="A87" s="16" t="str">
        <f>IF(B87="","","LDX-"&amp;TEXT(B87,"yymmdd")&amp;"-"&amp;TEXT(COUNTIFS(B$5:B87,B87),"00"))</f>
        <v/>
      </c>
      <c r="B87" s="17"/>
      <c r="C87" s="18"/>
      <c r="D87" s="18"/>
      <c r="E87" s="18"/>
      <c r="F87" s="18"/>
      <c r="G87" s="18"/>
      <c r="H87" s="18"/>
      <c r="I87" s="18"/>
      <c r="J87" s="19"/>
      <c r="K87" s="20"/>
      <c r="L87" s="20"/>
      <c r="M87" s="19"/>
      <c r="N87" s="18"/>
      <c r="O87" s="18"/>
      <c r="P87" s="18"/>
      <c r="Q87" s="18"/>
      <c r="R87" s="21" t="str">
        <f>IF(C87="","",IFERROR(INDEX('THAM SỐ'!$F$5:$F$7,MATCH(C87,'THAM SỐ'!$A$5:$A$7,0)),""))</f>
        <v/>
      </c>
      <c r="S87" s="22" t="str">
        <f t="shared" si="3"/>
        <v/>
      </c>
      <c r="T87" s="16" t="str">
        <f t="shared" si="4"/>
        <v/>
      </c>
      <c r="U87" s="23" t="str">
        <f t="shared" si="5"/>
        <v/>
      </c>
      <c r="V87" s="18"/>
    </row>
    <row r="88" spans="1:22" x14ac:dyDescent="0.45">
      <c r="A88" s="16" t="str">
        <f>IF(B88="","","LDX-"&amp;TEXT(B88,"yymmdd")&amp;"-"&amp;TEXT(COUNTIFS(B$5:B88,B88),"00"))</f>
        <v/>
      </c>
      <c r="B88" s="17"/>
      <c r="C88" s="18"/>
      <c r="D88" s="18"/>
      <c r="E88" s="18"/>
      <c r="F88" s="18"/>
      <c r="G88" s="18"/>
      <c r="H88" s="18"/>
      <c r="I88" s="18"/>
      <c r="J88" s="19"/>
      <c r="K88" s="20"/>
      <c r="L88" s="20"/>
      <c r="M88" s="19"/>
      <c r="N88" s="18"/>
      <c r="O88" s="18"/>
      <c r="P88" s="18"/>
      <c r="Q88" s="18"/>
      <c r="R88" s="21" t="str">
        <f>IF(C88="","",IFERROR(INDEX('THAM SỐ'!$F$5:$F$7,MATCH(C88,'THAM SỐ'!$A$5:$A$7,0)),""))</f>
        <v/>
      </c>
      <c r="S88" s="22" t="str">
        <f t="shared" si="3"/>
        <v/>
      </c>
      <c r="T88" s="16" t="str">
        <f t="shared" si="4"/>
        <v/>
      </c>
      <c r="U88" s="23" t="str">
        <f t="shared" si="5"/>
        <v/>
      </c>
      <c r="V88" s="18"/>
    </row>
    <row r="89" spans="1:22" x14ac:dyDescent="0.45">
      <c r="A89" s="16" t="str">
        <f>IF(B89="","","LDX-"&amp;TEXT(B89,"yymmdd")&amp;"-"&amp;TEXT(COUNTIFS(B$5:B89,B89),"00"))</f>
        <v/>
      </c>
      <c r="B89" s="17"/>
      <c r="C89" s="18"/>
      <c r="D89" s="18"/>
      <c r="E89" s="18"/>
      <c r="F89" s="18"/>
      <c r="G89" s="18"/>
      <c r="H89" s="18"/>
      <c r="I89" s="18"/>
      <c r="J89" s="19"/>
      <c r="K89" s="20"/>
      <c r="L89" s="20"/>
      <c r="M89" s="19"/>
      <c r="N89" s="18"/>
      <c r="O89" s="18"/>
      <c r="P89" s="18"/>
      <c r="Q89" s="18"/>
      <c r="R89" s="21" t="str">
        <f>IF(C89="","",IFERROR(INDEX('THAM SỐ'!$F$5:$F$7,MATCH(C89,'THAM SỐ'!$A$5:$A$7,0)),""))</f>
        <v/>
      </c>
      <c r="S89" s="22" t="str">
        <f t="shared" si="3"/>
        <v/>
      </c>
      <c r="T89" s="16" t="str">
        <f t="shared" si="4"/>
        <v/>
      </c>
      <c r="U89" s="23" t="str">
        <f t="shared" si="5"/>
        <v/>
      </c>
      <c r="V89" s="18"/>
    </row>
    <row r="90" spans="1:22" x14ac:dyDescent="0.45">
      <c r="A90" s="16" t="str">
        <f>IF(B90="","","LDX-"&amp;TEXT(B90,"yymmdd")&amp;"-"&amp;TEXT(COUNTIFS(B$5:B90,B90),"00"))</f>
        <v/>
      </c>
      <c r="B90" s="17"/>
      <c r="C90" s="18"/>
      <c r="D90" s="18"/>
      <c r="E90" s="18"/>
      <c r="F90" s="18"/>
      <c r="G90" s="18"/>
      <c r="H90" s="18"/>
      <c r="I90" s="18"/>
      <c r="J90" s="19"/>
      <c r="K90" s="20"/>
      <c r="L90" s="20"/>
      <c r="M90" s="19"/>
      <c r="N90" s="18"/>
      <c r="O90" s="18"/>
      <c r="P90" s="18"/>
      <c r="Q90" s="18"/>
      <c r="R90" s="21" t="str">
        <f>IF(C90="","",IFERROR(INDEX('THAM SỐ'!$F$5:$F$7,MATCH(C90,'THAM SỐ'!$A$5:$A$7,0)),""))</f>
        <v/>
      </c>
      <c r="S90" s="22" t="str">
        <f t="shared" si="3"/>
        <v/>
      </c>
      <c r="T90" s="16" t="str">
        <f t="shared" si="4"/>
        <v/>
      </c>
      <c r="U90" s="23" t="str">
        <f t="shared" si="5"/>
        <v/>
      </c>
      <c r="V90" s="18"/>
    </row>
    <row r="91" spans="1:22" x14ac:dyDescent="0.45">
      <c r="A91" s="16" t="str">
        <f>IF(B91="","","LDX-"&amp;TEXT(B91,"yymmdd")&amp;"-"&amp;TEXT(COUNTIFS(B$5:B91,B91),"00"))</f>
        <v/>
      </c>
      <c r="B91" s="17"/>
      <c r="C91" s="18"/>
      <c r="D91" s="18"/>
      <c r="E91" s="18"/>
      <c r="F91" s="18"/>
      <c r="G91" s="18"/>
      <c r="H91" s="18"/>
      <c r="I91" s="18"/>
      <c r="J91" s="19"/>
      <c r="K91" s="20"/>
      <c r="L91" s="20"/>
      <c r="M91" s="19"/>
      <c r="N91" s="18"/>
      <c r="O91" s="18"/>
      <c r="P91" s="18"/>
      <c r="Q91" s="18"/>
      <c r="R91" s="21" t="str">
        <f>IF(C91="","",IFERROR(INDEX('THAM SỐ'!$F$5:$F$7,MATCH(C91,'THAM SỐ'!$A$5:$A$7,0)),""))</f>
        <v/>
      </c>
      <c r="S91" s="22" t="str">
        <f t="shared" si="3"/>
        <v/>
      </c>
      <c r="T91" s="16" t="str">
        <f t="shared" si="4"/>
        <v/>
      </c>
      <c r="U91" s="23" t="str">
        <f t="shared" si="5"/>
        <v/>
      </c>
      <c r="V91" s="18"/>
    </row>
    <row r="92" spans="1:22" x14ac:dyDescent="0.45">
      <c r="A92" s="16" t="str">
        <f>IF(B92="","","LDX-"&amp;TEXT(B92,"yymmdd")&amp;"-"&amp;TEXT(COUNTIFS(B$5:B92,B92),"00"))</f>
        <v/>
      </c>
      <c r="B92" s="17"/>
      <c r="C92" s="18"/>
      <c r="D92" s="18"/>
      <c r="E92" s="18"/>
      <c r="F92" s="18"/>
      <c r="G92" s="18"/>
      <c r="H92" s="18"/>
      <c r="I92" s="18"/>
      <c r="J92" s="19"/>
      <c r="K92" s="20"/>
      <c r="L92" s="20"/>
      <c r="M92" s="19"/>
      <c r="N92" s="18"/>
      <c r="O92" s="18"/>
      <c r="P92" s="18"/>
      <c r="Q92" s="18"/>
      <c r="R92" s="21" t="str">
        <f>IF(C92="","",IFERROR(INDEX('THAM SỐ'!$F$5:$F$7,MATCH(C92,'THAM SỐ'!$A$5:$A$7,0)),""))</f>
        <v/>
      </c>
      <c r="S92" s="22" t="str">
        <f t="shared" si="3"/>
        <v/>
      </c>
      <c r="T92" s="16" t="str">
        <f t="shared" si="4"/>
        <v/>
      </c>
      <c r="U92" s="23" t="str">
        <f t="shared" si="5"/>
        <v/>
      </c>
      <c r="V92" s="18"/>
    </row>
    <row r="93" spans="1:22" x14ac:dyDescent="0.45">
      <c r="A93" s="16" t="str">
        <f>IF(B93="","","LDX-"&amp;TEXT(B93,"yymmdd")&amp;"-"&amp;TEXT(COUNTIFS(B$5:B93,B93),"00"))</f>
        <v/>
      </c>
      <c r="B93" s="17"/>
      <c r="C93" s="18"/>
      <c r="D93" s="18"/>
      <c r="E93" s="18"/>
      <c r="F93" s="18"/>
      <c r="G93" s="18"/>
      <c r="H93" s="18"/>
      <c r="I93" s="18"/>
      <c r="J93" s="19"/>
      <c r="K93" s="20"/>
      <c r="L93" s="20"/>
      <c r="M93" s="19"/>
      <c r="N93" s="18"/>
      <c r="O93" s="18"/>
      <c r="P93" s="18"/>
      <c r="Q93" s="18"/>
      <c r="R93" s="21" t="str">
        <f>IF(C93="","",IFERROR(INDEX('THAM SỐ'!$F$5:$F$7,MATCH(C93,'THAM SỐ'!$A$5:$A$7,0)),""))</f>
        <v/>
      </c>
      <c r="S93" s="22" t="str">
        <f t="shared" si="3"/>
        <v/>
      </c>
      <c r="T93" s="16" t="str">
        <f t="shared" si="4"/>
        <v/>
      </c>
      <c r="U93" s="23" t="str">
        <f t="shared" si="5"/>
        <v/>
      </c>
      <c r="V93" s="18"/>
    </row>
    <row r="94" spans="1:22" x14ac:dyDescent="0.45">
      <c r="A94" s="16" t="str">
        <f>IF(B94="","","LDX-"&amp;TEXT(B94,"yymmdd")&amp;"-"&amp;TEXT(COUNTIFS(B$5:B94,B94),"00"))</f>
        <v/>
      </c>
      <c r="B94" s="17"/>
      <c r="C94" s="18"/>
      <c r="D94" s="18"/>
      <c r="E94" s="18"/>
      <c r="F94" s="18"/>
      <c r="G94" s="18"/>
      <c r="H94" s="18"/>
      <c r="I94" s="18"/>
      <c r="J94" s="19"/>
      <c r="K94" s="20"/>
      <c r="L94" s="20"/>
      <c r="M94" s="19"/>
      <c r="N94" s="18"/>
      <c r="O94" s="18"/>
      <c r="P94" s="18"/>
      <c r="Q94" s="18"/>
      <c r="R94" s="21" t="str">
        <f>IF(C94="","",IFERROR(INDEX('THAM SỐ'!$F$5:$F$7,MATCH(C94,'THAM SỐ'!$A$5:$A$7,0)),""))</f>
        <v/>
      </c>
      <c r="S94" s="22" t="str">
        <f t="shared" si="3"/>
        <v/>
      </c>
      <c r="T94" s="16" t="str">
        <f t="shared" si="4"/>
        <v/>
      </c>
      <c r="U94" s="23" t="str">
        <f t="shared" si="5"/>
        <v/>
      </c>
      <c r="V94" s="18"/>
    </row>
    <row r="95" spans="1:22" x14ac:dyDescent="0.45">
      <c r="A95" s="16" t="str">
        <f>IF(B95="","","LDX-"&amp;TEXT(B95,"yymmdd")&amp;"-"&amp;TEXT(COUNTIFS(B$5:B95,B95),"00"))</f>
        <v/>
      </c>
      <c r="B95" s="17"/>
      <c r="C95" s="18"/>
      <c r="D95" s="18"/>
      <c r="E95" s="18"/>
      <c r="F95" s="18"/>
      <c r="G95" s="18"/>
      <c r="H95" s="18"/>
      <c r="I95" s="18"/>
      <c r="J95" s="19"/>
      <c r="K95" s="20"/>
      <c r="L95" s="20"/>
      <c r="M95" s="19"/>
      <c r="N95" s="18"/>
      <c r="O95" s="18"/>
      <c r="P95" s="18"/>
      <c r="Q95" s="18"/>
      <c r="R95" s="21" t="str">
        <f>IF(C95="","",IFERROR(INDEX('THAM SỐ'!$F$5:$F$7,MATCH(C95,'THAM SỐ'!$A$5:$A$7,0)),""))</f>
        <v/>
      </c>
      <c r="S95" s="22" t="str">
        <f t="shared" si="3"/>
        <v/>
      </c>
      <c r="T95" s="16" t="str">
        <f t="shared" si="4"/>
        <v/>
      </c>
      <c r="U95" s="23" t="str">
        <f t="shared" si="5"/>
        <v/>
      </c>
      <c r="V95" s="18"/>
    </row>
    <row r="96" spans="1:22" x14ac:dyDescent="0.45">
      <c r="A96" s="16" t="str">
        <f>IF(B96="","","LDX-"&amp;TEXT(B96,"yymmdd")&amp;"-"&amp;TEXT(COUNTIFS(B$5:B96,B96),"00"))</f>
        <v/>
      </c>
      <c r="B96" s="17"/>
      <c r="C96" s="18"/>
      <c r="D96" s="18"/>
      <c r="E96" s="18"/>
      <c r="F96" s="18"/>
      <c r="G96" s="18"/>
      <c r="H96" s="18"/>
      <c r="I96" s="18"/>
      <c r="J96" s="19"/>
      <c r="K96" s="20"/>
      <c r="L96" s="20"/>
      <c r="M96" s="19"/>
      <c r="N96" s="18"/>
      <c r="O96" s="18"/>
      <c r="P96" s="18"/>
      <c r="Q96" s="18"/>
      <c r="R96" s="21" t="str">
        <f>IF(C96="","",IFERROR(INDEX('THAM SỐ'!$F$5:$F$7,MATCH(C96,'THAM SỐ'!$A$5:$A$7,0)),""))</f>
        <v/>
      </c>
      <c r="S96" s="22" t="str">
        <f t="shared" si="3"/>
        <v/>
      </c>
      <c r="T96" s="16" t="str">
        <f t="shared" si="4"/>
        <v/>
      </c>
      <c r="U96" s="23" t="str">
        <f t="shared" si="5"/>
        <v/>
      </c>
      <c r="V96" s="18"/>
    </row>
    <row r="97" spans="1:22" x14ac:dyDescent="0.45">
      <c r="A97" s="16" t="str">
        <f>IF(B97="","","LDX-"&amp;TEXT(B97,"yymmdd")&amp;"-"&amp;TEXT(COUNTIFS(B$5:B97,B97),"00"))</f>
        <v/>
      </c>
      <c r="B97" s="17"/>
      <c r="C97" s="18"/>
      <c r="D97" s="18"/>
      <c r="E97" s="18"/>
      <c r="F97" s="18"/>
      <c r="G97" s="18"/>
      <c r="H97" s="18"/>
      <c r="I97" s="18"/>
      <c r="J97" s="19"/>
      <c r="K97" s="20"/>
      <c r="L97" s="20"/>
      <c r="M97" s="19"/>
      <c r="N97" s="18"/>
      <c r="O97" s="18"/>
      <c r="P97" s="18"/>
      <c r="Q97" s="18"/>
      <c r="R97" s="21" t="str">
        <f>IF(C97="","",IFERROR(INDEX('THAM SỐ'!$F$5:$F$7,MATCH(C97,'THAM SỐ'!$A$5:$A$7,0)),""))</f>
        <v/>
      </c>
      <c r="S97" s="22" t="str">
        <f t="shared" si="3"/>
        <v/>
      </c>
      <c r="T97" s="16" t="str">
        <f t="shared" si="4"/>
        <v/>
      </c>
      <c r="U97" s="23" t="str">
        <f t="shared" si="5"/>
        <v/>
      </c>
      <c r="V97" s="18"/>
    </row>
    <row r="98" spans="1:22" x14ac:dyDescent="0.45">
      <c r="A98" s="16" t="str">
        <f>IF(B98="","","LDX-"&amp;TEXT(B98,"yymmdd")&amp;"-"&amp;TEXT(COUNTIFS(B$5:B98,B98),"00"))</f>
        <v/>
      </c>
      <c r="B98" s="17"/>
      <c r="C98" s="18"/>
      <c r="D98" s="18"/>
      <c r="E98" s="18"/>
      <c r="F98" s="18"/>
      <c r="G98" s="18"/>
      <c r="H98" s="18"/>
      <c r="I98" s="18"/>
      <c r="J98" s="19"/>
      <c r="K98" s="20"/>
      <c r="L98" s="20"/>
      <c r="M98" s="19"/>
      <c r="N98" s="18"/>
      <c r="O98" s="18"/>
      <c r="P98" s="18"/>
      <c r="Q98" s="18"/>
      <c r="R98" s="21" t="str">
        <f>IF(C98="","",IFERROR(INDEX('THAM SỐ'!$F$5:$F$7,MATCH(C98,'THAM SỐ'!$A$5:$A$7,0)),""))</f>
        <v/>
      </c>
      <c r="S98" s="22" t="str">
        <f t="shared" si="3"/>
        <v/>
      </c>
      <c r="T98" s="16" t="str">
        <f t="shared" si="4"/>
        <v/>
      </c>
      <c r="U98" s="23" t="str">
        <f t="shared" si="5"/>
        <v/>
      </c>
      <c r="V98" s="18"/>
    </row>
    <row r="99" spans="1:22" x14ac:dyDescent="0.45">
      <c r="A99" s="16" t="str">
        <f>IF(B99="","","LDX-"&amp;TEXT(B99,"yymmdd")&amp;"-"&amp;TEXT(COUNTIFS(B$5:B99,B99),"00"))</f>
        <v/>
      </c>
      <c r="B99" s="17"/>
      <c r="C99" s="18"/>
      <c r="D99" s="18"/>
      <c r="E99" s="18"/>
      <c r="F99" s="18"/>
      <c r="G99" s="18"/>
      <c r="H99" s="18"/>
      <c r="I99" s="18"/>
      <c r="J99" s="19"/>
      <c r="K99" s="20"/>
      <c r="L99" s="20"/>
      <c r="M99" s="19"/>
      <c r="N99" s="18"/>
      <c r="O99" s="18"/>
      <c r="P99" s="18"/>
      <c r="Q99" s="18"/>
      <c r="R99" s="21" t="str">
        <f>IF(C99="","",IFERROR(INDEX('THAM SỐ'!$F$5:$F$7,MATCH(C99,'THAM SỐ'!$A$5:$A$7,0)),""))</f>
        <v/>
      </c>
      <c r="S99" s="22" t="str">
        <f t="shared" si="3"/>
        <v/>
      </c>
      <c r="T99" s="16" t="str">
        <f t="shared" si="4"/>
        <v/>
      </c>
      <c r="U99" s="23" t="str">
        <f t="shared" si="5"/>
        <v/>
      </c>
      <c r="V99" s="18"/>
    </row>
    <row r="100" spans="1:22" x14ac:dyDescent="0.45">
      <c r="A100" s="16" t="str">
        <f>IF(B100="","","LDX-"&amp;TEXT(B100,"yymmdd")&amp;"-"&amp;TEXT(COUNTIFS(B$5:B100,B100),"00"))</f>
        <v/>
      </c>
      <c r="B100" s="17"/>
      <c r="C100" s="18"/>
      <c r="D100" s="18"/>
      <c r="E100" s="18"/>
      <c r="F100" s="18"/>
      <c r="G100" s="18"/>
      <c r="H100" s="18"/>
      <c r="I100" s="18"/>
      <c r="J100" s="19"/>
      <c r="K100" s="20"/>
      <c r="L100" s="20"/>
      <c r="M100" s="19"/>
      <c r="N100" s="18"/>
      <c r="O100" s="18"/>
      <c r="P100" s="18"/>
      <c r="Q100" s="18"/>
      <c r="R100" s="21" t="str">
        <f>IF(C100="","",IFERROR(INDEX('THAM SỐ'!$F$5:$F$7,MATCH(C100,'THAM SỐ'!$A$5:$A$7,0)),""))</f>
        <v/>
      </c>
      <c r="S100" s="22" t="str">
        <f t="shared" si="3"/>
        <v/>
      </c>
      <c r="T100" s="16" t="str">
        <f t="shared" si="4"/>
        <v/>
      </c>
      <c r="U100" s="23" t="str">
        <f t="shared" si="5"/>
        <v/>
      </c>
      <c r="V100" s="18"/>
    </row>
    <row r="101" spans="1:22" x14ac:dyDescent="0.45">
      <c r="A101" s="16" t="str">
        <f>IF(B101="","","LDX-"&amp;TEXT(B101,"yymmdd")&amp;"-"&amp;TEXT(COUNTIFS(B$5:B101,B101),"00"))</f>
        <v/>
      </c>
      <c r="B101" s="17"/>
      <c r="C101" s="18"/>
      <c r="D101" s="18"/>
      <c r="E101" s="18"/>
      <c r="F101" s="18"/>
      <c r="G101" s="18"/>
      <c r="H101" s="18"/>
      <c r="I101" s="18"/>
      <c r="J101" s="19"/>
      <c r="K101" s="20"/>
      <c r="L101" s="20"/>
      <c r="M101" s="19"/>
      <c r="N101" s="18"/>
      <c r="O101" s="18"/>
      <c r="P101" s="18"/>
      <c r="Q101" s="18"/>
      <c r="R101" s="21" t="str">
        <f>IF(C101="","",IFERROR(INDEX('THAM SỐ'!$F$5:$F$7,MATCH(C101,'THAM SỐ'!$A$5:$A$7,0)),""))</f>
        <v/>
      </c>
      <c r="S101" s="22" t="str">
        <f t="shared" si="3"/>
        <v/>
      </c>
      <c r="T101" s="16" t="str">
        <f t="shared" si="4"/>
        <v/>
      </c>
      <c r="U101" s="23" t="str">
        <f t="shared" si="5"/>
        <v/>
      </c>
      <c r="V101" s="18"/>
    </row>
    <row r="102" spans="1:22" x14ac:dyDescent="0.45">
      <c r="A102" s="16" t="str">
        <f>IF(B102="","","LDX-"&amp;TEXT(B102,"yymmdd")&amp;"-"&amp;TEXT(COUNTIFS(B$5:B102,B102),"00"))</f>
        <v/>
      </c>
      <c r="B102" s="17"/>
      <c r="C102" s="18"/>
      <c r="D102" s="18"/>
      <c r="E102" s="18"/>
      <c r="F102" s="18"/>
      <c r="G102" s="18"/>
      <c r="H102" s="18"/>
      <c r="I102" s="18"/>
      <c r="J102" s="19"/>
      <c r="K102" s="20"/>
      <c r="L102" s="20"/>
      <c r="M102" s="19"/>
      <c r="N102" s="18"/>
      <c r="O102" s="18"/>
      <c r="P102" s="18"/>
      <c r="Q102" s="18"/>
      <c r="R102" s="21" t="str">
        <f>IF(C102="","",IFERROR(INDEX('THAM SỐ'!$F$5:$F$7,MATCH(C102,'THAM SỐ'!$A$5:$A$7,0)),""))</f>
        <v/>
      </c>
      <c r="S102" s="22" t="str">
        <f t="shared" si="3"/>
        <v/>
      </c>
      <c r="T102" s="16" t="str">
        <f t="shared" si="4"/>
        <v/>
      </c>
      <c r="U102" s="23" t="str">
        <f t="shared" si="5"/>
        <v/>
      </c>
      <c r="V102" s="18"/>
    </row>
    <row r="103" spans="1:22" x14ac:dyDescent="0.45">
      <c r="A103" s="16" t="str">
        <f>IF(B103="","","LDX-"&amp;TEXT(B103,"yymmdd")&amp;"-"&amp;TEXT(COUNTIFS(B$5:B103,B103),"00"))</f>
        <v/>
      </c>
      <c r="B103" s="17"/>
      <c r="C103" s="18"/>
      <c r="D103" s="18"/>
      <c r="E103" s="18"/>
      <c r="F103" s="18"/>
      <c r="G103" s="18"/>
      <c r="H103" s="18"/>
      <c r="I103" s="18"/>
      <c r="J103" s="19"/>
      <c r="K103" s="20"/>
      <c r="L103" s="20"/>
      <c r="M103" s="19"/>
      <c r="N103" s="18"/>
      <c r="O103" s="18"/>
      <c r="P103" s="18"/>
      <c r="Q103" s="18"/>
      <c r="R103" s="21" t="str">
        <f>IF(C103="","",IFERROR(INDEX('THAM SỐ'!$F$5:$F$7,MATCH(C103,'THAM SỐ'!$A$5:$A$7,0)),""))</f>
        <v/>
      </c>
      <c r="S103" s="22" t="str">
        <f t="shared" si="3"/>
        <v/>
      </c>
      <c r="T103" s="16" t="str">
        <f t="shared" si="4"/>
        <v/>
      </c>
      <c r="U103" s="23" t="str">
        <f t="shared" si="5"/>
        <v/>
      </c>
      <c r="V103" s="18"/>
    </row>
    <row r="104" spans="1:22" x14ac:dyDescent="0.45">
      <c r="A104" s="16" t="str">
        <f>IF(B104="","","LDX-"&amp;TEXT(B104,"yymmdd")&amp;"-"&amp;TEXT(COUNTIFS(B$5:B104,B104),"00"))</f>
        <v/>
      </c>
      <c r="B104" s="17"/>
      <c r="C104" s="18"/>
      <c r="D104" s="18"/>
      <c r="E104" s="18"/>
      <c r="F104" s="18"/>
      <c r="G104" s="18"/>
      <c r="H104" s="18"/>
      <c r="I104" s="18"/>
      <c r="J104" s="19"/>
      <c r="K104" s="20"/>
      <c r="L104" s="20"/>
      <c r="M104" s="19"/>
      <c r="N104" s="18"/>
      <c r="O104" s="18"/>
      <c r="P104" s="18"/>
      <c r="Q104" s="18"/>
      <c r="R104" s="21" t="str">
        <f>IF(C104="","",IFERROR(INDEX('THAM SỐ'!$F$5:$F$7,MATCH(C104,'THAM SỐ'!$A$5:$A$7,0)),""))</f>
        <v/>
      </c>
      <c r="S104" s="22" t="str">
        <f t="shared" si="3"/>
        <v/>
      </c>
      <c r="T104" s="16" t="str">
        <f t="shared" si="4"/>
        <v/>
      </c>
      <c r="U104" s="23" t="str">
        <f t="shared" si="5"/>
        <v/>
      </c>
      <c r="V104" s="18"/>
    </row>
    <row r="105" spans="1:22" x14ac:dyDescent="0.45">
      <c r="A105" s="16" t="str">
        <f>IF(B105="","","LDX-"&amp;TEXT(B105,"yymmdd")&amp;"-"&amp;TEXT(COUNTIFS(B$5:B105,B105),"00"))</f>
        <v/>
      </c>
      <c r="B105" s="17"/>
      <c r="C105" s="18"/>
      <c r="D105" s="18"/>
      <c r="E105" s="18"/>
      <c r="F105" s="18"/>
      <c r="G105" s="18"/>
      <c r="H105" s="18"/>
      <c r="I105" s="18"/>
      <c r="J105" s="19"/>
      <c r="K105" s="20"/>
      <c r="L105" s="20"/>
      <c r="M105" s="19"/>
      <c r="N105" s="18"/>
      <c r="O105" s="18"/>
      <c r="P105" s="18"/>
      <c r="Q105" s="18"/>
      <c r="R105" s="21" t="str">
        <f>IF(C105="","",IFERROR(INDEX('THAM SỐ'!$F$5:$F$7,MATCH(C105,'THAM SỐ'!$A$5:$A$7,0)),""))</f>
        <v/>
      </c>
      <c r="S105" s="22" t="str">
        <f t="shared" si="3"/>
        <v/>
      </c>
      <c r="T105" s="16" t="str">
        <f t="shared" si="4"/>
        <v/>
      </c>
      <c r="U105" s="23" t="str">
        <f t="shared" si="5"/>
        <v/>
      </c>
      <c r="V105" s="18"/>
    </row>
    <row r="106" spans="1:22" x14ac:dyDescent="0.45">
      <c r="A106" s="16" t="str">
        <f>IF(B106="","","LDX-"&amp;TEXT(B106,"yymmdd")&amp;"-"&amp;TEXT(COUNTIFS(B$5:B106,B106),"00"))</f>
        <v/>
      </c>
      <c r="B106" s="17"/>
      <c r="C106" s="18"/>
      <c r="D106" s="18"/>
      <c r="E106" s="18"/>
      <c r="F106" s="18"/>
      <c r="G106" s="18"/>
      <c r="H106" s="18"/>
      <c r="I106" s="18"/>
      <c r="J106" s="19"/>
      <c r="K106" s="20"/>
      <c r="L106" s="20"/>
      <c r="M106" s="19"/>
      <c r="N106" s="18"/>
      <c r="O106" s="18"/>
      <c r="P106" s="18"/>
      <c r="Q106" s="18"/>
      <c r="R106" s="21" t="str">
        <f>IF(C106="","",IFERROR(INDEX('THAM SỐ'!$F$5:$F$7,MATCH(C106,'THAM SỐ'!$A$5:$A$7,0)),""))</f>
        <v/>
      </c>
      <c r="S106" s="22" t="str">
        <f t="shared" si="3"/>
        <v/>
      </c>
      <c r="T106" s="16" t="str">
        <f t="shared" si="4"/>
        <v/>
      </c>
      <c r="U106" s="23" t="str">
        <f t="shared" si="5"/>
        <v/>
      </c>
      <c r="V106" s="18"/>
    </row>
    <row r="107" spans="1:22" x14ac:dyDescent="0.45">
      <c r="A107" s="16" t="str">
        <f>IF(B107="","","LDX-"&amp;TEXT(B107,"yymmdd")&amp;"-"&amp;TEXT(COUNTIFS(B$5:B107,B107),"00"))</f>
        <v/>
      </c>
      <c r="B107" s="17"/>
      <c r="C107" s="18"/>
      <c r="D107" s="18"/>
      <c r="E107" s="18"/>
      <c r="F107" s="18"/>
      <c r="G107" s="18"/>
      <c r="H107" s="18"/>
      <c r="I107" s="18"/>
      <c r="J107" s="19"/>
      <c r="K107" s="20"/>
      <c r="L107" s="20"/>
      <c r="M107" s="19"/>
      <c r="N107" s="18"/>
      <c r="O107" s="18"/>
      <c r="P107" s="18"/>
      <c r="Q107" s="18"/>
      <c r="R107" s="21" t="str">
        <f>IF(C107="","",IFERROR(INDEX('THAM SỐ'!$F$5:$F$7,MATCH(C107,'THAM SỐ'!$A$5:$A$7,0)),""))</f>
        <v/>
      </c>
      <c r="S107" s="22" t="str">
        <f t="shared" si="3"/>
        <v/>
      </c>
      <c r="T107" s="16" t="str">
        <f t="shared" si="4"/>
        <v/>
      </c>
      <c r="U107" s="23" t="str">
        <f t="shared" si="5"/>
        <v/>
      </c>
      <c r="V107" s="18"/>
    </row>
    <row r="108" spans="1:22" x14ac:dyDescent="0.45">
      <c r="A108" s="16" t="str">
        <f>IF(B108="","","LDX-"&amp;TEXT(B108,"yymmdd")&amp;"-"&amp;TEXT(COUNTIFS(B$5:B108,B108),"00"))</f>
        <v/>
      </c>
      <c r="B108" s="17"/>
      <c r="C108" s="18"/>
      <c r="D108" s="18"/>
      <c r="E108" s="18"/>
      <c r="F108" s="18"/>
      <c r="G108" s="18"/>
      <c r="H108" s="18"/>
      <c r="I108" s="18"/>
      <c r="J108" s="19"/>
      <c r="K108" s="20"/>
      <c r="L108" s="20"/>
      <c r="M108" s="19"/>
      <c r="N108" s="18"/>
      <c r="O108" s="18"/>
      <c r="P108" s="18"/>
      <c r="Q108" s="18"/>
      <c r="R108" s="21" t="str">
        <f>IF(C108="","",IFERROR(INDEX('THAM SỐ'!$F$5:$F$7,MATCH(C108,'THAM SỐ'!$A$5:$A$7,0)),""))</f>
        <v/>
      </c>
      <c r="S108" s="22" t="str">
        <f t="shared" si="3"/>
        <v/>
      </c>
      <c r="T108" s="16" t="str">
        <f t="shared" si="4"/>
        <v/>
      </c>
      <c r="U108" s="23" t="str">
        <f t="shared" si="5"/>
        <v/>
      </c>
      <c r="V108" s="18"/>
    </row>
    <row r="109" spans="1:22" x14ac:dyDescent="0.45">
      <c r="A109" s="16" t="str">
        <f>IF(B109="","","LDX-"&amp;TEXT(B109,"yymmdd")&amp;"-"&amp;TEXT(COUNTIFS(B$5:B109,B109),"00"))</f>
        <v/>
      </c>
      <c r="B109" s="17"/>
      <c r="C109" s="18"/>
      <c r="D109" s="18"/>
      <c r="E109" s="18"/>
      <c r="F109" s="18"/>
      <c r="G109" s="18"/>
      <c r="H109" s="18"/>
      <c r="I109" s="18"/>
      <c r="J109" s="19"/>
      <c r="K109" s="20"/>
      <c r="L109" s="20"/>
      <c r="M109" s="19"/>
      <c r="N109" s="18"/>
      <c r="O109" s="18"/>
      <c r="P109" s="18"/>
      <c r="Q109" s="18"/>
      <c r="R109" s="21" t="str">
        <f>IF(C109="","",IFERROR(INDEX('THAM SỐ'!$F$5:$F$7,MATCH(C109,'THAM SỐ'!$A$5:$A$7,0)),""))</f>
        <v/>
      </c>
      <c r="S109" s="22" t="str">
        <f t="shared" si="3"/>
        <v/>
      </c>
      <c r="T109" s="16" t="str">
        <f t="shared" si="4"/>
        <v/>
      </c>
      <c r="U109" s="23" t="str">
        <f t="shared" si="5"/>
        <v/>
      </c>
      <c r="V109" s="18"/>
    </row>
    <row r="110" spans="1:22" x14ac:dyDescent="0.45">
      <c r="A110" s="16" t="str">
        <f>IF(B110="","","LDX-"&amp;TEXT(B110,"yymmdd")&amp;"-"&amp;TEXT(COUNTIFS(B$5:B110,B110),"00"))</f>
        <v/>
      </c>
      <c r="B110" s="17"/>
      <c r="C110" s="18"/>
      <c r="D110" s="18"/>
      <c r="E110" s="18"/>
      <c r="F110" s="18"/>
      <c r="G110" s="18"/>
      <c r="H110" s="18"/>
      <c r="I110" s="18"/>
      <c r="J110" s="19"/>
      <c r="K110" s="20"/>
      <c r="L110" s="20"/>
      <c r="M110" s="19"/>
      <c r="N110" s="18"/>
      <c r="O110" s="18"/>
      <c r="P110" s="18"/>
      <c r="Q110" s="18"/>
      <c r="R110" s="21" t="str">
        <f>IF(C110="","",IFERROR(INDEX('THAM SỐ'!$F$5:$F$7,MATCH(C110,'THAM SỐ'!$A$5:$A$7,0)),""))</f>
        <v/>
      </c>
      <c r="S110" s="22" t="str">
        <f t="shared" si="3"/>
        <v/>
      </c>
      <c r="T110" s="16" t="str">
        <f t="shared" si="4"/>
        <v/>
      </c>
      <c r="U110" s="23" t="str">
        <f t="shared" si="5"/>
        <v/>
      </c>
      <c r="V110" s="18"/>
    </row>
    <row r="111" spans="1:22" x14ac:dyDescent="0.45">
      <c r="A111" s="16" t="str">
        <f>IF(B111="","","LDX-"&amp;TEXT(B111,"yymmdd")&amp;"-"&amp;TEXT(COUNTIFS(B$5:B111,B111),"00"))</f>
        <v/>
      </c>
      <c r="B111" s="17"/>
      <c r="C111" s="18"/>
      <c r="D111" s="18"/>
      <c r="E111" s="18"/>
      <c r="F111" s="18"/>
      <c r="G111" s="18"/>
      <c r="H111" s="18"/>
      <c r="I111" s="18"/>
      <c r="J111" s="19"/>
      <c r="K111" s="20"/>
      <c r="L111" s="20"/>
      <c r="M111" s="19"/>
      <c r="N111" s="18"/>
      <c r="O111" s="18"/>
      <c r="P111" s="18"/>
      <c r="Q111" s="18"/>
      <c r="R111" s="21" t="str">
        <f>IF(C111="","",IFERROR(INDEX('THAM SỐ'!$F$5:$F$7,MATCH(C111,'THAM SỐ'!$A$5:$A$7,0)),""))</f>
        <v/>
      </c>
      <c r="S111" s="22" t="str">
        <f t="shared" si="3"/>
        <v/>
      </c>
      <c r="T111" s="16" t="str">
        <f t="shared" si="4"/>
        <v/>
      </c>
      <c r="U111" s="23" t="str">
        <f t="shared" si="5"/>
        <v/>
      </c>
      <c r="V111" s="18"/>
    </row>
    <row r="112" spans="1:22" x14ac:dyDescent="0.45">
      <c r="A112" s="16" t="str">
        <f>IF(B112="","","LDX-"&amp;TEXT(B112,"yymmdd")&amp;"-"&amp;TEXT(COUNTIFS(B$5:B112,B112),"00"))</f>
        <v/>
      </c>
      <c r="B112" s="17"/>
      <c r="C112" s="18"/>
      <c r="D112" s="18"/>
      <c r="E112" s="18"/>
      <c r="F112" s="18"/>
      <c r="G112" s="18"/>
      <c r="H112" s="18"/>
      <c r="I112" s="18"/>
      <c r="J112" s="19"/>
      <c r="K112" s="20"/>
      <c r="L112" s="20"/>
      <c r="M112" s="19"/>
      <c r="N112" s="18"/>
      <c r="O112" s="18"/>
      <c r="P112" s="18"/>
      <c r="Q112" s="18"/>
      <c r="R112" s="21" t="str">
        <f>IF(C112="","",IFERROR(INDEX('THAM SỐ'!$F$5:$F$7,MATCH(C112,'THAM SỐ'!$A$5:$A$7,0)),""))</f>
        <v/>
      </c>
      <c r="S112" s="22" t="str">
        <f t="shared" si="3"/>
        <v/>
      </c>
      <c r="T112" s="16" t="str">
        <f t="shared" si="4"/>
        <v/>
      </c>
      <c r="U112" s="23" t="str">
        <f t="shared" si="5"/>
        <v/>
      </c>
      <c r="V112" s="18"/>
    </row>
    <row r="113" spans="1:22" x14ac:dyDescent="0.45">
      <c r="A113" s="16" t="str">
        <f>IF(B113="","","LDX-"&amp;TEXT(B113,"yymmdd")&amp;"-"&amp;TEXT(COUNTIFS(B$5:B113,B113),"00"))</f>
        <v/>
      </c>
      <c r="B113" s="17"/>
      <c r="C113" s="18"/>
      <c r="D113" s="18"/>
      <c r="E113" s="18"/>
      <c r="F113" s="18"/>
      <c r="G113" s="18"/>
      <c r="H113" s="18"/>
      <c r="I113" s="18"/>
      <c r="J113" s="19"/>
      <c r="K113" s="20"/>
      <c r="L113" s="20"/>
      <c r="M113" s="19"/>
      <c r="N113" s="18"/>
      <c r="O113" s="18"/>
      <c r="P113" s="18"/>
      <c r="Q113" s="18"/>
      <c r="R113" s="21" t="str">
        <f>IF(C113="","",IFERROR(INDEX('THAM SỐ'!$F$5:$F$7,MATCH(C113,'THAM SỐ'!$A$5:$A$7,0)),""))</f>
        <v/>
      </c>
      <c r="S113" s="22" t="str">
        <f t="shared" si="3"/>
        <v/>
      </c>
      <c r="T113" s="16" t="str">
        <f t="shared" si="4"/>
        <v/>
      </c>
      <c r="U113" s="23" t="str">
        <f t="shared" si="5"/>
        <v/>
      </c>
      <c r="V113" s="18"/>
    </row>
    <row r="114" spans="1:22" x14ac:dyDescent="0.45">
      <c r="A114" s="16" t="str">
        <f>IF(B114="","","LDX-"&amp;TEXT(B114,"yymmdd")&amp;"-"&amp;TEXT(COUNTIFS(B$5:B114,B114),"00"))</f>
        <v/>
      </c>
      <c r="B114" s="17"/>
      <c r="C114" s="18"/>
      <c r="D114" s="18"/>
      <c r="E114" s="18"/>
      <c r="F114" s="18"/>
      <c r="G114" s="18"/>
      <c r="H114" s="18"/>
      <c r="I114" s="18"/>
      <c r="J114" s="19"/>
      <c r="K114" s="20"/>
      <c r="L114" s="20"/>
      <c r="M114" s="19"/>
      <c r="N114" s="18"/>
      <c r="O114" s="18"/>
      <c r="P114" s="18"/>
      <c r="Q114" s="18"/>
      <c r="R114" s="21" t="str">
        <f>IF(C114="","",IFERROR(INDEX('THAM SỐ'!$F$5:$F$7,MATCH(C114,'THAM SỐ'!$A$5:$A$7,0)),""))</f>
        <v/>
      </c>
      <c r="S114" s="22" t="str">
        <f t="shared" si="3"/>
        <v/>
      </c>
      <c r="T114" s="16" t="str">
        <f t="shared" si="4"/>
        <v/>
      </c>
      <c r="U114" s="23" t="str">
        <f t="shared" si="5"/>
        <v/>
      </c>
      <c r="V114" s="18"/>
    </row>
    <row r="115" spans="1:22" x14ac:dyDescent="0.45">
      <c r="A115" s="16" t="str">
        <f>IF(B115="","","LDX-"&amp;TEXT(B115,"yymmdd")&amp;"-"&amp;TEXT(COUNTIFS(B$5:B115,B115),"00"))</f>
        <v/>
      </c>
      <c r="B115" s="17"/>
      <c r="C115" s="18"/>
      <c r="D115" s="18"/>
      <c r="E115" s="18"/>
      <c r="F115" s="18"/>
      <c r="G115" s="18"/>
      <c r="H115" s="18"/>
      <c r="I115" s="18"/>
      <c r="J115" s="19"/>
      <c r="K115" s="20"/>
      <c r="L115" s="20"/>
      <c r="M115" s="19"/>
      <c r="N115" s="18"/>
      <c r="O115" s="18"/>
      <c r="P115" s="18"/>
      <c r="Q115" s="18"/>
      <c r="R115" s="21" t="str">
        <f>IF(C115="","",IFERROR(INDEX('THAM SỐ'!$F$5:$F$7,MATCH(C115,'THAM SỐ'!$A$5:$A$7,0)),""))</f>
        <v/>
      </c>
      <c r="S115" s="22" t="str">
        <f t="shared" si="3"/>
        <v/>
      </c>
      <c r="T115" s="16" t="str">
        <f t="shared" si="4"/>
        <v/>
      </c>
      <c r="U115" s="23" t="str">
        <f t="shared" si="5"/>
        <v/>
      </c>
      <c r="V115" s="18"/>
    </row>
    <row r="116" spans="1:22" x14ac:dyDescent="0.45">
      <c r="A116" s="16" t="str">
        <f>IF(B116="","","LDX-"&amp;TEXT(B116,"yymmdd")&amp;"-"&amp;TEXT(COUNTIFS(B$5:B116,B116),"00"))</f>
        <v/>
      </c>
      <c r="B116" s="17"/>
      <c r="C116" s="18"/>
      <c r="D116" s="18"/>
      <c r="E116" s="18"/>
      <c r="F116" s="18"/>
      <c r="G116" s="18"/>
      <c r="H116" s="18"/>
      <c r="I116" s="18"/>
      <c r="J116" s="19"/>
      <c r="K116" s="20"/>
      <c r="L116" s="20"/>
      <c r="M116" s="19"/>
      <c r="N116" s="18"/>
      <c r="O116" s="18"/>
      <c r="P116" s="18"/>
      <c r="Q116" s="18"/>
      <c r="R116" s="21" t="str">
        <f>IF(C116="","",IFERROR(INDEX('THAM SỐ'!$F$5:$F$7,MATCH(C116,'THAM SỐ'!$A$5:$A$7,0)),""))</f>
        <v/>
      </c>
      <c r="S116" s="22" t="str">
        <f t="shared" si="3"/>
        <v/>
      </c>
      <c r="T116" s="16" t="str">
        <f t="shared" si="4"/>
        <v/>
      </c>
      <c r="U116" s="23" t="str">
        <f t="shared" si="5"/>
        <v/>
      </c>
      <c r="V116" s="18"/>
    </row>
    <row r="117" spans="1:22" x14ac:dyDescent="0.45">
      <c r="A117" s="16" t="str">
        <f>IF(B117="","","LDX-"&amp;TEXT(B117,"yymmdd")&amp;"-"&amp;TEXT(COUNTIFS(B$5:B117,B117),"00"))</f>
        <v/>
      </c>
      <c r="B117" s="17"/>
      <c r="C117" s="18"/>
      <c r="D117" s="18"/>
      <c r="E117" s="18"/>
      <c r="F117" s="18"/>
      <c r="G117" s="18"/>
      <c r="H117" s="18"/>
      <c r="I117" s="18"/>
      <c r="J117" s="19"/>
      <c r="K117" s="20"/>
      <c r="L117" s="20"/>
      <c r="M117" s="19"/>
      <c r="N117" s="18"/>
      <c r="O117" s="18"/>
      <c r="P117" s="18"/>
      <c r="Q117" s="18"/>
      <c r="R117" s="21" t="str">
        <f>IF(C117="","",IFERROR(INDEX('THAM SỐ'!$F$5:$F$7,MATCH(C117,'THAM SỐ'!$A$5:$A$7,0)),""))</f>
        <v/>
      </c>
      <c r="S117" s="22" t="str">
        <f t="shared" si="3"/>
        <v/>
      </c>
      <c r="T117" s="16" t="str">
        <f t="shared" si="4"/>
        <v/>
      </c>
      <c r="U117" s="23" t="str">
        <f t="shared" si="5"/>
        <v/>
      </c>
      <c r="V117" s="18"/>
    </row>
    <row r="118" spans="1:22" x14ac:dyDescent="0.45">
      <c r="A118" s="16" t="str">
        <f>IF(B118="","","LDX-"&amp;TEXT(B118,"yymmdd")&amp;"-"&amp;TEXT(COUNTIFS(B$5:B118,B118),"00"))</f>
        <v/>
      </c>
      <c r="B118" s="17"/>
      <c r="C118" s="18"/>
      <c r="D118" s="18"/>
      <c r="E118" s="18"/>
      <c r="F118" s="18"/>
      <c r="G118" s="18"/>
      <c r="H118" s="18"/>
      <c r="I118" s="18"/>
      <c r="J118" s="19"/>
      <c r="K118" s="20"/>
      <c r="L118" s="20"/>
      <c r="M118" s="19"/>
      <c r="N118" s="18"/>
      <c r="O118" s="18"/>
      <c r="P118" s="18"/>
      <c r="Q118" s="18"/>
      <c r="R118" s="21" t="str">
        <f>IF(C118="","",IFERROR(INDEX('THAM SỐ'!$F$5:$F$7,MATCH(C118,'THAM SỐ'!$A$5:$A$7,0)),""))</f>
        <v/>
      </c>
      <c r="S118" s="22" t="str">
        <f t="shared" si="3"/>
        <v/>
      </c>
      <c r="T118" s="16" t="str">
        <f t="shared" si="4"/>
        <v/>
      </c>
      <c r="U118" s="23" t="str">
        <f t="shared" si="5"/>
        <v/>
      </c>
      <c r="V118" s="18"/>
    </row>
    <row r="119" spans="1:22" x14ac:dyDescent="0.45">
      <c r="A119" s="16" t="str">
        <f>IF(B119="","","LDX-"&amp;TEXT(B119,"yymmdd")&amp;"-"&amp;TEXT(COUNTIFS(B$5:B119,B119),"00"))</f>
        <v/>
      </c>
      <c r="B119" s="17"/>
      <c r="C119" s="18"/>
      <c r="D119" s="18"/>
      <c r="E119" s="18"/>
      <c r="F119" s="18"/>
      <c r="G119" s="18"/>
      <c r="H119" s="18"/>
      <c r="I119" s="18"/>
      <c r="J119" s="19"/>
      <c r="K119" s="20"/>
      <c r="L119" s="20"/>
      <c r="M119" s="19"/>
      <c r="N119" s="18"/>
      <c r="O119" s="18"/>
      <c r="P119" s="18"/>
      <c r="Q119" s="18"/>
      <c r="R119" s="21" t="str">
        <f>IF(C119="","",IFERROR(INDEX('THAM SỐ'!$F$5:$F$7,MATCH(C119,'THAM SỐ'!$A$5:$A$7,0)),""))</f>
        <v/>
      </c>
      <c r="S119" s="22" t="str">
        <f t="shared" si="3"/>
        <v/>
      </c>
      <c r="T119" s="16" t="str">
        <f t="shared" si="4"/>
        <v/>
      </c>
      <c r="U119" s="23" t="str">
        <f t="shared" si="5"/>
        <v/>
      </c>
      <c r="V119" s="18"/>
    </row>
    <row r="120" spans="1:22" x14ac:dyDescent="0.45">
      <c r="A120" s="16" t="str">
        <f>IF(B120="","","LDX-"&amp;TEXT(B120,"yymmdd")&amp;"-"&amp;TEXT(COUNTIFS(B$5:B120,B120),"00"))</f>
        <v/>
      </c>
      <c r="B120" s="17"/>
      <c r="C120" s="18"/>
      <c r="D120" s="18"/>
      <c r="E120" s="18"/>
      <c r="F120" s="18"/>
      <c r="G120" s="18"/>
      <c r="H120" s="18"/>
      <c r="I120" s="18"/>
      <c r="J120" s="19"/>
      <c r="K120" s="20"/>
      <c r="L120" s="20"/>
      <c r="M120" s="19"/>
      <c r="N120" s="18"/>
      <c r="O120" s="18"/>
      <c r="P120" s="18"/>
      <c r="Q120" s="18"/>
      <c r="R120" s="21" t="str">
        <f>IF(C120="","",IFERROR(INDEX('THAM SỐ'!$F$5:$F$7,MATCH(C120,'THAM SỐ'!$A$5:$A$7,0)),""))</f>
        <v/>
      </c>
      <c r="S120" s="22" t="str">
        <f t="shared" si="3"/>
        <v/>
      </c>
      <c r="T120" s="16" t="str">
        <f t="shared" si="4"/>
        <v/>
      </c>
      <c r="U120" s="23" t="str">
        <f t="shared" si="5"/>
        <v/>
      </c>
      <c r="V120" s="18"/>
    </row>
    <row r="121" spans="1:22" x14ac:dyDescent="0.45">
      <c r="A121" s="16" t="str">
        <f>IF(B121="","","LDX-"&amp;TEXT(B121,"yymmdd")&amp;"-"&amp;TEXT(COUNTIFS(B$5:B121,B121),"00"))</f>
        <v/>
      </c>
      <c r="B121" s="17"/>
      <c r="C121" s="18"/>
      <c r="D121" s="18"/>
      <c r="E121" s="18"/>
      <c r="F121" s="18"/>
      <c r="G121" s="18"/>
      <c r="H121" s="18"/>
      <c r="I121" s="18"/>
      <c r="J121" s="19"/>
      <c r="K121" s="20"/>
      <c r="L121" s="20"/>
      <c r="M121" s="19"/>
      <c r="N121" s="18"/>
      <c r="O121" s="18"/>
      <c r="P121" s="18"/>
      <c r="Q121" s="18"/>
      <c r="R121" s="21" t="str">
        <f>IF(C121="","",IFERROR(INDEX('THAM SỐ'!$F$5:$F$7,MATCH(C121,'THAM SỐ'!$A$5:$A$7,0)),""))</f>
        <v/>
      </c>
      <c r="S121" s="22" t="str">
        <f t="shared" si="3"/>
        <v/>
      </c>
      <c r="T121" s="16" t="str">
        <f t="shared" si="4"/>
        <v/>
      </c>
      <c r="U121" s="23" t="str">
        <f t="shared" si="5"/>
        <v/>
      </c>
      <c r="V121" s="18"/>
    </row>
    <row r="122" spans="1:22" x14ac:dyDescent="0.45">
      <c r="A122" s="16" t="str">
        <f>IF(B122="","","LDX-"&amp;TEXT(B122,"yymmdd")&amp;"-"&amp;TEXT(COUNTIFS(B$5:B122,B122),"00"))</f>
        <v/>
      </c>
      <c r="B122" s="17"/>
      <c r="C122" s="18"/>
      <c r="D122" s="18"/>
      <c r="E122" s="18"/>
      <c r="F122" s="18"/>
      <c r="G122" s="18"/>
      <c r="H122" s="18"/>
      <c r="I122" s="18"/>
      <c r="J122" s="19"/>
      <c r="K122" s="20"/>
      <c r="L122" s="20"/>
      <c r="M122" s="19"/>
      <c r="N122" s="18"/>
      <c r="O122" s="18"/>
      <c r="P122" s="18"/>
      <c r="Q122" s="18"/>
      <c r="R122" s="21" t="str">
        <f>IF(C122="","",IFERROR(INDEX('THAM SỐ'!$F$5:$F$7,MATCH(C122,'THAM SỐ'!$A$5:$A$7,0)),""))</f>
        <v/>
      </c>
      <c r="S122" s="22" t="str">
        <f t="shared" si="3"/>
        <v/>
      </c>
      <c r="T122" s="16" t="str">
        <f t="shared" si="4"/>
        <v/>
      </c>
      <c r="U122" s="23" t="str">
        <f t="shared" si="5"/>
        <v/>
      </c>
      <c r="V122" s="18"/>
    </row>
    <row r="123" spans="1:22" x14ac:dyDescent="0.45">
      <c r="A123" s="16" t="str">
        <f>IF(B123="","","LDX-"&amp;TEXT(B123,"yymmdd")&amp;"-"&amp;TEXT(COUNTIFS(B$5:B123,B123),"00"))</f>
        <v/>
      </c>
      <c r="B123" s="17"/>
      <c r="C123" s="18"/>
      <c r="D123" s="18"/>
      <c r="E123" s="18"/>
      <c r="F123" s="18"/>
      <c r="G123" s="18"/>
      <c r="H123" s="18"/>
      <c r="I123" s="18"/>
      <c r="J123" s="19"/>
      <c r="K123" s="20"/>
      <c r="L123" s="20"/>
      <c r="M123" s="19"/>
      <c r="N123" s="18"/>
      <c r="O123" s="18"/>
      <c r="P123" s="18"/>
      <c r="Q123" s="18"/>
      <c r="R123" s="21" t="str">
        <f>IF(C123="","",IFERROR(INDEX('THAM SỐ'!$F$5:$F$7,MATCH(C123,'THAM SỐ'!$A$5:$A$7,0)),""))</f>
        <v/>
      </c>
      <c r="S123" s="22" t="str">
        <f t="shared" si="3"/>
        <v/>
      </c>
      <c r="T123" s="16" t="str">
        <f t="shared" si="4"/>
        <v/>
      </c>
      <c r="U123" s="23" t="str">
        <f t="shared" si="5"/>
        <v/>
      </c>
      <c r="V123" s="18"/>
    </row>
    <row r="124" spans="1:22" x14ac:dyDescent="0.45">
      <c r="A124" s="16" t="str">
        <f>IF(B124="","","LDX-"&amp;TEXT(B124,"yymmdd")&amp;"-"&amp;TEXT(COUNTIFS(B$5:B124,B124),"00"))</f>
        <v/>
      </c>
      <c r="B124" s="17"/>
      <c r="C124" s="18"/>
      <c r="D124" s="18"/>
      <c r="E124" s="18"/>
      <c r="F124" s="18"/>
      <c r="G124" s="18"/>
      <c r="H124" s="18"/>
      <c r="I124" s="18"/>
      <c r="J124" s="19"/>
      <c r="K124" s="20"/>
      <c r="L124" s="20"/>
      <c r="M124" s="19"/>
      <c r="N124" s="18"/>
      <c r="O124" s="18"/>
      <c r="P124" s="18"/>
      <c r="Q124" s="18"/>
      <c r="R124" s="21" t="str">
        <f>IF(C124="","",IFERROR(INDEX('THAM SỐ'!$F$5:$F$7,MATCH(C124,'THAM SỐ'!$A$5:$A$7,0)),""))</f>
        <v/>
      </c>
      <c r="S124" s="22" t="str">
        <f t="shared" si="3"/>
        <v/>
      </c>
      <c r="T124" s="16" t="str">
        <f t="shared" si="4"/>
        <v/>
      </c>
      <c r="U124" s="23" t="str">
        <f t="shared" si="5"/>
        <v/>
      </c>
      <c r="V124" s="18"/>
    </row>
    <row r="125" spans="1:22" x14ac:dyDescent="0.45">
      <c r="A125" s="16" t="str">
        <f>IF(B125="","","LDX-"&amp;TEXT(B125,"yymmdd")&amp;"-"&amp;TEXT(COUNTIFS(B$5:B125,B125),"00"))</f>
        <v/>
      </c>
      <c r="B125" s="17"/>
      <c r="C125" s="18"/>
      <c r="D125" s="18"/>
      <c r="E125" s="18"/>
      <c r="F125" s="18"/>
      <c r="G125" s="18"/>
      <c r="H125" s="18"/>
      <c r="I125" s="18"/>
      <c r="J125" s="19"/>
      <c r="K125" s="20"/>
      <c r="L125" s="20"/>
      <c r="M125" s="19"/>
      <c r="N125" s="18"/>
      <c r="O125" s="18"/>
      <c r="P125" s="18"/>
      <c r="Q125" s="18"/>
      <c r="R125" s="21" t="str">
        <f>IF(C125="","",IFERROR(INDEX('THAM SỐ'!$F$5:$F$7,MATCH(C125,'THAM SỐ'!$A$5:$A$7,0)),""))</f>
        <v/>
      </c>
      <c r="S125" s="22" t="str">
        <f t="shared" si="3"/>
        <v/>
      </c>
      <c r="T125" s="16" t="str">
        <f t="shared" si="4"/>
        <v/>
      </c>
      <c r="U125" s="23" t="str">
        <f t="shared" si="5"/>
        <v/>
      </c>
      <c r="V125" s="18"/>
    </row>
    <row r="126" spans="1:22" x14ac:dyDescent="0.45">
      <c r="A126" s="16" t="str">
        <f>IF(B126="","","LDX-"&amp;TEXT(B126,"yymmdd")&amp;"-"&amp;TEXT(COUNTIFS(B$5:B126,B126),"00"))</f>
        <v/>
      </c>
      <c r="B126" s="17"/>
      <c r="C126" s="18"/>
      <c r="D126" s="18"/>
      <c r="E126" s="18"/>
      <c r="F126" s="18"/>
      <c r="G126" s="18"/>
      <c r="H126" s="18"/>
      <c r="I126" s="18"/>
      <c r="J126" s="19"/>
      <c r="K126" s="20"/>
      <c r="L126" s="20"/>
      <c r="M126" s="19"/>
      <c r="N126" s="18"/>
      <c r="O126" s="18"/>
      <c r="P126" s="18"/>
      <c r="Q126" s="18"/>
      <c r="R126" s="21" t="str">
        <f>IF(C126="","",IFERROR(INDEX('THAM SỐ'!$F$5:$F$7,MATCH(C126,'THAM SỐ'!$A$5:$A$7,0)),""))</f>
        <v/>
      </c>
      <c r="S126" s="22" t="str">
        <f t="shared" si="3"/>
        <v/>
      </c>
      <c r="T126" s="16" t="str">
        <f t="shared" si="4"/>
        <v/>
      </c>
      <c r="U126" s="23" t="str">
        <f t="shared" si="5"/>
        <v/>
      </c>
      <c r="V126" s="18"/>
    </row>
    <row r="127" spans="1:22" x14ac:dyDescent="0.45">
      <c r="A127" s="16" t="str">
        <f>IF(B127="","","LDX-"&amp;TEXT(B127,"yymmdd")&amp;"-"&amp;TEXT(COUNTIFS(B$5:B127,B127),"00"))</f>
        <v/>
      </c>
      <c r="B127" s="17"/>
      <c r="C127" s="18"/>
      <c r="D127" s="18"/>
      <c r="E127" s="18"/>
      <c r="F127" s="18"/>
      <c r="G127" s="18"/>
      <c r="H127" s="18"/>
      <c r="I127" s="18"/>
      <c r="J127" s="19"/>
      <c r="K127" s="20"/>
      <c r="L127" s="20"/>
      <c r="M127" s="19"/>
      <c r="N127" s="18"/>
      <c r="O127" s="18"/>
      <c r="P127" s="18"/>
      <c r="Q127" s="18"/>
      <c r="R127" s="21" t="str">
        <f>IF(C127="","",IFERROR(INDEX('THAM SỐ'!$F$5:$F$7,MATCH(C127,'THAM SỐ'!$A$5:$A$7,0)),""))</f>
        <v/>
      </c>
      <c r="S127" s="22" t="str">
        <f t="shared" si="3"/>
        <v/>
      </c>
      <c r="T127" s="16" t="str">
        <f t="shared" si="4"/>
        <v/>
      </c>
      <c r="U127" s="23" t="str">
        <f t="shared" si="5"/>
        <v/>
      </c>
      <c r="V127" s="18"/>
    </row>
    <row r="128" spans="1:22" x14ac:dyDescent="0.45">
      <c r="A128" s="16" t="str">
        <f>IF(B128="","","LDX-"&amp;TEXT(B128,"yymmdd")&amp;"-"&amp;TEXT(COUNTIFS(B$5:B128,B128),"00"))</f>
        <v/>
      </c>
      <c r="B128" s="17"/>
      <c r="C128" s="18"/>
      <c r="D128" s="18"/>
      <c r="E128" s="18"/>
      <c r="F128" s="18"/>
      <c r="G128" s="18"/>
      <c r="H128" s="18"/>
      <c r="I128" s="18"/>
      <c r="J128" s="19"/>
      <c r="K128" s="20"/>
      <c r="L128" s="20"/>
      <c r="M128" s="19"/>
      <c r="N128" s="18"/>
      <c r="O128" s="18"/>
      <c r="P128" s="18"/>
      <c r="Q128" s="18"/>
      <c r="R128" s="21" t="str">
        <f>IF(C128="","",IFERROR(INDEX('THAM SỐ'!$F$5:$F$7,MATCH(C128,'THAM SỐ'!$A$5:$A$7,0)),""))</f>
        <v/>
      </c>
      <c r="S128" s="22" t="str">
        <f t="shared" si="3"/>
        <v/>
      </c>
      <c r="T128" s="16" t="str">
        <f t="shared" si="4"/>
        <v/>
      </c>
      <c r="U128" s="23" t="str">
        <f t="shared" si="5"/>
        <v/>
      </c>
      <c r="V128" s="18"/>
    </row>
    <row r="129" spans="1:22" x14ac:dyDescent="0.45">
      <c r="A129" s="16" t="str">
        <f>IF(B129="","","LDX-"&amp;TEXT(B129,"yymmdd")&amp;"-"&amp;TEXT(COUNTIFS(B$5:B129,B129),"00"))</f>
        <v/>
      </c>
      <c r="B129" s="17"/>
      <c r="C129" s="18"/>
      <c r="D129" s="18"/>
      <c r="E129" s="18"/>
      <c r="F129" s="18"/>
      <c r="G129" s="18"/>
      <c r="H129" s="18"/>
      <c r="I129" s="18"/>
      <c r="J129" s="19"/>
      <c r="K129" s="20"/>
      <c r="L129" s="20"/>
      <c r="M129" s="19"/>
      <c r="N129" s="18"/>
      <c r="O129" s="18"/>
      <c r="P129" s="18"/>
      <c r="Q129" s="18"/>
      <c r="R129" s="21" t="str">
        <f>IF(C129="","",IFERROR(INDEX('THAM SỐ'!$F$5:$F$7,MATCH(C129,'THAM SỐ'!$A$5:$A$7,0)),""))</f>
        <v/>
      </c>
      <c r="S129" s="22" t="str">
        <f t="shared" si="3"/>
        <v/>
      </c>
      <c r="T129" s="16" t="str">
        <f t="shared" si="4"/>
        <v/>
      </c>
      <c r="U129" s="23" t="str">
        <f t="shared" si="5"/>
        <v/>
      </c>
      <c r="V129" s="18"/>
    </row>
    <row r="130" spans="1:22" x14ac:dyDescent="0.45">
      <c r="A130" s="16" t="str">
        <f>IF(B130="","","LDX-"&amp;TEXT(B130,"yymmdd")&amp;"-"&amp;TEXT(COUNTIFS(B$5:B130,B130),"00"))</f>
        <v/>
      </c>
      <c r="B130" s="17"/>
      <c r="C130" s="18"/>
      <c r="D130" s="18"/>
      <c r="E130" s="18"/>
      <c r="F130" s="18"/>
      <c r="G130" s="18"/>
      <c r="H130" s="18"/>
      <c r="I130" s="18"/>
      <c r="J130" s="19"/>
      <c r="K130" s="20"/>
      <c r="L130" s="20"/>
      <c r="M130" s="19"/>
      <c r="N130" s="18"/>
      <c r="O130" s="18"/>
      <c r="P130" s="18"/>
      <c r="Q130" s="18"/>
      <c r="R130" s="21" t="str">
        <f>IF(C130="","",IFERROR(INDEX('THAM SỐ'!$F$5:$F$7,MATCH(C130,'THAM SỐ'!$A$5:$A$7,0)),""))</f>
        <v/>
      </c>
      <c r="S130" s="22" t="str">
        <f t="shared" si="3"/>
        <v/>
      </c>
      <c r="T130" s="16" t="str">
        <f t="shared" si="4"/>
        <v/>
      </c>
      <c r="U130" s="23" t="str">
        <f t="shared" si="5"/>
        <v/>
      </c>
      <c r="V130" s="18"/>
    </row>
    <row r="131" spans="1:22" x14ac:dyDescent="0.45">
      <c r="A131" s="16" t="str">
        <f>IF(B131="","","LDX-"&amp;TEXT(B131,"yymmdd")&amp;"-"&amp;TEXT(COUNTIFS(B$5:B131,B131),"00"))</f>
        <v/>
      </c>
      <c r="B131" s="17"/>
      <c r="C131" s="18"/>
      <c r="D131" s="18"/>
      <c r="E131" s="18"/>
      <c r="F131" s="18"/>
      <c r="G131" s="18"/>
      <c r="H131" s="18"/>
      <c r="I131" s="18"/>
      <c r="J131" s="19"/>
      <c r="K131" s="20"/>
      <c r="L131" s="20"/>
      <c r="M131" s="19"/>
      <c r="N131" s="18"/>
      <c r="O131" s="18"/>
      <c r="P131" s="18"/>
      <c r="Q131" s="18"/>
      <c r="R131" s="21" t="str">
        <f>IF(C131="","",IFERROR(INDEX('THAM SỐ'!$F$5:$F$7,MATCH(C131,'THAM SỐ'!$A$5:$A$7,0)),""))</f>
        <v/>
      </c>
      <c r="S131" s="22" t="str">
        <f t="shared" si="3"/>
        <v/>
      </c>
      <c r="T131" s="16" t="str">
        <f t="shared" si="4"/>
        <v/>
      </c>
      <c r="U131" s="23" t="str">
        <f t="shared" si="5"/>
        <v/>
      </c>
      <c r="V131" s="18"/>
    </row>
    <row r="132" spans="1:22" x14ac:dyDescent="0.45">
      <c r="A132" s="16" t="str">
        <f>IF(B132="","","LDX-"&amp;TEXT(B132,"yymmdd")&amp;"-"&amp;TEXT(COUNTIFS(B$5:B132,B132),"00"))</f>
        <v/>
      </c>
      <c r="B132" s="17"/>
      <c r="C132" s="18"/>
      <c r="D132" s="18"/>
      <c r="E132" s="18"/>
      <c r="F132" s="18"/>
      <c r="G132" s="18"/>
      <c r="H132" s="18"/>
      <c r="I132" s="18"/>
      <c r="J132" s="19"/>
      <c r="K132" s="20"/>
      <c r="L132" s="20"/>
      <c r="M132" s="19"/>
      <c r="N132" s="18"/>
      <c r="O132" s="18"/>
      <c r="P132" s="18"/>
      <c r="Q132" s="18"/>
      <c r="R132" s="21" t="str">
        <f>IF(C132="","",IFERROR(INDEX('THAM SỐ'!$F$5:$F$7,MATCH(C132,'THAM SỐ'!$A$5:$A$7,0)),""))</f>
        <v/>
      </c>
      <c r="S132" s="22" t="str">
        <f t="shared" si="3"/>
        <v/>
      </c>
      <c r="T132" s="16" t="str">
        <f t="shared" si="4"/>
        <v/>
      </c>
      <c r="U132" s="23" t="str">
        <f t="shared" si="5"/>
        <v/>
      </c>
      <c r="V132" s="18"/>
    </row>
    <row r="133" spans="1:22" x14ac:dyDescent="0.45">
      <c r="A133" s="16" t="str">
        <f>IF(B133="","","LDX-"&amp;TEXT(B133,"yymmdd")&amp;"-"&amp;TEXT(COUNTIFS(B$5:B133,B133),"00"))</f>
        <v/>
      </c>
      <c r="B133" s="17"/>
      <c r="C133" s="18"/>
      <c r="D133" s="18"/>
      <c r="E133" s="18"/>
      <c r="F133" s="18"/>
      <c r="G133" s="18"/>
      <c r="H133" s="18"/>
      <c r="I133" s="18"/>
      <c r="J133" s="19"/>
      <c r="K133" s="20"/>
      <c r="L133" s="20"/>
      <c r="M133" s="19"/>
      <c r="N133" s="18"/>
      <c r="O133" s="18"/>
      <c r="P133" s="18"/>
      <c r="Q133" s="18"/>
      <c r="R133" s="21" t="str">
        <f>IF(C133="","",IFERROR(INDEX('THAM SỐ'!$F$5:$F$7,MATCH(C133,'THAM SỐ'!$A$5:$A$7,0)),""))</f>
        <v/>
      </c>
      <c r="S133" s="22" t="str">
        <f t="shared" ref="S133:S196" si="6">IF(OR(M133="",R133="",R133=0),"",M133/R133)</f>
        <v/>
      </c>
      <c r="T133" s="16" t="str">
        <f t="shared" ref="T133:T196" si="7">IF(S133="","",IF(S133&gt;1,"QUÁ TẢI",IF(S133&gt;0.9,"Sát tải","Đạt")))</f>
        <v/>
      </c>
      <c r="U133" s="23" t="str">
        <f t="shared" ref="U133:U196" si="8">IF(L133="","",L133+(L133&lt;4/24))</f>
        <v/>
      </c>
      <c r="V133" s="18"/>
    </row>
    <row r="134" spans="1:22" x14ac:dyDescent="0.45">
      <c r="A134" s="16" t="str">
        <f>IF(B134="","","LDX-"&amp;TEXT(B134,"yymmdd")&amp;"-"&amp;TEXT(COUNTIFS(B$5:B134,B134),"00"))</f>
        <v/>
      </c>
      <c r="B134" s="17"/>
      <c r="C134" s="18"/>
      <c r="D134" s="18"/>
      <c r="E134" s="18"/>
      <c r="F134" s="18"/>
      <c r="G134" s="18"/>
      <c r="H134" s="18"/>
      <c r="I134" s="18"/>
      <c r="J134" s="19"/>
      <c r="K134" s="20"/>
      <c r="L134" s="20"/>
      <c r="M134" s="19"/>
      <c r="N134" s="18"/>
      <c r="O134" s="18"/>
      <c r="P134" s="18"/>
      <c r="Q134" s="18"/>
      <c r="R134" s="21" t="str">
        <f>IF(C134="","",IFERROR(INDEX('THAM SỐ'!$F$5:$F$7,MATCH(C134,'THAM SỐ'!$A$5:$A$7,0)),""))</f>
        <v/>
      </c>
      <c r="S134" s="22" t="str">
        <f t="shared" si="6"/>
        <v/>
      </c>
      <c r="T134" s="16" t="str">
        <f t="shared" si="7"/>
        <v/>
      </c>
      <c r="U134" s="23" t="str">
        <f t="shared" si="8"/>
        <v/>
      </c>
      <c r="V134" s="18"/>
    </row>
    <row r="135" spans="1:22" x14ac:dyDescent="0.45">
      <c r="A135" s="16" t="str">
        <f>IF(B135="","","LDX-"&amp;TEXT(B135,"yymmdd")&amp;"-"&amp;TEXT(COUNTIFS(B$5:B135,B135),"00"))</f>
        <v/>
      </c>
      <c r="B135" s="17"/>
      <c r="C135" s="18"/>
      <c r="D135" s="18"/>
      <c r="E135" s="18"/>
      <c r="F135" s="18"/>
      <c r="G135" s="18"/>
      <c r="H135" s="18"/>
      <c r="I135" s="18"/>
      <c r="J135" s="19"/>
      <c r="K135" s="20"/>
      <c r="L135" s="20"/>
      <c r="M135" s="19"/>
      <c r="N135" s="18"/>
      <c r="O135" s="18"/>
      <c r="P135" s="18"/>
      <c r="Q135" s="18"/>
      <c r="R135" s="21" t="str">
        <f>IF(C135="","",IFERROR(INDEX('THAM SỐ'!$F$5:$F$7,MATCH(C135,'THAM SỐ'!$A$5:$A$7,0)),""))</f>
        <v/>
      </c>
      <c r="S135" s="22" t="str">
        <f t="shared" si="6"/>
        <v/>
      </c>
      <c r="T135" s="16" t="str">
        <f t="shared" si="7"/>
        <v/>
      </c>
      <c r="U135" s="23" t="str">
        <f t="shared" si="8"/>
        <v/>
      </c>
      <c r="V135" s="18"/>
    </row>
    <row r="136" spans="1:22" x14ac:dyDescent="0.45">
      <c r="A136" s="16" t="str">
        <f>IF(B136="","","LDX-"&amp;TEXT(B136,"yymmdd")&amp;"-"&amp;TEXT(COUNTIFS(B$5:B136,B136),"00"))</f>
        <v/>
      </c>
      <c r="B136" s="17"/>
      <c r="C136" s="18"/>
      <c r="D136" s="18"/>
      <c r="E136" s="18"/>
      <c r="F136" s="18"/>
      <c r="G136" s="18"/>
      <c r="H136" s="18"/>
      <c r="I136" s="18"/>
      <c r="J136" s="19"/>
      <c r="K136" s="20"/>
      <c r="L136" s="20"/>
      <c r="M136" s="19"/>
      <c r="N136" s="18"/>
      <c r="O136" s="18"/>
      <c r="P136" s="18"/>
      <c r="Q136" s="18"/>
      <c r="R136" s="21" t="str">
        <f>IF(C136="","",IFERROR(INDEX('THAM SỐ'!$F$5:$F$7,MATCH(C136,'THAM SỐ'!$A$5:$A$7,0)),""))</f>
        <v/>
      </c>
      <c r="S136" s="22" t="str">
        <f t="shared" si="6"/>
        <v/>
      </c>
      <c r="T136" s="16" t="str">
        <f t="shared" si="7"/>
        <v/>
      </c>
      <c r="U136" s="23" t="str">
        <f t="shared" si="8"/>
        <v/>
      </c>
      <c r="V136" s="18"/>
    </row>
    <row r="137" spans="1:22" x14ac:dyDescent="0.45">
      <c r="A137" s="16" t="str">
        <f>IF(B137="","","LDX-"&amp;TEXT(B137,"yymmdd")&amp;"-"&amp;TEXT(COUNTIFS(B$5:B137,B137),"00"))</f>
        <v/>
      </c>
      <c r="B137" s="17"/>
      <c r="C137" s="18"/>
      <c r="D137" s="18"/>
      <c r="E137" s="18"/>
      <c r="F137" s="18"/>
      <c r="G137" s="18"/>
      <c r="H137" s="18"/>
      <c r="I137" s="18"/>
      <c r="J137" s="19"/>
      <c r="K137" s="20"/>
      <c r="L137" s="20"/>
      <c r="M137" s="19"/>
      <c r="N137" s="18"/>
      <c r="O137" s="18"/>
      <c r="P137" s="18"/>
      <c r="Q137" s="18"/>
      <c r="R137" s="21" t="str">
        <f>IF(C137="","",IFERROR(INDEX('THAM SỐ'!$F$5:$F$7,MATCH(C137,'THAM SỐ'!$A$5:$A$7,0)),""))</f>
        <v/>
      </c>
      <c r="S137" s="22" t="str">
        <f t="shared" si="6"/>
        <v/>
      </c>
      <c r="T137" s="16" t="str">
        <f t="shared" si="7"/>
        <v/>
      </c>
      <c r="U137" s="23" t="str">
        <f t="shared" si="8"/>
        <v/>
      </c>
      <c r="V137" s="18"/>
    </row>
    <row r="138" spans="1:22" x14ac:dyDescent="0.45">
      <c r="A138" s="16" t="str">
        <f>IF(B138="","","LDX-"&amp;TEXT(B138,"yymmdd")&amp;"-"&amp;TEXT(COUNTIFS(B$5:B138,B138),"00"))</f>
        <v/>
      </c>
      <c r="B138" s="17"/>
      <c r="C138" s="18"/>
      <c r="D138" s="18"/>
      <c r="E138" s="18"/>
      <c r="F138" s="18"/>
      <c r="G138" s="18"/>
      <c r="H138" s="18"/>
      <c r="I138" s="18"/>
      <c r="J138" s="19"/>
      <c r="K138" s="20"/>
      <c r="L138" s="20"/>
      <c r="M138" s="19"/>
      <c r="N138" s="18"/>
      <c r="O138" s="18"/>
      <c r="P138" s="18"/>
      <c r="Q138" s="18"/>
      <c r="R138" s="21" t="str">
        <f>IF(C138="","",IFERROR(INDEX('THAM SỐ'!$F$5:$F$7,MATCH(C138,'THAM SỐ'!$A$5:$A$7,0)),""))</f>
        <v/>
      </c>
      <c r="S138" s="22" t="str">
        <f t="shared" si="6"/>
        <v/>
      </c>
      <c r="T138" s="16" t="str">
        <f t="shared" si="7"/>
        <v/>
      </c>
      <c r="U138" s="23" t="str">
        <f t="shared" si="8"/>
        <v/>
      </c>
      <c r="V138" s="18"/>
    </row>
    <row r="139" spans="1:22" x14ac:dyDescent="0.45">
      <c r="A139" s="16" t="str">
        <f>IF(B139="","","LDX-"&amp;TEXT(B139,"yymmdd")&amp;"-"&amp;TEXT(COUNTIFS(B$5:B139,B139),"00"))</f>
        <v/>
      </c>
      <c r="B139" s="17"/>
      <c r="C139" s="18"/>
      <c r="D139" s="18"/>
      <c r="E139" s="18"/>
      <c r="F139" s="18"/>
      <c r="G139" s="18"/>
      <c r="H139" s="18"/>
      <c r="I139" s="18"/>
      <c r="J139" s="19"/>
      <c r="K139" s="20"/>
      <c r="L139" s="20"/>
      <c r="M139" s="19"/>
      <c r="N139" s="18"/>
      <c r="O139" s="18"/>
      <c r="P139" s="18"/>
      <c r="Q139" s="18"/>
      <c r="R139" s="21" t="str">
        <f>IF(C139="","",IFERROR(INDEX('THAM SỐ'!$F$5:$F$7,MATCH(C139,'THAM SỐ'!$A$5:$A$7,0)),""))</f>
        <v/>
      </c>
      <c r="S139" s="22" t="str">
        <f t="shared" si="6"/>
        <v/>
      </c>
      <c r="T139" s="16" t="str">
        <f t="shared" si="7"/>
        <v/>
      </c>
      <c r="U139" s="23" t="str">
        <f t="shared" si="8"/>
        <v/>
      </c>
      <c r="V139" s="18"/>
    </row>
    <row r="140" spans="1:22" x14ac:dyDescent="0.45">
      <c r="A140" s="16" t="str">
        <f>IF(B140="","","LDX-"&amp;TEXT(B140,"yymmdd")&amp;"-"&amp;TEXT(COUNTIFS(B$5:B140,B140),"00"))</f>
        <v/>
      </c>
      <c r="B140" s="17"/>
      <c r="C140" s="18"/>
      <c r="D140" s="18"/>
      <c r="E140" s="18"/>
      <c r="F140" s="18"/>
      <c r="G140" s="18"/>
      <c r="H140" s="18"/>
      <c r="I140" s="18"/>
      <c r="J140" s="19"/>
      <c r="K140" s="20"/>
      <c r="L140" s="20"/>
      <c r="M140" s="19"/>
      <c r="N140" s="18"/>
      <c r="O140" s="18"/>
      <c r="P140" s="18"/>
      <c r="Q140" s="18"/>
      <c r="R140" s="21" t="str">
        <f>IF(C140="","",IFERROR(INDEX('THAM SỐ'!$F$5:$F$7,MATCH(C140,'THAM SỐ'!$A$5:$A$7,0)),""))</f>
        <v/>
      </c>
      <c r="S140" s="22" t="str">
        <f t="shared" si="6"/>
        <v/>
      </c>
      <c r="T140" s="16" t="str">
        <f t="shared" si="7"/>
        <v/>
      </c>
      <c r="U140" s="23" t="str">
        <f t="shared" si="8"/>
        <v/>
      </c>
      <c r="V140" s="18"/>
    </row>
    <row r="141" spans="1:22" x14ac:dyDescent="0.45">
      <c r="A141" s="16" t="str">
        <f>IF(B141="","","LDX-"&amp;TEXT(B141,"yymmdd")&amp;"-"&amp;TEXT(COUNTIFS(B$5:B141,B141),"00"))</f>
        <v/>
      </c>
      <c r="B141" s="17"/>
      <c r="C141" s="18"/>
      <c r="D141" s="18"/>
      <c r="E141" s="18"/>
      <c r="F141" s="18"/>
      <c r="G141" s="18"/>
      <c r="H141" s="18"/>
      <c r="I141" s="18"/>
      <c r="J141" s="19"/>
      <c r="K141" s="20"/>
      <c r="L141" s="20"/>
      <c r="M141" s="19"/>
      <c r="N141" s="18"/>
      <c r="O141" s="18"/>
      <c r="P141" s="18"/>
      <c r="Q141" s="18"/>
      <c r="R141" s="21" t="str">
        <f>IF(C141="","",IFERROR(INDEX('THAM SỐ'!$F$5:$F$7,MATCH(C141,'THAM SỐ'!$A$5:$A$7,0)),""))</f>
        <v/>
      </c>
      <c r="S141" s="22" t="str">
        <f t="shared" si="6"/>
        <v/>
      </c>
      <c r="T141" s="16" t="str">
        <f t="shared" si="7"/>
        <v/>
      </c>
      <c r="U141" s="23" t="str">
        <f t="shared" si="8"/>
        <v/>
      </c>
      <c r="V141" s="18"/>
    </row>
    <row r="142" spans="1:22" x14ac:dyDescent="0.45">
      <c r="A142" s="16" t="str">
        <f>IF(B142="","","LDX-"&amp;TEXT(B142,"yymmdd")&amp;"-"&amp;TEXT(COUNTIFS(B$5:B142,B142),"00"))</f>
        <v/>
      </c>
      <c r="B142" s="17"/>
      <c r="C142" s="18"/>
      <c r="D142" s="18"/>
      <c r="E142" s="18"/>
      <c r="F142" s="18"/>
      <c r="G142" s="18"/>
      <c r="H142" s="18"/>
      <c r="I142" s="18"/>
      <c r="J142" s="19"/>
      <c r="K142" s="20"/>
      <c r="L142" s="20"/>
      <c r="M142" s="19"/>
      <c r="N142" s="18"/>
      <c r="O142" s="18"/>
      <c r="P142" s="18"/>
      <c r="Q142" s="18"/>
      <c r="R142" s="21" t="str">
        <f>IF(C142="","",IFERROR(INDEX('THAM SỐ'!$F$5:$F$7,MATCH(C142,'THAM SỐ'!$A$5:$A$7,0)),""))</f>
        <v/>
      </c>
      <c r="S142" s="22" t="str">
        <f t="shared" si="6"/>
        <v/>
      </c>
      <c r="T142" s="16" t="str">
        <f t="shared" si="7"/>
        <v/>
      </c>
      <c r="U142" s="23" t="str">
        <f t="shared" si="8"/>
        <v/>
      </c>
      <c r="V142" s="18"/>
    </row>
    <row r="143" spans="1:22" x14ac:dyDescent="0.45">
      <c r="A143" s="16" t="str">
        <f>IF(B143="","","LDX-"&amp;TEXT(B143,"yymmdd")&amp;"-"&amp;TEXT(COUNTIFS(B$5:B143,B143),"00"))</f>
        <v/>
      </c>
      <c r="B143" s="17"/>
      <c r="C143" s="18"/>
      <c r="D143" s="18"/>
      <c r="E143" s="18"/>
      <c r="F143" s="18"/>
      <c r="G143" s="18"/>
      <c r="H143" s="18"/>
      <c r="I143" s="18"/>
      <c r="J143" s="19"/>
      <c r="K143" s="20"/>
      <c r="L143" s="20"/>
      <c r="M143" s="19"/>
      <c r="N143" s="18"/>
      <c r="O143" s="18"/>
      <c r="P143" s="18"/>
      <c r="Q143" s="18"/>
      <c r="R143" s="21" t="str">
        <f>IF(C143="","",IFERROR(INDEX('THAM SỐ'!$F$5:$F$7,MATCH(C143,'THAM SỐ'!$A$5:$A$7,0)),""))</f>
        <v/>
      </c>
      <c r="S143" s="22" t="str">
        <f t="shared" si="6"/>
        <v/>
      </c>
      <c r="T143" s="16" t="str">
        <f t="shared" si="7"/>
        <v/>
      </c>
      <c r="U143" s="23" t="str">
        <f t="shared" si="8"/>
        <v/>
      </c>
      <c r="V143" s="18"/>
    </row>
    <row r="144" spans="1:22" x14ac:dyDescent="0.45">
      <c r="A144" s="16" t="str">
        <f>IF(B144="","","LDX-"&amp;TEXT(B144,"yymmdd")&amp;"-"&amp;TEXT(COUNTIFS(B$5:B144,B144),"00"))</f>
        <v/>
      </c>
      <c r="B144" s="17"/>
      <c r="C144" s="18"/>
      <c r="D144" s="18"/>
      <c r="E144" s="18"/>
      <c r="F144" s="18"/>
      <c r="G144" s="18"/>
      <c r="H144" s="18"/>
      <c r="I144" s="18"/>
      <c r="J144" s="19"/>
      <c r="K144" s="20"/>
      <c r="L144" s="20"/>
      <c r="M144" s="19"/>
      <c r="N144" s="18"/>
      <c r="O144" s="18"/>
      <c r="P144" s="18"/>
      <c r="Q144" s="18"/>
      <c r="R144" s="21" t="str">
        <f>IF(C144="","",IFERROR(INDEX('THAM SỐ'!$F$5:$F$7,MATCH(C144,'THAM SỐ'!$A$5:$A$7,0)),""))</f>
        <v/>
      </c>
      <c r="S144" s="22" t="str">
        <f t="shared" si="6"/>
        <v/>
      </c>
      <c r="T144" s="16" t="str">
        <f t="shared" si="7"/>
        <v/>
      </c>
      <c r="U144" s="23" t="str">
        <f t="shared" si="8"/>
        <v/>
      </c>
      <c r="V144" s="18"/>
    </row>
    <row r="145" spans="1:22" x14ac:dyDescent="0.45">
      <c r="A145" s="16" t="str">
        <f>IF(B145="","","LDX-"&amp;TEXT(B145,"yymmdd")&amp;"-"&amp;TEXT(COUNTIFS(B$5:B145,B145),"00"))</f>
        <v/>
      </c>
      <c r="B145" s="17"/>
      <c r="C145" s="18"/>
      <c r="D145" s="18"/>
      <c r="E145" s="18"/>
      <c r="F145" s="18"/>
      <c r="G145" s="18"/>
      <c r="H145" s="18"/>
      <c r="I145" s="18"/>
      <c r="J145" s="19"/>
      <c r="K145" s="20"/>
      <c r="L145" s="20"/>
      <c r="M145" s="19"/>
      <c r="N145" s="18"/>
      <c r="O145" s="18"/>
      <c r="P145" s="18"/>
      <c r="Q145" s="18"/>
      <c r="R145" s="21" t="str">
        <f>IF(C145="","",IFERROR(INDEX('THAM SỐ'!$F$5:$F$7,MATCH(C145,'THAM SỐ'!$A$5:$A$7,0)),""))</f>
        <v/>
      </c>
      <c r="S145" s="22" t="str">
        <f t="shared" si="6"/>
        <v/>
      </c>
      <c r="T145" s="16" t="str">
        <f t="shared" si="7"/>
        <v/>
      </c>
      <c r="U145" s="23" t="str">
        <f t="shared" si="8"/>
        <v/>
      </c>
      <c r="V145" s="18"/>
    </row>
    <row r="146" spans="1:22" x14ac:dyDescent="0.45">
      <c r="A146" s="16" t="str">
        <f>IF(B146="","","LDX-"&amp;TEXT(B146,"yymmdd")&amp;"-"&amp;TEXT(COUNTIFS(B$5:B146,B146),"00"))</f>
        <v/>
      </c>
      <c r="B146" s="17"/>
      <c r="C146" s="18"/>
      <c r="D146" s="18"/>
      <c r="E146" s="18"/>
      <c r="F146" s="18"/>
      <c r="G146" s="18"/>
      <c r="H146" s="18"/>
      <c r="I146" s="18"/>
      <c r="J146" s="19"/>
      <c r="K146" s="20"/>
      <c r="L146" s="20"/>
      <c r="M146" s="19"/>
      <c r="N146" s="18"/>
      <c r="O146" s="18"/>
      <c r="P146" s="18"/>
      <c r="Q146" s="18"/>
      <c r="R146" s="21" t="str">
        <f>IF(C146="","",IFERROR(INDEX('THAM SỐ'!$F$5:$F$7,MATCH(C146,'THAM SỐ'!$A$5:$A$7,0)),""))</f>
        <v/>
      </c>
      <c r="S146" s="22" t="str">
        <f t="shared" si="6"/>
        <v/>
      </c>
      <c r="T146" s="16" t="str">
        <f t="shared" si="7"/>
        <v/>
      </c>
      <c r="U146" s="23" t="str">
        <f t="shared" si="8"/>
        <v/>
      </c>
      <c r="V146" s="18"/>
    </row>
    <row r="147" spans="1:22" x14ac:dyDescent="0.45">
      <c r="A147" s="16" t="str">
        <f>IF(B147="","","LDX-"&amp;TEXT(B147,"yymmdd")&amp;"-"&amp;TEXT(COUNTIFS(B$5:B147,B147),"00"))</f>
        <v/>
      </c>
      <c r="B147" s="17"/>
      <c r="C147" s="18"/>
      <c r="D147" s="18"/>
      <c r="E147" s="18"/>
      <c r="F147" s="18"/>
      <c r="G147" s="18"/>
      <c r="H147" s="18"/>
      <c r="I147" s="18"/>
      <c r="J147" s="19"/>
      <c r="K147" s="20"/>
      <c r="L147" s="20"/>
      <c r="M147" s="19"/>
      <c r="N147" s="18"/>
      <c r="O147" s="18"/>
      <c r="P147" s="18"/>
      <c r="Q147" s="18"/>
      <c r="R147" s="21" t="str">
        <f>IF(C147="","",IFERROR(INDEX('THAM SỐ'!$F$5:$F$7,MATCH(C147,'THAM SỐ'!$A$5:$A$7,0)),""))</f>
        <v/>
      </c>
      <c r="S147" s="22" t="str">
        <f t="shared" si="6"/>
        <v/>
      </c>
      <c r="T147" s="16" t="str">
        <f t="shared" si="7"/>
        <v/>
      </c>
      <c r="U147" s="23" t="str">
        <f t="shared" si="8"/>
        <v/>
      </c>
      <c r="V147" s="18"/>
    </row>
    <row r="148" spans="1:22" x14ac:dyDescent="0.45">
      <c r="A148" s="16" t="str">
        <f>IF(B148="","","LDX-"&amp;TEXT(B148,"yymmdd")&amp;"-"&amp;TEXT(COUNTIFS(B$5:B148,B148),"00"))</f>
        <v/>
      </c>
      <c r="B148" s="17"/>
      <c r="C148" s="18"/>
      <c r="D148" s="18"/>
      <c r="E148" s="18"/>
      <c r="F148" s="18"/>
      <c r="G148" s="18"/>
      <c r="H148" s="18"/>
      <c r="I148" s="18"/>
      <c r="J148" s="19"/>
      <c r="K148" s="20"/>
      <c r="L148" s="20"/>
      <c r="M148" s="19"/>
      <c r="N148" s="18"/>
      <c r="O148" s="18"/>
      <c r="P148" s="18"/>
      <c r="Q148" s="18"/>
      <c r="R148" s="21" t="str">
        <f>IF(C148="","",IFERROR(INDEX('THAM SỐ'!$F$5:$F$7,MATCH(C148,'THAM SỐ'!$A$5:$A$7,0)),""))</f>
        <v/>
      </c>
      <c r="S148" s="22" t="str">
        <f t="shared" si="6"/>
        <v/>
      </c>
      <c r="T148" s="16" t="str">
        <f t="shared" si="7"/>
        <v/>
      </c>
      <c r="U148" s="23" t="str">
        <f t="shared" si="8"/>
        <v/>
      </c>
      <c r="V148" s="18"/>
    </row>
    <row r="149" spans="1:22" x14ac:dyDescent="0.45">
      <c r="A149" s="16" t="str">
        <f>IF(B149="","","LDX-"&amp;TEXT(B149,"yymmdd")&amp;"-"&amp;TEXT(COUNTIFS(B$5:B149,B149),"00"))</f>
        <v/>
      </c>
      <c r="B149" s="17"/>
      <c r="C149" s="18"/>
      <c r="D149" s="18"/>
      <c r="E149" s="18"/>
      <c r="F149" s="18"/>
      <c r="G149" s="18"/>
      <c r="H149" s="18"/>
      <c r="I149" s="18"/>
      <c r="J149" s="19"/>
      <c r="K149" s="20"/>
      <c r="L149" s="20"/>
      <c r="M149" s="19"/>
      <c r="N149" s="18"/>
      <c r="O149" s="18"/>
      <c r="P149" s="18"/>
      <c r="Q149" s="18"/>
      <c r="R149" s="21" t="str">
        <f>IF(C149="","",IFERROR(INDEX('THAM SỐ'!$F$5:$F$7,MATCH(C149,'THAM SỐ'!$A$5:$A$7,0)),""))</f>
        <v/>
      </c>
      <c r="S149" s="22" t="str">
        <f t="shared" si="6"/>
        <v/>
      </c>
      <c r="T149" s="16" t="str">
        <f t="shared" si="7"/>
        <v/>
      </c>
      <c r="U149" s="23" t="str">
        <f t="shared" si="8"/>
        <v/>
      </c>
      <c r="V149" s="18"/>
    </row>
    <row r="150" spans="1:22" x14ac:dyDescent="0.45">
      <c r="A150" s="16" t="str">
        <f>IF(B150="","","LDX-"&amp;TEXT(B150,"yymmdd")&amp;"-"&amp;TEXT(COUNTIFS(B$5:B150,B150),"00"))</f>
        <v/>
      </c>
      <c r="B150" s="17"/>
      <c r="C150" s="18"/>
      <c r="D150" s="18"/>
      <c r="E150" s="18"/>
      <c r="F150" s="18"/>
      <c r="G150" s="18"/>
      <c r="H150" s="18"/>
      <c r="I150" s="18"/>
      <c r="J150" s="19"/>
      <c r="K150" s="20"/>
      <c r="L150" s="20"/>
      <c r="M150" s="19"/>
      <c r="N150" s="18"/>
      <c r="O150" s="18"/>
      <c r="P150" s="18"/>
      <c r="Q150" s="18"/>
      <c r="R150" s="21" t="str">
        <f>IF(C150="","",IFERROR(INDEX('THAM SỐ'!$F$5:$F$7,MATCH(C150,'THAM SỐ'!$A$5:$A$7,0)),""))</f>
        <v/>
      </c>
      <c r="S150" s="22" t="str">
        <f t="shared" si="6"/>
        <v/>
      </c>
      <c r="T150" s="16" t="str">
        <f t="shared" si="7"/>
        <v/>
      </c>
      <c r="U150" s="23" t="str">
        <f t="shared" si="8"/>
        <v/>
      </c>
      <c r="V150" s="18"/>
    </row>
    <row r="151" spans="1:22" x14ac:dyDescent="0.45">
      <c r="A151" s="16" t="str">
        <f>IF(B151="","","LDX-"&amp;TEXT(B151,"yymmdd")&amp;"-"&amp;TEXT(COUNTIFS(B$5:B151,B151),"00"))</f>
        <v/>
      </c>
      <c r="B151" s="17"/>
      <c r="C151" s="18"/>
      <c r="D151" s="18"/>
      <c r="E151" s="18"/>
      <c r="F151" s="18"/>
      <c r="G151" s="18"/>
      <c r="H151" s="18"/>
      <c r="I151" s="18"/>
      <c r="J151" s="19"/>
      <c r="K151" s="20"/>
      <c r="L151" s="20"/>
      <c r="M151" s="19"/>
      <c r="N151" s="18"/>
      <c r="O151" s="18"/>
      <c r="P151" s="18"/>
      <c r="Q151" s="18"/>
      <c r="R151" s="21" t="str">
        <f>IF(C151="","",IFERROR(INDEX('THAM SỐ'!$F$5:$F$7,MATCH(C151,'THAM SỐ'!$A$5:$A$7,0)),""))</f>
        <v/>
      </c>
      <c r="S151" s="22" t="str">
        <f t="shared" si="6"/>
        <v/>
      </c>
      <c r="T151" s="16" t="str">
        <f t="shared" si="7"/>
        <v/>
      </c>
      <c r="U151" s="23" t="str">
        <f t="shared" si="8"/>
        <v/>
      </c>
      <c r="V151" s="18"/>
    </row>
    <row r="152" spans="1:22" x14ac:dyDescent="0.45">
      <c r="A152" s="16" t="str">
        <f>IF(B152="","","LDX-"&amp;TEXT(B152,"yymmdd")&amp;"-"&amp;TEXT(COUNTIFS(B$5:B152,B152),"00"))</f>
        <v/>
      </c>
      <c r="B152" s="17"/>
      <c r="C152" s="18"/>
      <c r="D152" s="18"/>
      <c r="E152" s="18"/>
      <c r="F152" s="18"/>
      <c r="G152" s="18"/>
      <c r="H152" s="18"/>
      <c r="I152" s="18"/>
      <c r="J152" s="19"/>
      <c r="K152" s="20"/>
      <c r="L152" s="20"/>
      <c r="M152" s="19"/>
      <c r="N152" s="18"/>
      <c r="O152" s="18"/>
      <c r="P152" s="18"/>
      <c r="Q152" s="18"/>
      <c r="R152" s="21" t="str">
        <f>IF(C152="","",IFERROR(INDEX('THAM SỐ'!$F$5:$F$7,MATCH(C152,'THAM SỐ'!$A$5:$A$7,0)),""))</f>
        <v/>
      </c>
      <c r="S152" s="22" t="str">
        <f t="shared" si="6"/>
        <v/>
      </c>
      <c r="T152" s="16" t="str">
        <f t="shared" si="7"/>
        <v/>
      </c>
      <c r="U152" s="23" t="str">
        <f t="shared" si="8"/>
        <v/>
      </c>
      <c r="V152" s="18"/>
    </row>
    <row r="153" spans="1:22" x14ac:dyDescent="0.45">
      <c r="A153" s="16" t="str">
        <f>IF(B153="","","LDX-"&amp;TEXT(B153,"yymmdd")&amp;"-"&amp;TEXT(COUNTIFS(B$5:B153,B153),"00"))</f>
        <v/>
      </c>
      <c r="B153" s="17"/>
      <c r="C153" s="18"/>
      <c r="D153" s="18"/>
      <c r="E153" s="18"/>
      <c r="F153" s="18"/>
      <c r="G153" s="18"/>
      <c r="H153" s="18"/>
      <c r="I153" s="18"/>
      <c r="J153" s="19"/>
      <c r="K153" s="20"/>
      <c r="L153" s="20"/>
      <c r="M153" s="19"/>
      <c r="N153" s="18"/>
      <c r="O153" s="18"/>
      <c r="P153" s="18"/>
      <c r="Q153" s="18"/>
      <c r="R153" s="21" t="str">
        <f>IF(C153="","",IFERROR(INDEX('THAM SỐ'!$F$5:$F$7,MATCH(C153,'THAM SỐ'!$A$5:$A$7,0)),""))</f>
        <v/>
      </c>
      <c r="S153" s="22" t="str">
        <f t="shared" si="6"/>
        <v/>
      </c>
      <c r="T153" s="16" t="str">
        <f t="shared" si="7"/>
        <v/>
      </c>
      <c r="U153" s="23" t="str">
        <f t="shared" si="8"/>
        <v/>
      </c>
      <c r="V153" s="18"/>
    </row>
    <row r="154" spans="1:22" x14ac:dyDescent="0.45">
      <c r="A154" s="16" t="str">
        <f>IF(B154="","","LDX-"&amp;TEXT(B154,"yymmdd")&amp;"-"&amp;TEXT(COUNTIFS(B$5:B154,B154),"00"))</f>
        <v/>
      </c>
      <c r="B154" s="17"/>
      <c r="C154" s="18"/>
      <c r="D154" s="18"/>
      <c r="E154" s="18"/>
      <c r="F154" s="18"/>
      <c r="G154" s="18"/>
      <c r="H154" s="18"/>
      <c r="I154" s="18"/>
      <c r="J154" s="19"/>
      <c r="K154" s="20"/>
      <c r="L154" s="20"/>
      <c r="M154" s="19"/>
      <c r="N154" s="18"/>
      <c r="O154" s="18"/>
      <c r="P154" s="18"/>
      <c r="Q154" s="18"/>
      <c r="R154" s="21" t="str">
        <f>IF(C154="","",IFERROR(INDEX('THAM SỐ'!$F$5:$F$7,MATCH(C154,'THAM SỐ'!$A$5:$A$7,0)),""))</f>
        <v/>
      </c>
      <c r="S154" s="22" t="str">
        <f t="shared" si="6"/>
        <v/>
      </c>
      <c r="T154" s="16" t="str">
        <f t="shared" si="7"/>
        <v/>
      </c>
      <c r="U154" s="23" t="str">
        <f t="shared" si="8"/>
        <v/>
      </c>
      <c r="V154" s="18"/>
    </row>
    <row r="155" spans="1:22" x14ac:dyDescent="0.45">
      <c r="A155" s="16" t="str">
        <f>IF(B155="","","LDX-"&amp;TEXT(B155,"yymmdd")&amp;"-"&amp;TEXT(COUNTIFS(B$5:B155,B155),"00"))</f>
        <v/>
      </c>
      <c r="B155" s="17"/>
      <c r="C155" s="18"/>
      <c r="D155" s="18"/>
      <c r="E155" s="18"/>
      <c r="F155" s="18"/>
      <c r="G155" s="18"/>
      <c r="H155" s="18"/>
      <c r="I155" s="18"/>
      <c r="J155" s="19"/>
      <c r="K155" s="20"/>
      <c r="L155" s="20"/>
      <c r="M155" s="19"/>
      <c r="N155" s="18"/>
      <c r="O155" s="18"/>
      <c r="P155" s="18"/>
      <c r="Q155" s="18"/>
      <c r="R155" s="21" t="str">
        <f>IF(C155="","",IFERROR(INDEX('THAM SỐ'!$F$5:$F$7,MATCH(C155,'THAM SỐ'!$A$5:$A$7,0)),""))</f>
        <v/>
      </c>
      <c r="S155" s="22" t="str">
        <f t="shared" si="6"/>
        <v/>
      </c>
      <c r="T155" s="16" t="str">
        <f t="shared" si="7"/>
        <v/>
      </c>
      <c r="U155" s="23" t="str">
        <f t="shared" si="8"/>
        <v/>
      </c>
      <c r="V155" s="18"/>
    </row>
    <row r="156" spans="1:22" x14ac:dyDescent="0.45">
      <c r="A156" s="16" t="str">
        <f>IF(B156="","","LDX-"&amp;TEXT(B156,"yymmdd")&amp;"-"&amp;TEXT(COUNTIFS(B$5:B156,B156),"00"))</f>
        <v/>
      </c>
      <c r="B156" s="17"/>
      <c r="C156" s="18"/>
      <c r="D156" s="18"/>
      <c r="E156" s="18"/>
      <c r="F156" s="18"/>
      <c r="G156" s="18"/>
      <c r="H156" s="18"/>
      <c r="I156" s="18"/>
      <c r="J156" s="19"/>
      <c r="K156" s="20"/>
      <c r="L156" s="20"/>
      <c r="M156" s="19"/>
      <c r="N156" s="18"/>
      <c r="O156" s="18"/>
      <c r="P156" s="18"/>
      <c r="Q156" s="18"/>
      <c r="R156" s="21" t="str">
        <f>IF(C156="","",IFERROR(INDEX('THAM SỐ'!$F$5:$F$7,MATCH(C156,'THAM SỐ'!$A$5:$A$7,0)),""))</f>
        <v/>
      </c>
      <c r="S156" s="22" t="str">
        <f t="shared" si="6"/>
        <v/>
      </c>
      <c r="T156" s="16" t="str">
        <f t="shared" si="7"/>
        <v/>
      </c>
      <c r="U156" s="23" t="str">
        <f t="shared" si="8"/>
        <v/>
      </c>
      <c r="V156" s="18"/>
    </row>
    <row r="157" spans="1:22" x14ac:dyDescent="0.45">
      <c r="A157" s="16" t="str">
        <f>IF(B157="","","LDX-"&amp;TEXT(B157,"yymmdd")&amp;"-"&amp;TEXT(COUNTIFS(B$5:B157,B157),"00"))</f>
        <v/>
      </c>
      <c r="B157" s="17"/>
      <c r="C157" s="18"/>
      <c r="D157" s="18"/>
      <c r="E157" s="18"/>
      <c r="F157" s="18"/>
      <c r="G157" s="18"/>
      <c r="H157" s="18"/>
      <c r="I157" s="18"/>
      <c r="J157" s="19"/>
      <c r="K157" s="20"/>
      <c r="L157" s="20"/>
      <c r="M157" s="19"/>
      <c r="N157" s="18"/>
      <c r="O157" s="18"/>
      <c r="P157" s="18"/>
      <c r="Q157" s="18"/>
      <c r="R157" s="21" t="str">
        <f>IF(C157="","",IFERROR(INDEX('THAM SỐ'!$F$5:$F$7,MATCH(C157,'THAM SỐ'!$A$5:$A$7,0)),""))</f>
        <v/>
      </c>
      <c r="S157" s="22" t="str">
        <f t="shared" si="6"/>
        <v/>
      </c>
      <c r="T157" s="16" t="str">
        <f t="shared" si="7"/>
        <v/>
      </c>
      <c r="U157" s="23" t="str">
        <f t="shared" si="8"/>
        <v/>
      </c>
      <c r="V157" s="18"/>
    </row>
    <row r="158" spans="1:22" x14ac:dyDescent="0.45">
      <c r="A158" s="16" t="str">
        <f>IF(B158="","","LDX-"&amp;TEXT(B158,"yymmdd")&amp;"-"&amp;TEXT(COUNTIFS(B$5:B158,B158),"00"))</f>
        <v/>
      </c>
      <c r="B158" s="17"/>
      <c r="C158" s="18"/>
      <c r="D158" s="18"/>
      <c r="E158" s="18"/>
      <c r="F158" s="18"/>
      <c r="G158" s="18"/>
      <c r="H158" s="18"/>
      <c r="I158" s="18"/>
      <c r="J158" s="19"/>
      <c r="K158" s="20"/>
      <c r="L158" s="20"/>
      <c r="M158" s="19"/>
      <c r="N158" s="18"/>
      <c r="O158" s="18"/>
      <c r="P158" s="18"/>
      <c r="Q158" s="18"/>
      <c r="R158" s="21" t="str">
        <f>IF(C158="","",IFERROR(INDEX('THAM SỐ'!$F$5:$F$7,MATCH(C158,'THAM SỐ'!$A$5:$A$7,0)),""))</f>
        <v/>
      </c>
      <c r="S158" s="22" t="str">
        <f t="shared" si="6"/>
        <v/>
      </c>
      <c r="T158" s="16" t="str">
        <f t="shared" si="7"/>
        <v/>
      </c>
      <c r="U158" s="23" t="str">
        <f t="shared" si="8"/>
        <v/>
      </c>
      <c r="V158" s="18"/>
    </row>
    <row r="159" spans="1:22" x14ac:dyDescent="0.45">
      <c r="A159" s="16" t="str">
        <f>IF(B159="","","LDX-"&amp;TEXT(B159,"yymmdd")&amp;"-"&amp;TEXT(COUNTIFS(B$5:B159,B159),"00"))</f>
        <v/>
      </c>
      <c r="B159" s="17"/>
      <c r="C159" s="18"/>
      <c r="D159" s="18"/>
      <c r="E159" s="18"/>
      <c r="F159" s="18"/>
      <c r="G159" s="18"/>
      <c r="H159" s="18"/>
      <c r="I159" s="18"/>
      <c r="J159" s="19"/>
      <c r="K159" s="20"/>
      <c r="L159" s="20"/>
      <c r="M159" s="19"/>
      <c r="N159" s="18"/>
      <c r="O159" s="18"/>
      <c r="P159" s="18"/>
      <c r="Q159" s="18"/>
      <c r="R159" s="21" t="str">
        <f>IF(C159="","",IFERROR(INDEX('THAM SỐ'!$F$5:$F$7,MATCH(C159,'THAM SỐ'!$A$5:$A$7,0)),""))</f>
        <v/>
      </c>
      <c r="S159" s="22" t="str">
        <f t="shared" si="6"/>
        <v/>
      </c>
      <c r="T159" s="16" t="str">
        <f t="shared" si="7"/>
        <v/>
      </c>
      <c r="U159" s="23" t="str">
        <f t="shared" si="8"/>
        <v/>
      </c>
      <c r="V159" s="18"/>
    </row>
    <row r="160" spans="1:22" x14ac:dyDescent="0.45">
      <c r="A160" s="16" t="str">
        <f>IF(B160="","","LDX-"&amp;TEXT(B160,"yymmdd")&amp;"-"&amp;TEXT(COUNTIFS(B$5:B160,B160),"00"))</f>
        <v/>
      </c>
      <c r="B160" s="17"/>
      <c r="C160" s="18"/>
      <c r="D160" s="18"/>
      <c r="E160" s="18"/>
      <c r="F160" s="18"/>
      <c r="G160" s="18"/>
      <c r="H160" s="18"/>
      <c r="I160" s="18"/>
      <c r="J160" s="19"/>
      <c r="K160" s="20"/>
      <c r="L160" s="20"/>
      <c r="M160" s="19"/>
      <c r="N160" s="18"/>
      <c r="O160" s="18"/>
      <c r="P160" s="18"/>
      <c r="Q160" s="18"/>
      <c r="R160" s="21" t="str">
        <f>IF(C160="","",IFERROR(INDEX('THAM SỐ'!$F$5:$F$7,MATCH(C160,'THAM SỐ'!$A$5:$A$7,0)),""))</f>
        <v/>
      </c>
      <c r="S160" s="22" t="str">
        <f t="shared" si="6"/>
        <v/>
      </c>
      <c r="T160" s="16" t="str">
        <f t="shared" si="7"/>
        <v/>
      </c>
      <c r="U160" s="23" t="str">
        <f t="shared" si="8"/>
        <v/>
      </c>
      <c r="V160" s="18"/>
    </row>
    <row r="161" spans="1:22" x14ac:dyDescent="0.45">
      <c r="A161" s="16" t="str">
        <f>IF(B161="","","LDX-"&amp;TEXT(B161,"yymmdd")&amp;"-"&amp;TEXT(COUNTIFS(B$5:B161,B161),"00"))</f>
        <v/>
      </c>
      <c r="B161" s="17"/>
      <c r="C161" s="18"/>
      <c r="D161" s="18"/>
      <c r="E161" s="18"/>
      <c r="F161" s="18"/>
      <c r="G161" s="18"/>
      <c r="H161" s="18"/>
      <c r="I161" s="18"/>
      <c r="J161" s="19"/>
      <c r="K161" s="20"/>
      <c r="L161" s="20"/>
      <c r="M161" s="19"/>
      <c r="N161" s="18"/>
      <c r="O161" s="18"/>
      <c r="P161" s="18"/>
      <c r="Q161" s="18"/>
      <c r="R161" s="21" t="str">
        <f>IF(C161="","",IFERROR(INDEX('THAM SỐ'!$F$5:$F$7,MATCH(C161,'THAM SỐ'!$A$5:$A$7,0)),""))</f>
        <v/>
      </c>
      <c r="S161" s="22" t="str">
        <f t="shared" si="6"/>
        <v/>
      </c>
      <c r="T161" s="16" t="str">
        <f t="shared" si="7"/>
        <v/>
      </c>
      <c r="U161" s="23" t="str">
        <f t="shared" si="8"/>
        <v/>
      </c>
      <c r="V161" s="18"/>
    </row>
    <row r="162" spans="1:22" x14ac:dyDescent="0.45">
      <c r="A162" s="16" t="str">
        <f>IF(B162="","","LDX-"&amp;TEXT(B162,"yymmdd")&amp;"-"&amp;TEXT(COUNTIFS(B$5:B162,B162),"00"))</f>
        <v/>
      </c>
      <c r="B162" s="17"/>
      <c r="C162" s="18"/>
      <c r="D162" s="18"/>
      <c r="E162" s="18"/>
      <c r="F162" s="18"/>
      <c r="G162" s="18"/>
      <c r="H162" s="18"/>
      <c r="I162" s="18"/>
      <c r="J162" s="19"/>
      <c r="K162" s="20"/>
      <c r="L162" s="20"/>
      <c r="M162" s="19"/>
      <c r="N162" s="18"/>
      <c r="O162" s="18"/>
      <c r="P162" s="18"/>
      <c r="Q162" s="18"/>
      <c r="R162" s="21" t="str">
        <f>IF(C162="","",IFERROR(INDEX('THAM SỐ'!$F$5:$F$7,MATCH(C162,'THAM SỐ'!$A$5:$A$7,0)),""))</f>
        <v/>
      </c>
      <c r="S162" s="22" t="str">
        <f t="shared" si="6"/>
        <v/>
      </c>
      <c r="T162" s="16" t="str">
        <f t="shared" si="7"/>
        <v/>
      </c>
      <c r="U162" s="23" t="str">
        <f t="shared" si="8"/>
        <v/>
      </c>
      <c r="V162" s="18"/>
    </row>
    <row r="163" spans="1:22" x14ac:dyDescent="0.45">
      <c r="A163" s="16" t="str">
        <f>IF(B163="","","LDX-"&amp;TEXT(B163,"yymmdd")&amp;"-"&amp;TEXT(COUNTIFS(B$5:B163,B163),"00"))</f>
        <v/>
      </c>
      <c r="B163" s="17"/>
      <c r="C163" s="18"/>
      <c r="D163" s="18"/>
      <c r="E163" s="18"/>
      <c r="F163" s="18"/>
      <c r="G163" s="18"/>
      <c r="H163" s="18"/>
      <c r="I163" s="18"/>
      <c r="J163" s="19"/>
      <c r="K163" s="20"/>
      <c r="L163" s="20"/>
      <c r="M163" s="19"/>
      <c r="N163" s="18"/>
      <c r="O163" s="18"/>
      <c r="P163" s="18"/>
      <c r="Q163" s="18"/>
      <c r="R163" s="21" t="str">
        <f>IF(C163="","",IFERROR(INDEX('THAM SỐ'!$F$5:$F$7,MATCH(C163,'THAM SỐ'!$A$5:$A$7,0)),""))</f>
        <v/>
      </c>
      <c r="S163" s="22" t="str">
        <f t="shared" si="6"/>
        <v/>
      </c>
      <c r="T163" s="16" t="str">
        <f t="shared" si="7"/>
        <v/>
      </c>
      <c r="U163" s="23" t="str">
        <f t="shared" si="8"/>
        <v/>
      </c>
      <c r="V163" s="18"/>
    </row>
    <row r="164" spans="1:22" x14ac:dyDescent="0.45">
      <c r="A164" s="16" t="str">
        <f>IF(B164="","","LDX-"&amp;TEXT(B164,"yymmdd")&amp;"-"&amp;TEXT(COUNTIFS(B$5:B164,B164),"00"))</f>
        <v/>
      </c>
      <c r="B164" s="17"/>
      <c r="C164" s="18"/>
      <c r="D164" s="18"/>
      <c r="E164" s="18"/>
      <c r="F164" s="18"/>
      <c r="G164" s="18"/>
      <c r="H164" s="18"/>
      <c r="I164" s="18"/>
      <c r="J164" s="19"/>
      <c r="K164" s="20"/>
      <c r="L164" s="20"/>
      <c r="M164" s="19"/>
      <c r="N164" s="18"/>
      <c r="O164" s="18"/>
      <c r="P164" s="18"/>
      <c r="Q164" s="18"/>
      <c r="R164" s="21" t="str">
        <f>IF(C164="","",IFERROR(INDEX('THAM SỐ'!$F$5:$F$7,MATCH(C164,'THAM SỐ'!$A$5:$A$7,0)),""))</f>
        <v/>
      </c>
      <c r="S164" s="22" t="str">
        <f t="shared" si="6"/>
        <v/>
      </c>
      <c r="T164" s="16" t="str">
        <f t="shared" si="7"/>
        <v/>
      </c>
      <c r="U164" s="23" t="str">
        <f t="shared" si="8"/>
        <v/>
      </c>
      <c r="V164" s="18"/>
    </row>
    <row r="165" spans="1:22" x14ac:dyDescent="0.45">
      <c r="A165" s="16" t="str">
        <f>IF(B165="","","LDX-"&amp;TEXT(B165,"yymmdd")&amp;"-"&amp;TEXT(COUNTIFS(B$5:B165,B165),"00"))</f>
        <v/>
      </c>
      <c r="B165" s="17"/>
      <c r="C165" s="18"/>
      <c r="D165" s="18"/>
      <c r="E165" s="18"/>
      <c r="F165" s="18"/>
      <c r="G165" s="18"/>
      <c r="H165" s="18"/>
      <c r="I165" s="18"/>
      <c r="J165" s="19"/>
      <c r="K165" s="20"/>
      <c r="L165" s="20"/>
      <c r="M165" s="19"/>
      <c r="N165" s="18"/>
      <c r="O165" s="18"/>
      <c r="P165" s="18"/>
      <c r="Q165" s="18"/>
      <c r="R165" s="21" t="str">
        <f>IF(C165="","",IFERROR(INDEX('THAM SỐ'!$F$5:$F$7,MATCH(C165,'THAM SỐ'!$A$5:$A$7,0)),""))</f>
        <v/>
      </c>
      <c r="S165" s="22" t="str">
        <f t="shared" si="6"/>
        <v/>
      </c>
      <c r="T165" s="16" t="str">
        <f t="shared" si="7"/>
        <v/>
      </c>
      <c r="U165" s="23" t="str">
        <f t="shared" si="8"/>
        <v/>
      </c>
      <c r="V165" s="18"/>
    </row>
    <row r="166" spans="1:22" x14ac:dyDescent="0.45">
      <c r="A166" s="16" t="str">
        <f>IF(B166="","","LDX-"&amp;TEXT(B166,"yymmdd")&amp;"-"&amp;TEXT(COUNTIFS(B$5:B166,B166),"00"))</f>
        <v/>
      </c>
      <c r="B166" s="17"/>
      <c r="C166" s="18"/>
      <c r="D166" s="18"/>
      <c r="E166" s="18"/>
      <c r="F166" s="18"/>
      <c r="G166" s="18"/>
      <c r="H166" s="18"/>
      <c r="I166" s="18"/>
      <c r="J166" s="19"/>
      <c r="K166" s="20"/>
      <c r="L166" s="20"/>
      <c r="M166" s="19"/>
      <c r="N166" s="18"/>
      <c r="O166" s="18"/>
      <c r="P166" s="18"/>
      <c r="Q166" s="18"/>
      <c r="R166" s="21" t="str">
        <f>IF(C166="","",IFERROR(INDEX('THAM SỐ'!$F$5:$F$7,MATCH(C166,'THAM SỐ'!$A$5:$A$7,0)),""))</f>
        <v/>
      </c>
      <c r="S166" s="22" t="str">
        <f t="shared" si="6"/>
        <v/>
      </c>
      <c r="T166" s="16" t="str">
        <f t="shared" si="7"/>
        <v/>
      </c>
      <c r="U166" s="23" t="str">
        <f t="shared" si="8"/>
        <v/>
      </c>
      <c r="V166" s="18"/>
    </row>
    <row r="167" spans="1:22" x14ac:dyDescent="0.45">
      <c r="A167" s="16" t="str">
        <f>IF(B167="","","LDX-"&amp;TEXT(B167,"yymmdd")&amp;"-"&amp;TEXT(COUNTIFS(B$5:B167,B167),"00"))</f>
        <v/>
      </c>
      <c r="B167" s="17"/>
      <c r="C167" s="18"/>
      <c r="D167" s="18"/>
      <c r="E167" s="18"/>
      <c r="F167" s="18"/>
      <c r="G167" s="18"/>
      <c r="H167" s="18"/>
      <c r="I167" s="18"/>
      <c r="J167" s="19"/>
      <c r="K167" s="20"/>
      <c r="L167" s="20"/>
      <c r="M167" s="19"/>
      <c r="N167" s="18"/>
      <c r="O167" s="18"/>
      <c r="P167" s="18"/>
      <c r="Q167" s="18"/>
      <c r="R167" s="21" t="str">
        <f>IF(C167="","",IFERROR(INDEX('THAM SỐ'!$F$5:$F$7,MATCH(C167,'THAM SỐ'!$A$5:$A$7,0)),""))</f>
        <v/>
      </c>
      <c r="S167" s="22" t="str">
        <f t="shared" si="6"/>
        <v/>
      </c>
      <c r="T167" s="16" t="str">
        <f t="shared" si="7"/>
        <v/>
      </c>
      <c r="U167" s="23" t="str">
        <f t="shared" si="8"/>
        <v/>
      </c>
      <c r="V167" s="18"/>
    </row>
    <row r="168" spans="1:22" x14ac:dyDescent="0.45">
      <c r="A168" s="16" t="str">
        <f>IF(B168="","","LDX-"&amp;TEXT(B168,"yymmdd")&amp;"-"&amp;TEXT(COUNTIFS(B$5:B168,B168),"00"))</f>
        <v/>
      </c>
      <c r="B168" s="17"/>
      <c r="C168" s="18"/>
      <c r="D168" s="18"/>
      <c r="E168" s="18"/>
      <c r="F168" s="18"/>
      <c r="G168" s="18"/>
      <c r="H168" s="18"/>
      <c r="I168" s="18"/>
      <c r="J168" s="19"/>
      <c r="K168" s="20"/>
      <c r="L168" s="20"/>
      <c r="M168" s="19"/>
      <c r="N168" s="18"/>
      <c r="O168" s="18"/>
      <c r="P168" s="18"/>
      <c r="Q168" s="18"/>
      <c r="R168" s="21" t="str">
        <f>IF(C168="","",IFERROR(INDEX('THAM SỐ'!$F$5:$F$7,MATCH(C168,'THAM SỐ'!$A$5:$A$7,0)),""))</f>
        <v/>
      </c>
      <c r="S168" s="22" t="str">
        <f t="shared" si="6"/>
        <v/>
      </c>
      <c r="T168" s="16" t="str">
        <f t="shared" si="7"/>
        <v/>
      </c>
      <c r="U168" s="23" t="str">
        <f t="shared" si="8"/>
        <v/>
      </c>
      <c r="V168" s="18"/>
    </row>
    <row r="169" spans="1:22" x14ac:dyDescent="0.45">
      <c r="A169" s="16" t="str">
        <f>IF(B169="","","LDX-"&amp;TEXT(B169,"yymmdd")&amp;"-"&amp;TEXT(COUNTIFS(B$5:B169,B169),"00"))</f>
        <v/>
      </c>
      <c r="B169" s="17"/>
      <c r="C169" s="18"/>
      <c r="D169" s="18"/>
      <c r="E169" s="18"/>
      <c r="F169" s="18"/>
      <c r="G169" s="18"/>
      <c r="H169" s="18"/>
      <c r="I169" s="18"/>
      <c r="J169" s="19"/>
      <c r="K169" s="20"/>
      <c r="L169" s="20"/>
      <c r="M169" s="19"/>
      <c r="N169" s="18"/>
      <c r="O169" s="18"/>
      <c r="P169" s="18"/>
      <c r="Q169" s="18"/>
      <c r="R169" s="21" t="str">
        <f>IF(C169="","",IFERROR(INDEX('THAM SỐ'!$F$5:$F$7,MATCH(C169,'THAM SỐ'!$A$5:$A$7,0)),""))</f>
        <v/>
      </c>
      <c r="S169" s="22" t="str">
        <f t="shared" si="6"/>
        <v/>
      </c>
      <c r="T169" s="16" t="str">
        <f t="shared" si="7"/>
        <v/>
      </c>
      <c r="U169" s="23" t="str">
        <f t="shared" si="8"/>
        <v/>
      </c>
      <c r="V169" s="18"/>
    </row>
    <row r="170" spans="1:22" x14ac:dyDescent="0.45">
      <c r="A170" s="16" t="str">
        <f>IF(B170="","","LDX-"&amp;TEXT(B170,"yymmdd")&amp;"-"&amp;TEXT(COUNTIFS(B$5:B170,B170),"00"))</f>
        <v/>
      </c>
      <c r="B170" s="17"/>
      <c r="C170" s="18"/>
      <c r="D170" s="18"/>
      <c r="E170" s="18"/>
      <c r="F170" s="18"/>
      <c r="G170" s="18"/>
      <c r="H170" s="18"/>
      <c r="I170" s="18"/>
      <c r="J170" s="19"/>
      <c r="K170" s="20"/>
      <c r="L170" s="20"/>
      <c r="M170" s="19"/>
      <c r="N170" s="18"/>
      <c r="O170" s="18"/>
      <c r="P170" s="18"/>
      <c r="Q170" s="18"/>
      <c r="R170" s="21" t="str">
        <f>IF(C170="","",IFERROR(INDEX('THAM SỐ'!$F$5:$F$7,MATCH(C170,'THAM SỐ'!$A$5:$A$7,0)),""))</f>
        <v/>
      </c>
      <c r="S170" s="22" t="str">
        <f t="shared" si="6"/>
        <v/>
      </c>
      <c r="T170" s="16" t="str">
        <f t="shared" si="7"/>
        <v/>
      </c>
      <c r="U170" s="23" t="str">
        <f t="shared" si="8"/>
        <v/>
      </c>
      <c r="V170" s="18"/>
    </row>
    <row r="171" spans="1:22" x14ac:dyDescent="0.45">
      <c r="A171" s="16" t="str">
        <f>IF(B171="","","LDX-"&amp;TEXT(B171,"yymmdd")&amp;"-"&amp;TEXT(COUNTIFS(B$5:B171,B171),"00"))</f>
        <v/>
      </c>
      <c r="B171" s="17"/>
      <c r="C171" s="18"/>
      <c r="D171" s="18"/>
      <c r="E171" s="18"/>
      <c r="F171" s="18"/>
      <c r="G171" s="18"/>
      <c r="H171" s="18"/>
      <c r="I171" s="18"/>
      <c r="J171" s="19"/>
      <c r="K171" s="20"/>
      <c r="L171" s="20"/>
      <c r="M171" s="19"/>
      <c r="N171" s="18"/>
      <c r="O171" s="18"/>
      <c r="P171" s="18"/>
      <c r="Q171" s="18"/>
      <c r="R171" s="21" t="str">
        <f>IF(C171="","",IFERROR(INDEX('THAM SỐ'!$F$5:$F$7,MATCH(C171,'THAM SỐ'!$A$5:$A$7,0)),""))</f>
        <v/>
      </c>
      <c r="S171" s="22" t="str">
        <f t="shared" si="6"/>
        <v/>
      </c>
      <c r="T171" s="16" t="str">
        <f t="shared" si="7"/>
        <v/>
      </c>
      <c r="U171" s="23" t="str">
        <f t="shared" si="8"/>
        <v/>
      </c>
      <c r="V171" s="18"/>
    </row>
    <row r="172" spans="1:22" x14ac:dyDescent="0.45">
      <c r="A172" s="16" t="str">
        <f>IF(B172="","","LDX-"&amp;TEXT(B172,"yymmdd")&amp;"-"&amp;TEXT(COUNTIFS(B$5:B172,B172),"00"))</f>
        <v/>
      </c>
      <c r="B172" s="17"/>
      <c r="C172" s="18"/>
      <c r="D172" s="18"/>
      <c r="E172" s="18"/>
      <c r="F172" s="18"/>
      <c r="G172" s="18"/>
      <c r="H172" s="18"/>
      <c r="I172" s="18"/>
      <c r="J172" s="19"/>
      <c r="K172" s="20"/>
      <c r="L172" s="20"/>
      <c r="M172" s="19"/>
      <c r="N172" s="18"/>
      <c r="O172" s="18"/>
      <c r="P172" s="18"/>
      <c r="Q172" s="18"/>
      <c r="R172" s="21" t="str">
        <f>IF(C172="","",IFERROR(INDEX('THAM SỐ'!$F$5:$F$7,MATCH(C172,'THAM SỐ'!$A$5:$A$7,0)),""))</f>
        <v/>
      </c>
      <c r="S172" s="22" t="str">
        <f t="shared" si="6"/>
        <v/>
      </c>
      <c r="T172" s="16" t="str">
        <f t="shared" si="7"/>
        <v/>
      </c>
      <c r="U172" s="23" t="str">
        <f t="shared" si="8"/>
        <v/>
      </c>
      <c r="V172" s="18"/>
    </row>
    <row r="173" spans="1:22" x14ac:dyDescent="0.45">
      <c r="A173" s="16" t="str">
        <f>IF(B173="","","LDX-"&amp;TEXT(B173,"yymmdd")&amp;"-"&amp;TEXT(COUNTIFS(B$5:B173,B173),"00"))</f>
        <v/>
      </c>
      <c r="B173" s="17"/>
      <c r="C173" s="18"/>
      <c r="D173" s="18"/>
      <c r="E173" s="18"/>
      <c r="F173" s="18"/>
      <c r="G173" s="18"/>
      <c r="H173" s="18"/>
      <c r="I173" s="18"/>
      <c r="J173" s="19"/>
      <c r="K173" s="20"/>
      <c r="L173" s="20"/>
      <c r="M173" s="19"/>
      <c r="N173" s="18"/>
      <c r="O173" s="18"/>
      <c r="P173" s="18"/>
      <c r="Q173" s="18"/>
      <c r="R173" s="21" t="str">
        <f>IF(C173="","",IFERROR(INDEX('THAM SỐ'!$F$5:$F$7,MATCH(C173,'THAM SỐ'!$A$5:$A$7,0)),""))</f>
        <v/>
      </c>
      <c r="S173" s="22" t="str">
        <f t="shared" si="6"/>
        <v/>
      </c>
      <c r="T173" s="16" t="str">
        <f t="shared" si="7"/>
        <v/>
      </c>
      <c r="U173" s="23" t="str">
        <f t="shared" si="8"/>
        <v/>
      </c>
      <c r="V173" s="18"/>
    </row>
    <row r="174" spans="1:22" x14ac:dyDescent="0.45">
      <c r="A174" s="16" t="str">
        <f>IF(B174="","","LDX-"&amp;TEXT(B174,"yymmdd")&amp;"-"&amp;TEXT(COUNTIFS(B$5:B174,B174),"00"))</f>
        <v/>
      </c>
      <c r="B174" s="17"/>
      <c r="C174" s="18"/>
      <c r="D174" s="18"/>
      <c r="E174" s="18"/>
      <c r="F174" s="18"/>
      <c r="G174" s="18"/>
      <c r="H174" s="18"/>
      <c r="I174" s="18"/>
      <c r="J174" s="19"/>
      <c r="K174" s="20"/>
      <c r="L174" s="20"/>
      <c r="M174" s="19"/>
      <c r="N174" s="18"/>
      <c r="O174" s="18"/>
      <c r="P174" s="18"/>
      <c r="Q174" s="18"/>
      <c r="R174" s="21" t="str">
        <f>IF(C174="","",IFERROR(INDEX('THAM SỐ'!$F$5:$F$7,MATCH(C174,'THAM SỐ'!$A$5:$A$7,0)),""))</f>
        <v/>
      </c>
      <c r="S174" s="22" t="str">
        <f t="shared" si="6"/>
        <v/>
      </c>
      <c r="T174" s="16" t="str">
        <f t="shared" si="7"/>
        <v/>
      </c>
      <c r="U174" s="23" t="str">
        <f t="shared" si="8"/>
        <v/>
      </c>
      <c r="V174" s="18"/>
    </row>
    <row r="175" spans="1:22" x14ac:dyDescent="0.45">
      <c r="A175" s="16" t="str">
        <f>IF(B175="","","LDX-"&amp;TEXT(B175,"yymmdd")&amp;"-"&amp;TEXT(COUNTIFS(B$5:B175,B175),"00"))</f>
        <v/>
      </c>
      <c r="B175" s="17"/>
      <c r="C175" s="18"/>
      <c r="D175" s="18"/>
      <c r="E175" s="18"/>
      <c r="F175" s="18"/>
      <c r="G175" s="18"/>
      <c r="H175" s="18"/>
      <c r="I175" s="18"/>
      <c r="J175" s="19"/>
      <c r="K175" s="20"/>
      <c r="L175" s="20"/>
      <c r="M175" s="19"/>
      <c r="N175" s="18"/>
      <c r="O175" s="18"/>
      <c r="P175" s="18"/>
      <c r="Q175" s="18"/>
      <c r="R175" s="21" t="str">
        <f>IF(C175="","",IFERROR(INDEX('THAM SỐ'!$F$5:$F$7,MATCH(C175,'THAM SỐ'!$A$5:$A$7,0)),""))</f>
        <v/>
      </c>
      <c r="S175" s="22" t="str">
        <f t="shared" si="6"/>
        <v/>
      </c>
      <c r="T175" s="16" t="str">
        <f t="shared" si="7"/>
        <v/>
      </c>
      <c r="U175" s="23" t="str">
        <f t="shared" si="8"/>
        <v/>
      </c>
      <c r="V175" s="18"/>
    </row>
    <row r="176" spans="1:22" x14ac:dyDescent="0.45">
      <c r="A176" s="16" t="str">
        <f>IF(B176="","","LDX-"&amp;TEXT(B176,"yymmdd")&amp;"-"&amp;TEXT(COUNTIFS(B$5:B176,B176),"00"))</f>
        <v/>
      </c>
      <c r="B176" s="17"/>
      <c r="C176" s="18"/>
      <c r="D176" s="18"/>
      <c r="E176" s="18"/>
      <c r="F176" s="18"/>
      <c r="G176" s="18"/>
      <c r="H176" s="18"/>
      <c r="I176" s="18"/>
      <c r="J176" s="19"/>
      <c r="K176" s="20"/>
      <c r="L176" s="20"/>
      <c r="M176" s="19"/>
      <c r="N176" s="18"/>
      <c r="O176" s="18"/>
      <c r="P176" s="18"/>
      <c r="Q176" s="18"/>
      <c r="R176" s="21" t="str">
        <f>IF(C176="","",IFERROR(INDEX('THAM SỐ'!$F$5:$F$7,MATCH(C176,'THAM SỐ'!$A$5:$A$7,0)),""))</f>
        <v/>
      </c>
      <c r="S176" s="22" t="str">
        <f t="shared" si="6"/>
        <v/>
      </c>
      <c r="T176" s="16" t="str">
        <f t="shared" si="7"/>
        <v/>
      </c>
      <c r="U176" s="23" t="str">
        <f t="shared" si="8"/>
        <v/>
      </c>
      <c r="V176" s="18"/>
    </row>
    <row r="177" spans="1:22" x14ac:dyDescent="0.45">
      <c r="A177" s="16" t="str">
        <f>IF(B177="","","LDX-"&amp;TEXT(B177,"yymmdd")&amp;"-"&amp;TEXT(COUNTIFS(B$5:B177,B177),"00"))</f>
        <v/>
      </c>
      <c r="B177" s="17"/>
      <c r="C177" s="18"/>
      <c r="D177" s="18"/>
      <c r="E177" s="18"/>
      <c r="F177" s="18"/>
      <c r="G177" s="18"/>
      <c r="H177" s="18"/>
      <c r="I177" s="18"/>
      <c r="J177" s="19"/>
      <c r="K177" s="20"/>
      <c r="L177" s="20"/>
      <c r="M177" s="19"/>
      <c r="N177" s="18"/>
      <c r="O177" s="18"/>
      <c r="P177" s="18"/>
      <c r="Q177" s="18"/>
      <c r="R177" s="21" t="str">
        <f>IF(C177="","",IFERROR(INDEX('THAM SỐ'!$F$5:$F$7,MATCH(C177,'THAM SỐ'!$A$5:$A$7,0)),""))</f>
        <v/>
      </c>
      <c r="S177" s="22" t="str">
        <f t="shared" si="6"/>
        <v/>
      </c>
      <c r="T177" s="16" t="str">
        <f t="shared" si="7"/>
        <v/>
      </c>
      <c r="U177" s="23" t="str">
        <f t="shared" si="8"/>
        <v/>
      </c>
      <c r="V177" s="18"/>
    </row>
    <row r="178" spans="1:22" x14ac:dyDescent="0.45">
      <c r="A178" s="16" t="str">
        <f>IF(B178="","","LDX-"&amp;TEXT(B178,"yymmdd")&amp;"-"&amp;TEXT(COUNTIFS(B$5:B178,B178),"00"))</f>
        <v/>
      </c>
      <c r="B178" s="17"/>
      <c r="C178" s="18"/>
      <c r="D178" s="18"/>
      <c r="E178" s="18"/>
      <c r="F178" s="18"/>
      <c r="G178" s="18"/>
      <c r="H178" s="18"/>
      <c r="I178" s="18"/>
      <c r="J178" s="19"/>
      <c r="K178" s="20"/>
      <c r="L178" s="20"/>
      <c r="M178" s="19"/>
      <c r="N178" s="18"/>
      <c r="O178" s="18"/>
      <c r="P178" s="18"/>
      <c r="Q178" s="18"/>
      <c r="R178" s="21" t="str">
        <f>IF(C178="","",IFERROR(INDEX('THAM SỐ'!$F$5:$F$7,MATCH(C178,'THAM SỐ'!$A$5:$A$7,0)),""))</f>
        <v/>
      </c>
      <c r="S178" s="22" t="str">
        <f t="shared" si="6"/>
        <v/>
      </c>
      <c r="T178" s="16" t="str">
        <f t="shared" si="7"/>
        <v/>
      </c>
      <c r="U178" s="23" t="str">
        <f t="shared" si="8"/>
        <v/>
      </c>
      <c r="V178" s="18"/>
    </row>
    <row r="179" spans="1:22" x14ac:dyDescent="0.45">
      <c r="A179" s="16" t="str">
        <f>IF(B179="","","LDX-"&amp;TEXT(B179,"yymmdd")&amp;"-"&amp;TEXT(COUNTIFS(B$5:B179,B179),"00"))</f>
        <v/>
      </c>
      <c r="B179" s="17"/>
      <c r="C179" s="18"/>
      <c r="D179" s="18"/>
      <c r="E179" s="18"/>
      <c r="F179" s="18"/>
      <c r="G179" s="18"/>
      <c r="H179" s="18"/>
      <c r="I179" s="18"/>
      <c r="J179" s="19"/>
      <c r="K179" s="20"/>
      <c r="L179" s="20"/>
      <c r="M179" s="19"/>
      <c r="N179" s="18"/>
      <c r="O179" s="18"/>
      <c r="P179" s="18"/>
      <c r="Q179" s="18"/>
      <c r="R179" s="21" t="str">
        <f>IF(C179="","",IFERROR(INDEX('THAM SỐ'!$F$5:$F$7,MATCH(C179,'THAM SỐ'!$A$5:$A$7,0)),""))</f>
        <v/>
      </c>
      <c r="S179" s="22" t="str">
        <f t="shared" si="6"/>
        <v/>
      </c>
      <c r="T179" s="16" t="str">
        <f t="shared" si="7"/>
        <v/>
      </c>
      <c r="U179" s="23" t="str">
        <f t="shared" si="8"/>
        <v/>
      </c>
      <c r="V179" s="18"/>
    </row>
    <row r="180" spans="1:22" x14ac:dyDescent="0.45">
      <c r="A180" s="16" t="str">
        <f>IF(B180="","","LDX-"&amp;TEXT(B180,"yymmdd")&amp;"-"&amp;TEXT(COUNTIFS(B$5:B180,B180),"00"))</f>
        <v/>
      </c>
      <c r="B180" s="17"/>
      <c r="C180" s="18"/>
      <c r="D180" s="18"/>
      <c r="E180" s="18"/>
      <c r="F180" s="18"/>
      <c r="G180" s="18"/>
      <c r="H180" s="18"/>
      <c r="I180" s="18"/>
      <c r="J180" s="19"/>
      <c r="K180" s="20"/>
      <c r="L180" s="20"/>
      <c r="M180" s="19"/>
      <c r="N180" s="18"/>
      <c r="O180" s="18"/>
      <c r="P180" s="18"/>
      <c r="Q180" s="18"/>
      <c r="R180" s="21" t="str">
        <f>IF(C180="","",IFERROR(INDEX('THAM SỐ'!$F$5:$F$7,MATCH(C180,'THAM SỐ'!$A$5:$A$7,0)),""))</f>
        <v/>
      </c>
      <c r="S180" s="22" t="str">
        <f t="shared" si="6"/>
        <v/>
      </c>
      <c r="T180" s="16" t="str">
        <f t="shared" si="7"/>
        <v/>
      </c>
      <c r="U180" s="23" t="str">
        <f t="shared" si="8"/>
        <v/>
      </c>
      <c r="V180" s="18"/>
    </row>
    <row r="181" spans="1:22" x14ac:dyDescent="0.45">
      <c r="A181" s="16" t="str">
        <f>IF(B181="","","LDX-"&amp;TEXT(B181,"yymmdd")&amp;"-"&amp;TEXT(COUNTIFS(B$5:B181,B181),"00"))</f>
        <v/>
      </c>
      <c r="B181" s="17"/>
      <c r="C181" s="18"/>
      <c r="D181" s="18"/>
      <c r="E181" s="18"/>
      <c r="F181" s="18"/>
      <c r="G181" s="18"/>
      <c r="H181" s="18"/>
      <c r="I181" s="18"/>
      <c r="J181" s="19"/>
      <c r="K181" s="20"/>
      <c r="L181" s="20"/>
      <c r="M181" s="19"/>
      <c r="N181" s="18"/>
      <c r="O181" s="18"/>
      <c r="P181" s="18"/>
      <c r="Q181" s="18"/>
      <c r="R181" s="21" t="str">
        <f>IF(C181="","",IFERROR(INDEX('THAM SỐ'!$F$5:$F$7,MATCH(C181,'THAM SỐ'!$A$5:$A$7,0)),""))</f>
        <v/>
      </c>
      <c r="S181" s="22" t="str">
        <f t="shared" si="6"/>
        <v/>
      </c>
      <c r="T181" s="16" t="str">
        <f t="shared" si="7"/>
        <v/>
      </c>
      <c r="U181" s="23" t="str">
        <f t="shared" si="8"/>
        <v/>
      </c>
      <c r="V181" s="18"/>
    </row>
    <row r="182" spans="1:22" x14ac:dyDescent="0.45">
      <c r="A182" s="16" t="str">
        <f>IF(B182="","","LDX-"&amp;TEXT(B182,"yymmdd")&amp;"-"&amp;TEXT(COUNTIFS(B$5:B182,B182),"00"))</f>
        <v/>
      </c>
      <c r="B182" s="17"/>
      <c r="C182" s="18"/>
      <c r="D182" s="18"/>
      <c r="E182" s="18"/>
      <c r="F182" s="18"/>
      <c r="G182" s="18"/>
      <c r="H182" s="18"/>
      <c r="I182" s="18"/>
      <c r="J182" s="19"/>
      <c r="K182" s="20"/>
      <c r="L182" s="20"/>
      <c r="M182" s="19"/>
      <c r="N182" s="18"/>
      <c r="O182" s="18"/>
      <c r="P182" s="18"/>
      <c r="Q182" s="18"/>
      <c r="R182" s="21" t="str">
        <f>IF(C182="","",IFERROR(INDEX('THAM SỐ'!$F$5:$F$7,MATCH(C182,'THAM SỐ'!$A$5:$A$7,0)),""))</f>
        <v/>
      </c>
      <c r="S182" s="22" t="str">
        <f t="shared" si="6"/>
        <v/>
      </c>
      <c r="T182" s="16" t="str">
        <f t="shared" si="7"/>
        <v/>
      </c>
      <c r="U182" s="23" t="str">
        <f t="shared" si="8"/>
        <v/>
      </c>
      <c r="V182" s="18"/>
    </row>
    <row r="183" spans="1:22" x14ac:dyDescent="0.45">
      <c r="A183" s="16" t="str">
        <f>IF(B183="","","LDX-"&amp;TEXT(B183,"yymmdd")&amp;"-"&amp;TEXT(COUNTIFS(B$5:B183,B183),"00"))</f>
        <v/>
      </c>
      <c r="B183" s="17"/>
      <c r="C183" s="18"/>
      <c r="D183" s="18"/>
      <c r="E183" s="18"/>
      <c r="F183" s="18"/>
      <c r="G183" s="18"/>
      <c r="H183" s="18"/>
      <c r="I183" s="18"/>
      <c r="J183" s="19"/>
      <c r="K183" s="20"/>
      <c r="L183" s="20"/>
      <c r="M183" s="19"/>
      <c r="N183" s="18"/>
      <c r="O183" s="18"/>
      <c r="P183" s="18"/>
      <c r="Q183" s="18"/>
      <c r="R183" s="21" t="str">
        <f>IF(C183="","",IFERROR(INDEX('THAM SỐ'!$F$5:$F$7,MATCH(C183,'THAM SỐ'!$A$5:$A$7,0)),""))</f>
        <v/>
      </c>
      <c r="S183" s="22" t="str">
        <f t="shared" si="6"/>
        <v/>
      </c>
      <c r="T183" s="16" t="str">
        <f t="shared" si="7"/>
        <v/>
      </c>
      <c r="U183" s="23" t="str">
        <f t="shared" si="8"/>
        <v/>
      </c>
      <c r="V183" s="18"/>
    </row>
    <row r="184" spans="1:22" x14ac:dyDescent="0.45">
      <c r="A184" s="16" t="str">
        <f>IF(B184="","","LDX-"&amp;TEXT(B184,"yymmdd")&amp;"-"&amp;TEXT(COUNTIFS(B$5:B184,B184),"00"))</f>
        <v/>
      </c>
      <c r="B184" s="17"/>
      <c r="C184" s="18"/>
      <c r="D184" s="18"/>
      <c r="E184" s="18"/>
      <c r="F184" s="18"/>
      <c r="G184" s="18"/>
      <c r="H184" s="18"/>
      <c r="I184" s="18"/>
      <c r="J184" s="19"/>
      <c r="K184" s="20"/>
      <c r="L184" s="20"/>
      <c r="M184" s="19"/>
      <c r="N184" s="18"/>
      <c r="O184" s="18"/>
      <c r="P184" s="18"/>
      <c r="Q184" s="18"/>
      <c r="R184" s="21" t="str">
        <f>IF(C184="","",IFERROR(INDEX('THAM SỐ'!$F$5:$F$7,MATCH(C184,'THAM SỐ'!$A$5:$A$7,0)),""))</f>
        <v/>
      </c>
      <c r="S184" s="22" t="str">
        <f t="shared" si="6"/>
        <v/>
      </c>
      <c r="T184" s="16" t="str">
        <f t="shared" si="7"/>
        <v/>
      </c>
      <c r="U184" s="23" t="str">
        <f t="shared" si="8"/>
        <v/>
      </c>
      <c r="V184" s="18"/>
    </row>
    <row r="185" spans="1:22" x14ac:dyDescent="0.45">
      <c r="A185" s="16" t="str">
        <f>IF(B185="","","LDX-"&amp;TEXT(B185,"yymmdd")&amp;"-"&amp;TEXT(COUNTIFS(B$5:B185,B185),"00"))</f>
        <v/>
      </c>
      <c r="B185" s="17"/>
      <c r="C185" s="18"/>
      <c r="D185" s="18"/>
      <c r="E185" s="18"/>
      <c r="F185" s="18"/>
      <c r="G185" s="18"/>
      <c r="H185" s="18"/>
      <c r="I185" s="18"/>
      <c r="J185" s="19"/>
      <c r="K185" s="20"/>
      <c r="L185" s="20"/>
      <c r="M185" s="19"/>
      <c r="N185" s="18"/>
      <c r="O185" s="18"/>
      <c r="P185" s="18"/>
      <c r="Q185" s="18"/>
      <c r="R185" s="21" t="str">
        <f>IF(C185="","",IFERROR(INDEX('THAM SỐ'!$F$5:$F$7,MATCH(C185,'THAM SỐ'!$A$5:$A$7,0)),""))</f>
        <v/>
      </c>
      <c r="S185" s="22" t="str">
        <f t="shared" si="6"/>
        <v/>
      </c>
      <c r="T185" s="16" t="str">
        <f t="shared" si="7"/>
        <v/>
      </c>
      <c r="U185" s="23" t="str">
        <f t="shared" si="8"/>
        <v/>
      </c>
      <c r="V185" s="18"/>
    </row>
    <row r="186" spans="1:22" x14ac:dyDescent="0.45">
      <c r="A186" s="16" t="str">
        <f>IF(B186="","","LDX-"&amp;TEXT(B186,"yymmdd")&amp;"-"&amp;TEXT(COUNTIFS(B$5:B186,B186),"00"))</f>
        <v/>
      </c>
      <c r="B186" s="17"/>
      <c r="C186" s="18"/>
      <c r="D186" s="18"/>
      <c r="E186" s="18"/>
      <c r="F186" s="18"/>
      <c r="G186" s="18"/>
      <c r="H186" s="18"/>
      <c r="I186" s="18"/>
      <c r="J186" s="19"/>
      <c r="K186" s="20"/>
      <c r="L186" s="20"/>
      <c r="M186" s="19"/>
      <c r="N186" s="18"/>
      <c r="O186" s="18"/>
      <c r="P186" s="18"/>
      <c r="Q186" s="18"/>
      <c r="R186" s="21" t="str">
        <f>IF(C186="","",IFERROR(INDEX('THAM SỐ'!$F$5:$F$7,MATCH(C186,'THAM SỐ'!$A$5:$A$7,0)),""))</f>
        <v/>
      </c>
      <c r="S186" s="22" t="str">
        <f t="shared" si="6"/>
        <v/>
      </c>
      <c r="T186" s="16" t="str">
        <f t="shared" si="7"/>
        <v/>
      </c>
      <c r="U186" s="23" t="str">
        <f t="shared" si="8"/>
        <v/>
      </c>
      <c r="V186" s="18"/>
    </row>
    <row r="187" spans="1:22" x14ac:dyDescent="0.45">
      <c r="A187" s="16" t="str">
        <f>IF(B187="","","LDX-"&amp;TEXT(B187,"yymmdd")&amp;"-"&amp;TEXT(COUNTIFS(B$5:B187,B187),"00"))</f>
        <v/>
      </c>
      <c r="B187" s="17"/>
      <c r="C187" s="18"/>
      <c r="D187" s="18"/>
      <c r="E187" s="18"/>
      <c r="F187" s="18"/>
      <c r="G187" s="18"/>
      <c r="H187" s="18"/>
      <c r="I187" s="18"/>
      <c r="J187" s="19"/>
      <c r="K187" s="20"/>
      <c r="L187" s="20"/>
      <c r="M187" s="19"/>
      <c r="N187" s="18"/>
      <c r="O187" s="18"/>
      <c r="P187" s="18"/>
      <c r="Q187" s="18"/>
      <c r="R187" s="21" t="str">
        <f>IF(C187="","",IFERROR(INDEX('THAM SỐ'!$F$5:$F$7,MATCH(C187,'THAM SỐ'!$A$5:$A$7,0)),""))</f>
        <v/>
      </c>
      <c r="S187" s="22" t="str">
        <f t="shared" si="6"/>
        <v/>
      </c>
      <c r="T187" s="16" t="str">
        <f t="shared" si="7"/>
        <v/>
      </c>
      <c r="U187" s="23" t="str">
        <f t="shared" si="8"/>
        <v/>
      </c>
      <c r="V187" s="18"/>
    </row>
    <row r="188" spans="1:22" x14ac:dyDescent="0.45">
      <c r="A188" s="16" t="str">
        <f>IF(B188="","","LDX-"&amp;TEXT(B188,"yymmdd")&amp;"-"&amp;TEXT(COUNTIFS(B$5:B188,B188),"00"))</f>
        <v/>
      </c>
      <c r="B188" s="17"/>
      <c r="C188" s="18"/>
      <c r="D188" s="18"/>
      <c r="E188" s="18"/>
      <c r="F188" s="18"/>
      <c r="G188" s="18"/>
      <c r="H188" s="18"/>
      <c r="I188" s="18"/>
      <c r="J188" s="19"/>
      <c r="K188" s="20"/>
      <c r="L188" s="20"/>
      <c r="M188" s="19"/>
      <c r="N188" s="18"/>
      <c r="O188" s="18"/>
      <c r="P188" s="18"/>
      <c r="Q188" s="18"/>
      <c r="R188" s="21" t="str">
        <f>IF(C188="","",IFERROR(INDEX('THAM SỐ'!$F$5:$F$7,MATCH(C188,'THAM SỐ'!$A$5:$A$7,0)),""))</f>
        <v/>
      </c>
      <c r="S188" s="22" t="str">
        <f t="shared" si="6"/>
        <v/>
      </c>
      <c r="T188" s="16" t="str">
        <f t="shared" si="7"/>
        <v/>
      </c>
      <c r="U188" s="23" t="str">
        <f t="shared" si="8"/>
        <v/>
      </c>
      <c r="V188" s="18"/>
    </row>
    <row r="189" spans="1:22" x14ac:dyDescent="0.45">
      <c r="A189" s="16" t="str">
        <f>IF(B189="","","LDX-"&amp;TEXT(B189,"yymmdd")&amp;"-"&amp;TEXT(COUNTIFS(B$5:B189,B189),"00"))</f>
        <v/>
      </c>
      <c r="B189" s="17"/>
      <c r="C189" s="18"/>
      <c r="D189" s="18"/>
      <c r="E189" s="18"/>
      <c r="F189" s="18"/>
      <c r="G189" s="18"/>
      <c r="H189" s="18"/>
      <c r="I189" s="18"/>
      <c r="J189" s="19"/>
      <c r="K189" s="20"/>
      <c r="L189" s="20"/>
      <c r="M189" s="19"/>
      <c r="N189" s="18"/>
      <c r="O189" s="18"/>
      <c r="P189" s="18"/>
      <c r="Q189" s="18"/>
      <c r="R189" s="21" t="str">
        <f>IF(C189="","",IFERROR(INDEX('THAM SỐ'!$F$5:$F$7,MATCH(C189,'THAM SỐ'!$A$5:$A$7,0)),""))</f>
        <v/>
      </c>
      <c r="S189" s="22" t="str">
        <f t="shared" si="6"/>
        <v/>
      </c>
      <c r="T189" s="16" t="str">
        <f t="shared" si="7"/>
        <v/>
      </c>
      <c r="U189" s="23" t="str">
        <f t="shared" si="8"/>
        <v/>
      </c>
      <c r="V189" s="18"/>
    </row>
    <row r="190" spans="1:22" x14ac:dyDescent="0.45">
      <c r="A190" s="16" t="str">
        <f>IF(B190="","","LDX-"&amp;TEXT(B190,"yymmdd")&amp;"-"&amp;TEXT(COUNTIFS(B$5:B190,B190),"00"))</f>
        <v/>
      </c>
      <c r="B190" s="17"/>
      <c r="C190" s="18"/>
      <c r="D190" s="18"/>
      <c r="E190" s="18"/>
      <c r="F190" s="18"/>
      <c r="G190" s="18"/>
      <c r="H190" s="18"/>
      <c r="I190" s="18"/>
      <c r="J190" s="19"/>
      <c r="K190" s="20"/>
      <c r="L190" s="20"/>
      <c r="M190" s="19"/>
      <c r="N190" s="18"/>
      <c r="O190" s="18"/>
      <c r="P190" s="18"/>
      <c r="Q190" s="18"/>
      <c r="R190" s="21" t="str">
        <f>IF(C190="","",IFERROR(INDEX('THAM SỐ'!$F$5:$F$7,MATCH(C190,'THAM SỐ'!$A$5:$A$7,0)),""))</f>
        <v/>
      </c>
      <c r="S190" s="22" t="str">
        <f t="shared" si="6"/>
        <v/>
      </c>
      <c r="T190" s="16" t="str">
        <f t="shared" si="7"/>
        <v/>
      </c>
      <c r="U190" s="23" t="str">
        <f t="shared" si="8"/>
        <v/>
      </c>
      <c r="V190" s="18"/>
    </row>
    <row r="191" spans="1:22" x14ac:dyDescent="0.45">
      <c r="A191" s="16" t="str">
        <f>IF(B191="","","LDX-"&amp;TEXT(B191,"yymmdd")&amp;"-"&amp;TEXT(COUNTIFS(B$5:B191,B191),"00"))</f>
        <v/>
      </c>
      <c r="B191" s="17"/>
      <c r="C191" s="18"/>
      <c r="D191" s="18"/>
      <c r="E191" s="18"/>
      <c r="F191" s="18"/>
      <c r="G191" s="18"/>
      <c r="H191" s="18"/>
      <c r="I191" s="18"/>
      <c r="J191" s="19"/>
      <c r="K191" s="20"/>
      <c r="L191" s="20"/>
      <c r="M191" s="19"/>
      <c r="N191" s="18"/>
      <c r="O191" s="18"/>
      <c r="P191" s="18"/>
      <c r="Q191" s="18"/>
      <c r="R191" s="21" t="str">
        <f>IF(C191="","",IFERROR(INDEX('THAM SỐ'!$F$5:$F$7,MATCH(C191,'THAM SỐ'!$A$5:$A$7,0)),""))</f>
        <v/>
      </c>
      <c r="S191" s="22" t="str">
        <f t="shared" si="6"/>
        <v/>
      </c>
      <c r="T191" s="16" t="str">
        <f t="shared" si="7"/>
        <v/>
      </c>
      <c r="U191" s="23" t="str">
        <f t="shared" si="8"/>
        <v/>
      </c>
      <c r="V191" s="18"/>
    </row>
    <row r="192" spans="1:22" x14ac:dyDescent="0.45">
      <c r="A192" s="16" t="str">
        <f>IF(B192="","","LDX-"&amp;TEXT(B192,"yymmdd")&amp;"-"&amp;TEXT(COUNTIFS(B$5:B192,B192),"00"))</f>
        <v/>
      </c>
      <c r="B192" s="17"/>
      <c r="C192" s="18"/>
      <c r="D192" s="18"/>
      <c r="E192" s="18"/>
      <c r="F192" s="18"/>
      <c r="G192" s="18"/>
      <c r="H192" s="18"/>
      <c r="I192" s="18"/>
      <c r="J192" s="19"/>
      <c r="K192" s="20"/>
      <c r="L192" s="20"/>
      <c r="M192" s="19"/>
      <c r="N192" s="18"/>
      <c r="O192" s="18"/>
      <c r="P192" s="18"/>
      <c r="Q192" s="18"/>
      <c r="R192" s="21" t="str">
        <f>IF(C192="","",IFERROR(INDEX('THAM SỐ'!$F$5:$F$7,MATCH(C192,'THAM SỐ'!$A$5:$A$7,0)),""))</f>
        <v/>
      </c>
      <c r="S192" s="22" t="str">
        <f t="shared" si="6"/>
        <v/>
      </c>
      <c r="T192" s="16" t="str">
        <f t="shared" si="7"/>
        <v/>
      </c>
      <c r="U192" s="23" t="str">
        <f t="shared" si="8"/>
        <v/>
      </c>
      <c r="V192" s="18"/>
    </row>
    <row r="193" spans="1:22" x14ac:dyDescent="0.45">
      <c r="A193" s="16" t="str">
        <f>IF(B193="","","LDX-"&amp;TEXT(B193,"yymmdd")&amp;"-"&amp;TEXT(COUNTIFS(B$5:B193,B193),"00"))</f>
        <v/>
      </c>
      <c r="B193" s="17"/>
      <c r="C193" s="18"/>
      <c r="D193" s="18"/>
      <c r="E193" s="18"/>
      <c r="F193" s="18"/>
      <c r="G193" s="18"/>
      <c r="H193" s="18"/>
      <c r="I193" s="18"/>
      <c r="J193" s="19"/>
      <c r="K193" s="20"/>
      <c r="L193" s="20"/>
      <c r="M193" s="19"/>
      <c r="N193" s="18"/>
      <c r="O193" s="18"/>
      <c r="P193" s="18"/>
      <c r="Q193" s="18"/>
      <c r="R193" s="21" t="str">
        <f>IF(C193="","",IFERROR(INDEX('THAM SỐ'!$F$5:$F$7,MATCH(C193,'THAM SỐ'!$A$5:$A$7,0)),""))</f>
        <v/>
      </c>
      <c r="S193" s="22" t="str">
        <f t="shared" si="6"/>
        <v/>
      </c>
      <c r="T193" s="16" t="str">
        <f t="shared" si="7"/>
        <v/>
      </c>
      <c r="U193" s="23" t="str">
        <f t="shared" si="8"/>
        <v/>
      </c>
      <c r="V193" s="18"/>
    </row>
    <row r="194" spans="1:22" x14ac:dyDescent="0.45">
      <c r="A194" s="16" t="str">
        <f>IF(B194="","","LDX-"&amp;TEXT(B194,"yymmdd")&amp;"-"&amp;TEXT(COUNTIFS(B$5:B194,B194),"00"))</f>
        <v/>
      </c>
      <c r="B194" s="17"/>
      <c r="C194" s="18"/>
      <c r="D194" s="18"/>
      <c r="E194" s="18"/>
      <c r="F194" s="18"/>
      <c r="G194" s="18"/>
      <c r="H194" s="18"/>
      <c r="I194" s="18"/>
      <c r="J194" s="19"/>
      <c r="K194" s="20"/>
      <c r="L194" s="20"/>
      <c r="M194" s="19"/>
      <c r="N194" s="18"/>
      <c r="O194" s="18"/>
      <c r="P194" s="18"/>
      <c r="Q194" s="18"/>
      <c r="R194" s="21" t="str">
        <f>IF(C194="","",IFERROR(INDEX('THAM SỐ'!$F$5:$F$7,MATCH(C194,'THAM SỐ'!$A$5:$A$7,0)),""))</f>
        <v/>
      </c>
      <c r="S194" s="22" t="str">
        <f t="shared" si="6"/>
        <v/>
      </c>
      <c r="T194" s="16" t="str">
        <f t="shared" si="7"/>
        <v/>
      </c>
      <c r="U194" s="23" t="str">
        <f t="shared" si="8"/>
        <v/>
      </c>
      <c r="V194" s="18"/>
    </row>
    <row r="195" spans="1:22" x14ac:dyDescent="0.45">
      <c r="A195" s="16" t="str">
        <f>IF(B195="","","LDX-"&amp;TEXT(B195,"yymmdd")&amp;"-"&amp;TEXT(COUNTIFS(B$5:B195,B195),"00"))</f>
        <v/>
      </c>
      <c r="B195" s="17"/>
      <c r="C195" s="18"/>
      <c r="D195" s="18"/>
      <c r="E195" s="18"/>
      <c r="F195" s="18"/>
      <c r="G195" s="18"/>
      <c r="H195" s="18"/>
      <c r="I195" s="18"/>
      <c r="J195" s="19"/>
      <c r="K195" s="20"/>
      <c r="L195" s="20"/>
      <c r="M195" s="19"/>
      <c r="N195" s="18"/>
      <c r="O195" s="18"/>
      <c r="P195" s="18"/>
      <c r="Q195" s="18"/>
      <c r="R195" s="21" t="str">
        <f>IF(C195="","",IFERROR(INDEX('THAM SỐ'!$F$5:$F$7,MATCH(C195,'THAM SỐ'!$A$5:$A$7,0)),""))</f>
        <v/>
      </c>
      <c r="S195" s="22" t="str">
        <f t="shared" si="6"/>
        <v/>
      </c>
      <c r="T195" s="16" t="str">
        <f t="shared" si="7"/>
        <v/>
      </c>
      <c r="U195" s="23" t="str">
        <f t="shared" si="8"/>
        <v/>
      </c>
      <c r="V195" s="18"/>
    </row>
    <row r="196" spans="1:22" x14ac:dyDescent="0.45">
      <c r="A196" s="16" t="str">
        <f>IF(B196="","","LDX-"&amp;TEXT(B196,"yymmdd")&amp;"-"&amp;TEXT(COUNTIFS(B$5:B196,B196),"00"))</f>
        <v/>
      </c>
      <c r="B196" s="17"/>
      <c r="C196" s="18"/>
      <c r="D196" s="18"/>
      <c r="E196" s="18"/>
      <c r="F196" s="18"/>
      <c r="G196" s="18"/>
      <c r="H196" s="18"/>
      <c r="I196" s="18"/>
      <c r="J196" s="19"/>
      <c r="K196" s="20"/>
      <c r="L196" s="20"/>
      <c r="M196" s="19"/>
      <c r="N196" s="18"/>
      <c r="O196" s="18"/>
      <c r="P196" s="18"/>
      <c r="Q196" s="18"/>
      <c r="R196" s="21" t="str">
        <f>IF(C196="","",IFERROR(INDEX('THAM SỐ'!$F$5:$F$7,MATCH(C196,'THAM SỐ'!$A$5:$A$7,0)),""))</f>
        <v/>
      </c>
      <c r="S196" s="22" t="str">
        <f t="shared" si="6"/>
        <v/>
      </c>
      <c r="T196" s="16" t="str">
        <f t="shared" si="7"/>
        <v/>
      </c>
      <c r="U196" s="23" t="str">
        <f t="shared" si="8"/>
        <v/>
      </c>
      <c r="V196" s="18"/>
    </row>
    <row r="197" spans="1:22" x14ac:dyDescent="0.45">
      <c r="A197" s="16" t="str">
        <f>IF(B197="","","LDX-"&amp;TEXT(B197,"yymmdd")&amp;"-"&amp;TEXT(COUNTIFS(B$5:B197,B197),"00"))</f>
        <v/>
      </c>
      <c r="B197" s="17"/>
      <c r="C197" s="18"/>
      <c r="D197" s="18"/>
      <c r="E197" s="18"/>
      <c r="F197" s="18"/>
      <c r="G197" s="18"/>
      <c r="H197" s="18"/>
      <c r="I197" s="18"/>
      <c r="J197" s="19"/>
      <c r="K197" s="20"/>
      <c r="L197" s="20"/>
      <c r="M197" s="19"/>
      <c r="N197" s="18"/>
      <c r="O197" s="18"/>
      <c r="P197" s="18"/>
      <c r="Q197" s="18"/>
      <c r="R197" s="21" t="str">
        <f>IF(C197="","",IFERROR(INDEX('THAM SỐ'!$F$5:$F$7,MATCH(C197,'THAM SỐ'!$A$5:$A$7,0)),""))</f>
        <v/>
      </c>
      <c r="S197" s="22" t="str">
        <f t="shared" ref="S197:S260" si="9">IF(OR(M197="",R197="",R197=0),"",M197/R197)</f>
        <v/>
      </c>
      <c r="T197" s="16" t="str">
        <f t="shared" ref="T197:T260" si="10">IF(S197="","",IF(S197&gt;1,"QUÁ TẢI",IF(S197&gt;0.9,"Sát tải","Đạt")))</f>
        <v/>
      </c>
      <c r="U197" s="23" t="str">
        <f t="shared" ref="U197:U260" si="11">IF(L197="","",L197+(L197&lt;4/24))</f>
        <v/>
      </c>
      <c r="V197" s="18"/>
    </row>
    <row r="198" spans="1:22" x14ac:dyDescent="0.45">
      <c r="A198" s="16" t="str">
        <f>IF(B198="","","LDX-"&amp;TEXT(B198,"yymmdd")&amp;"-"&amp;TEXT(COUNTIFS(B$5:B198,B198),"00"))</f>
        <v/>
      </c>
      <c r="B198" s="17"/>
      <c r="C198" s="18"/>
      <c r="D198" s="18"/>
      <c r="E198" s="18"/>
      <c r="F198" s="18"/>
      <c r="G198" s="18"/>
      <c r="H198" s="18"/>
      <c r="I198" s="18"/>
      <c r="J198" s="19"/>
      <c r="K198" s="20"/>
      <c r="L198" s="20"/>
      <c r="M198" s="19"/>
      <c r="N198" s="18"/>
      <c r="O198" s="18"/>
      <c r="P198" s="18"/>
      <c r="Q198" s="18"/>
      <c r="R198" s="21" t="str">
        <f>IF(C198="","",IFERROR(INDEX('THAM SỐ'!$F$5:$F$7,MATCH(C198,'THAM SỐ'!$A$5:$A$7,0)),""))</f>
        <v/>
      </c>
      <c r="S198" s="22" t="str">
        <f t="shared" si="9"/>
        <v/>
      </c>
      <c r="T198" s="16" t="str">
        <f t="shared" si="10"/>
        <v/>
      </c>
      <c r="U198" s="23" t="str">
        <f t="shared" si="11"/>
        <v/>
      </c>
      <c r="V198" s="18"/>
    </row>
    <row r="199" spans="1:22" x14ac:dyDescent="0.45">
      <c r="A199" s="16" t="str">
        <f>IF(B199="","","LDX-"&amp;TEXT(B199,"yymmdd")&amp;"-"&amp;TEXT(COUNTIFS(B$5:B199,B199),"00"))</f>
        <v/>
      </c>
      <c r="B199" s="17"/>
      <c r="C199" s="18"/>
      <c r="D199" s="18"/>
      <c r="E199" s="18"/>
      <c r="F199" s="18"/>
      <c r="G199" s="18"/>
      <c r="H199" s="18"/>
      <c r="I199" s="18"/>
      <c r="J199" s="19"/>
      <c r="K199" s="20"/>
      <c r="L199" s="20"/>
      <c r="M199" s="19"/>
      <c r="N199" s="18"/>
      <c r="O199" s="18"/>
      <c r="P199" s="18"/>
      <c r="Q199" s="18"/>
      <c r="R199" s="21" t="str">
        <f>IF(C199="","",IFERROR(INDEX('THAM SỐ'!$F$5:$F$7,MATCH(C199,'THAM SỐ'!$A$5:$A$7,0)),""))</f>
        <v/>
      </c>
      <c r="S199" s="22" t="str">
        <f t="shared" si="9"/>
        <v/>
      </c>
      <c r="T199" s="16" t="str">
        <f t="shared" si="10"/>
        <v/>
      </c>
      <c r="U199" s="23" t="str">
        <f t="shared" si="11"/>
        <v/>
      </c>
      <c r="V199" s="18"/>
    </row>
    <row r="200" spans="1:22" x14ac:dyDescent="0.45">
      <c r="A200" s="16" t="str">
        <f>IF(B200="","","LDX-"&amp;TEXT(B200,"yymmdd")&amp;"-"&amp;TEXT(COUNTIFS(B$5:B200,B200),"00"))</f>
        <v/>
      </c>
      <c r="B200" s="17"/>
      <c r="C200" s="18"/>
      <c r="D200" s="18"/>
      <c r="E200" s="18"/>
      <c r="F200" s="18"/>
      <c r="G200" s="18"/>
      <c r="H200" s="18"/>
      <c r="I200" s="18"/>
      <c r="J200" s="19"/>
      <c r="K200" s="20"/>
      <c r="L200" s="20"/>
      <c r="M200" s="19"/>
      <c r="N200" s="18"/>
      <c r="O200" s="18"/>
      <c r="P200" s="18"/>
      <c r="Q200" s="18"/>
      <c r="R200" s="21" t="str">
        <f>IF(C200="","",IFERROR(INDEX('THAM SỐ'!$F$5:$F$7,MATCH(C200,'THAM SỐ'!$A$5:$A$7,0)),""))</f>
        <v/>
      </c>
      <c r="S200" s="22" t="str">
        <f t="shared" si="9"/>
        <v/>
      </c>
      <c r="T200" s="16" t="str">
        <f t="shared" si="10"/>
        <v/>
      </c>
      <c r="U200" s="23" t="str">
        <f t="shared" si="11"/>
        <v/>
      </c>
      <c r="V200" s="18"/>
    </row>
    <row r="201" spans="1:22" x14ac:dyDescent="0.45">
      <c r="A201" s="16" t="str">
        <f>IF(B201="","","LDX-"&amp;TEXT(B201,"yymmdd")&amp;"-"&amp;TEXT(COUNTIFS(B$5:B201,B201),"00"))</f>
        <v/>
      </c>
      <c r="B201" s="17"/>
      <c r="C201" s="18"/>
      <c r="D201" s="18"/>
      <c r="E201" s="18"/>
      <c r="F201" s="18"/>
      <c r="G201" s="18"/>
      <c r="H201" s="18"/>
      <c r="I201" s="18"/>
      <c r="J201" s="19"/>
      <c r="K201" s="20"/>
      <c r="L201" s="20"/>
      <c r="M201" s="19"/>
      <c r="N201" s="18"/>
      <c r="O201" s="18"/>
      <c r="P201" s="18"/>
      <c r="Q201" s="18"/>
      <c r="R201" s="21" t="str">
        <f>IF(C201="","",IFERROR(INDEX('THAM SỐ'!$F$5:$F$7,MATCH(C201,'THAM SỐ'!$A$5:$A$7,0)),""))</f>
        <v/>
      </c>
      <c r="S201" s="22" t="str">
        <f t="shared" si="9"/>
        <v/>
      </c>
      <c r="T201" s="16" t="str">
        <f t="shared" si="10"/>
        <v/>
      </c>
      <c r="U201" s="23" t="str">
        <f t="shared" si="11"/>
        <v/>
      </c>
      <c r="V201" s="18"/>
    </row>
    <row r="202" spans="1:22" x14ac:dyDescent="0.45">
      <c r="A202" s="16" t="str">
        <f>IF(B202="","","LDX-"&amp;TEXT(B202,"yymmdd")&amp;"-"&amp;TEXT(COUNTIFS(B$5:B202,B202),"00"))</f>
        <v/>
      </c>
      <c r="B202" s="17"/>
      <c r="C202" s="18"/>
      <c r="D202" s="18"/>
      <c r="E202" s="18"/>
      <c r="F202" s="18"/>
      <c r="G202" s="18"/>
      <c r="H202" s="18"/>
      <c r="I202" s="18"/>
      <c r="J202" s="19"/>
      <c r="K202" s="20"/>
      <c r="L202" s="20"/>
      <c r="M202" s="19"/>
      <c r="N202" s="18"/>
      <c r="O202" s="18"/>
      <c r="P202" s="18"/>
      <c r="Q202" s="18"/>
      <c r="R202" s="21" t="str">
        <f>IF(C202="","",IFERROR(INDEX('THAM SỐ'!$F$5:$F$7,MATCH(C202,'THAM SỐ'!$A$5:$A$7,0)),""))</f>
        <v/>
      </c>
      <c r="S202" s="22" t="str">
        <f t="shared" si="9"/>
        <v/>
      </c>
      <c r="T202" s="16" t="str">
        <f t="shared" si="10"/>
        <v/>
      </c>
      <c r="U202" s="23" t="str">
        <f t="shared" si="11"/>
        <v/>
      </c>
      <c r="V202" s="18"/>
    </row>
    <row r="203" spans="1:22" x14ac:dyDescent="0.45">
      <c r="A203" s="16" t="str">
        <f>IF(B203="","","LDX-"&amp;TEXT(B203,"yymmdd")&amp;"-"&amp;TEXT(COUNTIFS(B$5:B203,B203),"00"))</f>
        <v/>
      </c>
      <c r="B203" s="17"/>
      <c r="C203" s="18"/>
      <c r="D203" s="18"/>
      <c r="E203" s="18"/>
      <c r="F203" s="18"/>
      <c r="G203" s="18"/>
      <c r="H203" s="18"/>
      <c r="I203" s="18"/>
      <c r="J203" s="19"/>
      <c r="K203" s="20"/>
      <c r="L203" s="20"/>
      <c r="M203" s="19"/>
      <c r="N203" s="18"/>
      <c r="O203" s="18"/>
      <c r="P203" s="18"/>
      <c r="Q203" s="18"/>
      <c r="R203" s="21" t="str">
        <f>IF(C203="","",IFERROR(INDEX('THAM SỐ'!$F$5:$F$7,MATCH(C203,'THAM SỐ'!$A$5:$A$7,0)),""))</f>
        <v/>
      </c>
      <c r="S203" s="22" t="str">
        <f t="shared" si="9"/>
        <v/>
      </c>
      <c r="T203" s="16" t="str">
        <f t="shared" si="10"/>
        <v/>
      </c>
      <c r="U203" s="23" t="str">
        <f t="shared" si="11"/>
        <v/>
      </c>
      <c r="V203" s="18"/>
    </row>
    <row r="204" spans="1:22" x14ac:dyDescent="0.45">
      <c r="A204" s="16" t="str">
        <f>IF(B204="","","LDX-"&amp;TEXT(B204,"yymmdd")&amp;"-"&amp;TEXT(COUNTIFS(B$5:B204,B204),"00"))</f>
        <v/>
      </c>
      <c r="B204" s="17"/>
      <c r="C204" s="18"/>
      <c r="D204" s="18"/>
      <c r="E204" s="18"/>
      <c r="F204" s="18"/>
      <c r="G204" s="18"/>
      <c r="H204" s="18"/>
      <c r="I204" s="18"/>
      <c r="J204" s="19"/>
      <c r="K204" s="20"/>
      <c r="L204" s="20"/>
      <c r="M204" s="19"/>
      <c r="N204" s="18"/>
      <c r="O204" s="18"/>
      <c r="P204" s="18"/>
      <c r="Q204" s="18"/>
      <c r="R204" s="21" t="str">
        <f>IF(C204="","",IFERROR(INDEX('THAM SỐ'!$F$5:$F$7,MATCH(C204,'THAM SỐ'!$A$5:$A$7,0)),""))</f>
        <v/>
      </c>
      <c r="S204" s="22" t="str">
        <f t="shared" si="9"/>
        <v/>
      </c>
      <c r="T204" s="16" t="str">
        <f t="shared" si="10"/>
        <v/>
      </c>
      <c r="U204" s="23" t="str">
        <f t="shared" si="11"/>
        <v/>
      </c>
      <c r="V204" s="18"/>
    </row>
    <row r="205" spans="1:22" x14ac:dyDescent="0.45">
      <c r="A205" s="16" t="str">
        <f>IF(B205="","","LDX-"&amp;TEXT(B205,"yymmdd")&amp;"-"&amp;TEXT(COUNTIFS(B$5:B205,B205),"00"))</f>
        <v/>
      </c>
      <c r="B205" s="17"/>
      <c r="C205" s="18"/>
      <c r="D205" s="18"/>
      <c r="E205" s="18"/>
      <c r="F205" s="18"/>
      <c r="G205" s="18"/>
      <c r="H205" s="18"/>
      <c r="I205" s="18"/>
      <c r="J205" s="19"/>
      <c r="K205" s="20"/>
      <c r="L205" s="20"/>
      <c r="M205" s="19"/>
      <c r="N205" s="18"/>
      <c r="O205" s="18"/>
      <c r="P205" s="18"/>
      <c r="Q205" s="18"/>
      <c r="R205" s="21" t="str">
        <f>IF(C205="","",IFERROR(INDEX('THAM SỐ'!$F$5:$F$7,MATCH(C205,'THAM SỐ'!$A$5:$A$7,0)),""))</f>
        <v/>
      </c>
      <c r="S205" s="22" t="str">
        <f t="shared" si="9"/>
        <v/>
      </c>
      <c r="T205" s="16" t="str">
        <f t="shared" si="10"/>
        <v/>
      </c>
      <c r="U205" s="23" t="str">
        <f t="shared" si="11"/>
        <v/>
      </c>
      <c r="V205" s="18"/>
    </row>
    <row r="206" spans="1:22" x14ac:dyDescent="0.45">
      <c r="A206" s="16" t="str">
        <f>IF(B206="","","LDX-"&amp;TEXT(B206,"yymmdd")&amp;"-"&amp;TEXT(COUNTIFS(B$5:B206,B206),"00"))</f>
        <v/>
      </c>
      <c r="B206" s="17"/>
      <c r="C206" s="18"/>
      <c r="D206" s="18"/>
      <c r="E206" s="18"/>
      <c r="F206" s="18"/>
      <c r="G206" s="18"/>
      <c r="H206" s="18"/>
      <c r="I206" s="18"/>
      <c r="J206" s="19"/>
      <c r="K206" s="20"/>
      <c r="L206" s="20"/>
      <c r="M206" s="19"/>
      <c r="N206" s="18"/>
      <c r="O206" s="18"/>
      <c r="P206" s="18"/>
      <c r="Q206" s="18"/>
      <c r="R206" s="21" t="str">
        <f>IF(C206="","",IFERROR(INDEX('THAM SỐ'!$F$5:$F$7,MATCH(C206,'THAM SỐ'!$A$5:$A$7,0)),""))</f>
        <v/>
      </c>
      <c r="S206" s="22" t="str">
        <f t="shared" si="9"/>
        <v/>
      </c>
      <c r="T206" s="16" t="str">
        <f t="shared" si="10"/>
        <v/>
      </c>
      <c r="U206" s="23" t="str">
        <f t="shared" si="11"/>
        <v/>
      </c>
      <c r="V206" s="18"/>
    </row>
    <row r="207" spans="1:22" x14ac:dyDescent="0.45">
      <c r="A207" s="16" t="str">
        <f>IF(B207="","","LDX-"&amp;TEXT(B207,"yymmdd")&amp;"-"&amp;TEXT(COUNTIFS(B$5:B207,B207),"00"))</f>
        <v/>
      </c>
      <c r="B207" s="17"/>
      <c r="C207" s="18"/>
      <c r="D207" s="18"/>
      <c r="E207" s="18"/>
      <c r="F207" s="18"/>
      <c r="G207" s="18"/>
      <c r="H207" s="18"/>
      <c r="I207" s="18"/>
      <c r="J207" s="19"/>
      <c r="K207" s="20"/>
      <c r="L207" s="20"/>
      <c r="M207" s="19"/>
      <c r="N207" s="18"/>
      <c r="O207" s="18"/>
      <c r="P207" s="18"/>
      <c r="Q207" s="18"/>
      <c r="R207" s="21" t="str">
        <f>IF(C207="","",IFERROR(INDEX('THAM SỐ'!$F$5:$F$7,MATCH(C207,'THAM SỐ'!$A$5:$A$7,0)),""))</f>
        <v/>
      </c>
      <c r="S207" s="22" t="str">
        <f t="shared" si="9"/>
        <v/>
      </c>
      <c r="T207" s="16" t="str">
        <f t="shared" si="10"/>
        <v/>
      </c>
      <c r="U207" s="23" t="str">
        <f t="shared" si="11"/>
        <v/>
      </c>
      <c r="V207" s="18"/>
    </row>
    <row r="208" spans="1:22" x14ac:dyDescent="0.45">
      <c r="A208" s="16" t="str">
        <f>IF(B208="","","LDX-"&amp;TEXT(B208,"yymmdd")&amp;"-"&amp;TEXT(COUNTIFS(B$5:B208,B208),"00"))</f>
        <v/>
      </c>
      <c r="B208" s="17"/>
      <c r="C208" s="18"/>
      <c r="D208" s="18"/>
      <c r="E208" s="18"/>
      <c r="F208" s="18"/>
      <c r="G208" s="18"/>
      <c r="H208" s="18"/>
      <c r="I208" s="18"/>
      <c r="J208" s="19"/>
      <c r="K208" s="20"/>
      <c r="L208" s="20"/>
      <c r="M208" s="19"/>
      <c r="N208" s="18"/>
      <c r="O208" s="18"/>
      <c r="P208" s="18"/>
      <c r="Q208" s="18"/>
      <c r="R208" s="21" t="str">
        <f>IF(C208="","",IFERROR(INDEX('THAM SỐ'!$F$5:$F$7,MATCH(C208,'THAM SỐ'!$A$5:$A$7,0)),""))</f>
        <v/>
      </c>
      <c r="S208" s="22" t="str">
        <f t="shared" si="9"/>
        <v/>
      </c>
      <c r="T208" s="16" t="str">
        <f t="shared" si="10"/>
        <v/>
      </c>
      <c r="U208" s="23" t="str">
        <f t="shared" si="11"/>
        <v/>
      </c>
      <c r="V208" s="18"/>
    </row>
    <row r="209" spans="1:22" x14ac:dyDescent="0.45">
      <c r="A209" s="16" t="str">
        <f>IF(B209="","","LDX-"&amp;TEXT(B209,"yymmdd")&amp;"-"&amp;TEXT(COUNTIFS(B$5:B209,B209),"00"))</f>
        <v/>
      </c>
      <c r="B209" s="17"/>
      <c r="C209" s="18"/>
      <c r="D209" s="18"/>
      <c r="E209" s="18"/>
      <c r="F209" s="18"/>
      <c r="G209" s="18"/>
      <c r="H209" s="18"/>
      <c r="I209" s="18"/>
      <c r="J209" s="19"/>
      <c r="K209" s="20"/>
      <c r="L209" s="20"/>
      <c r="M209" s="19"/>
      <c r="N209" s="18"/>
      <c r="O209" s="18"/>
      <c r="P209" s="18"/>
      <c r="Q209" s="18"/>
      <c r="R209" s="21" t="str">
        <f>IF(C209="","",IFERROR(INDEX('THAM SỐ'!$F$5:$F$7,MATCH(C209,'THAM SỐ'!$A$5:$A$7,0)),""))</f>
        <v/>
      </c>
      <c r="S209" s="22" t="str">
        <f t="shared" si="9"/>
        <v/>
      </c>
      <c r="T209" s="16" t="str">
        <f t="shared" si="10"/>
        <v/>
      </c>
      <c r="U209" s="23" t="str">
        <f t="shared" si="11"/>
        <v/>
      </c>
      <c r="V209" s="18"/>
    </row>
    <row r="210" spans="1:22" x14ac:dyDescent="0.45">
      <c r="A210" s="16" t="str">
        <f>IF(B210="","","LDX-"&amp;TEXT(B210,"yymmdd")&amp;"-"&amp;TEXT(COUNTIFS(B$5:B210,B210),"00"))</f>
        <v/>
      </c>
      <c r="B210" s="17"/>
      <c r="C210" s="18"/>
      <c r="D210" s="18"/>
      <c r="E210" s="18"/>
      <c r="F210" s="18"/>
      <c r="G210" s="18"/>
      <c r="H210" s="18"/>
      <c r="I210" s="18"/>
      <c r="J210" s="19"/>
      <c r="K210" s="20"/>
      <c r="L210" s="20"/>
      <c r="M210" s="19"/>
      <c r="N210" s="18"/>
      <c r="O210" s="18"/>
      <c r="P210" s="18"/>
      <c r="Q210" s="18"/>
      <c r="R210" s="21" t="str">
        <f>IF(C210="","",IFERROR(INDEX('THAM SỐ'!$F$5:$F$7,MATCH(C210,'THAM SỐ'!$A$5:$A$7,0)),""))</f>
        <v/>
      </c>
      <c r="S210" s="22" t="str">
        <f t="shared" si="9"/>
        <v/>
      </c>
      <c r="T210" s="16" t="str">
        <f t="shared" si="10"/>
        <v/>
      </c>
      <c r="U210" s="23" t="str">
        <f t="shared" si="11"/>
        <v/>
      </c>
      <c r="V210" s="18"/>
    </row>
    <row r="211" spans="1:22" x14ac:dyDescent="0.45">
      <c r="A211" s="16" t="str">
        <f>IF(B211="","","LDX-"&amp;TEXT(B211,"yymmdd")&amp;"-"&amp;TEXT(COUNTIFS(B$5:B211,B211),"00"))</f>
        <v/>
      </c>
      <c r="B211" s="17"/>
      <c r="C211" s="18"/>
      <c r="D211" s="18"/>
      <c r="E211" s="18"/>
      <c r="F211" s="18"/>
      <c r="G211" s="18"/>
      <c r="H211" s="18"/>
      <c r="I211" s="18"/>
      <c r="J211" s="19"/>
      <c r="K211" s="20"/>
      <c r="L211" s="20"/>
      <c r="M211" s="19"/>
      <c r="N211" s="18"/>
      <c r="O211" s="18"/>
      <c r="P211" s="18"/>
      <c r="Q211" s="18"/>
      <c r="R211" s="21" t="str">
        <f>IF(C211="","",IFERROR(INDEX('THAM SỐ'!$F$5:$F$7,MATCH(C211,'THAM SỐ'!$A$5:$A$7,0)),""))</f>
        <v/>
      </c>
      <c r="S211" s="22" t="str">
        <f t="shared" si="9"/>
        <v/>
      </c>
      <c r="T211" s="16" t="str">
        <f t="shared" si="10"/>
        <v/>
      </c>
      <c r="U211" s="23" t="str">
        <f t="shared" si="11"/>
        <v/>
      </c>
      <c r="V211" s="18"/>
    </row>
    <row r="212" spans="1:22" x14ac:dyDescent="0.45">
      <c r="A212" s="16" t="str">
        <f>IF(B212="","","LDX-"&amp;TEXT(B212,"yymmdd")&amp;"-"&amp;TEXT(COUNTIFS(B$5:B212,B212),"00"))</f>
        <v/>
      </c>
      <c r="B212" s="17"/>
      <c r="C212" s="18"/>
      <c r="D212" s="18"/>
      <c r="E212" s="18"/>
      <c r="F212" s="18"/>
      <c r="G212" s="18"/>
      <c r="H212" s="18"/>
      <c r="I212" s="18"/>
      <c r="J212" s="19"/>
      <c r="K212" s="20"/>
      <c r="L212" s="20"/>
      <c r="M212" s="19"/>
      <c r="N212" s="18"/>
      <c r="O212" s="18"/>
      <c r="P212" s="18"/>
      <c r="Q212" s="18"/>
      <c r="R212" s="21" t="str">
        <f>IF(C212="","",IFERROR(INDEX('THAM SỐ'!$F$5:$F$7,MATCH(C212,'THAM SỐ'!$A$5:$A$7,0)),""))</f>
        <v/>
      </c>
      <c r="S212" s="22" t="str">
        <f t="shared" si="9"/>
        <v/>
      </c>
      <c r="T212" s="16" t="str">
        <f t="shared" si="10"/>
        <v/>
      </c>
      <c r="U212" s="23" t="str">
        <f t="shared" si="11"/>
        <v/>
      </c>
      <c r="V212" s="18"/>
    </row>
    <row r="213" spans="1:22" x14ac:dyDescent="0.45">
      <c r="A213" s="16" t="str">
        <f>IF(B213="","","LDX-"&amp;TEXT(B213,"yymmdd")&amp;"-"&amp;TEXT(COUNTIFS(B$5:B213,B213),"00"))</f>
        <v/>
      </c>
      <c r="B213" s="17"/>
      <c r="C213" s="18"/>
      <c r="D213" s="18"/>
      <c r="E213" s="18"/>
      <c r="F213" s="18"/>
      <c r="G213" s="18"/>
      <c r="H213" s="18"/>
      <c r="I213" s="18"/>
      <c r="J213" s="19"/>
      <c r="K213" s="20"/>
      <c r="L213" s="20"/>
      <c r="M213" s="19"/>
      <c r="N213" s="18"/>
      <c r="O213" s="18"/>
      <c r="P213" s="18"/>
      <c r="Q213" s="18"/>
      <c r="R213" s="21" t="str">
        <f>IF(C213="","",IFERROR(INDEX('THAM SỐ'!$F$5:$F$7,MATCH(C213,'THAM SỐ'!$A$5:$A$7,0)),""))</f>
        <v/>
      </c>
      <c r="S213" s="22" t="str">
        <f t="shared" si="9"/>
        <v/>
      </c>
      <c r="T213" s="16" t="str">
        <f t="shared" si="10"/>
        <v/>
      </c>
      <c r="U213" s="23" t="str">
        <f t="shared" si="11"/>
        <v/>
      </c>
      <c r="V213" s="18"/>
    </row>
    <row r="214" spans="1:22" x14ac:dyDescent="0.45">
      <c r="A214" s="16" t="str">
        <f>IF(B214="","","LDX-"&amp;TEXT(B214,"yymmdd")&amp;"-"&amp;TEXT(COUNTIFS(B$5:B214,B214),"00"))</f>
        <v/>
      </c>
      <c r="B214" s="17"/>
      <c r="C214" s="18"/>
      <c r="D214" s="18"/>
      <c r="E214" s="18"/>
      <c r="F214" s="18"/>
      <c r="G214" s="18"/>
      <c r="H214" s="18"/>
      <c r="I214" s="18"/>
      <c r="J214" s="19"/>
      <c r="K214" s="20"/>
      <c r="L214" s="20"/>
      <c r="M214" s="19"/>
      <c r="N214" s="18"/>
      <c r="O214" s="18"/>
      <c r="P214" s="18"/>
      <c r="Q214" s="18"/>
      <c r="R214" s="21" t="str">
        <f>IF(C214="","",IFERROR(INDEX('THAM SỐ'!$F$5:$F$7,MATCH(C214,'THAM SỐ'!$A$5:$A$7,0)),""))</f>
        <v/>
      </c>
      <c r="S214" s="22" t="str">
        <f t="shared" si="9"/>
        <v/>
      </c>
      <c r="T214" s="16" t="str">
        <f t="shared" si="10"/>
        <v/>
      </c>
      <c r="U214" s="23" t="str">
        <f t="shared" si="11"/>
        <v/>
      </c>
      <c r="V214" s="18"/>
    </row>
    <row r="215" spans="1:22" x14ac:dyDescent="0.45">
      <c r="A215" s="16" t="str">
        <f>IF(B215="","","LDX-"&amp;TEXT(B215,"yymmdd")&amp;"-"&amp;TEXT(COUNTIFS(B$5:B215,B215),"00"))</f>
        <v/>
      </c>
      <c r="B215" s="17"/>
      <c r="C215" s="18"/>
      <c r="D215" s="18"/>
      <c r="E215" s="18"/>
      <c r="F215" s="18"/>
      <c r="G215" s="18"/>
      <c r="H215" s="18"/>
      <c r="I215" s="18"/>
      <c r="J215" s="19"/>
      <c r="K215" s="20"/>
      <c r="L215" s="20"/>
      <c r="M215" s="19"/>
      <c r="N215" s="18"/>
      <c r="O215" s="18"/>
      <c r="P215" s="18"/>
      <c r="Q215" s="18"/>
      <c r="R215" s="21" t="str">
        <f>IF(C215="","",IFERROR(INDEX('THAM SỐ'!$F$5:$F$7,MATCH(C215,'THAM SỐ'!$A$5:$A$7,0)),""))</f>
        <v/>
      </c>
      <c r="S215" s="22" t="str">
        <f t="shared" si="9"/>
        <v/>
      </c>
      <c r="T215" s="16" t="str">
        <f t="shared" si="10"/>
        <v/>
      </c>
      <c r="U215" s="23" t="str">
        <f t="shared" si="11"/>
        <v/>
      </c>
      <c r="V215" s="18"/>
    </row>
    <row r="216" spans="1:22" x14ac:dyDescent="0.45">
      <c r="A216" s="16" t="str">
        <f>IF(B216="","","LDX-"&amp;TEXT(B216,"yymmdd")&amp;"-"&amp;TEXT(COUNTIFS(B$5:B216,B216),"00"))</f>
        <v/>
      </c>
      <c r="B216" s="17"/>
      <c r="C216" s="18"/>
      <c r="D216" s="18"/>
      <c r="E216" s="18"/>
      <c r="F216" s="18"/>
      <c r="G216" s="18"/>
      <c r="H216" s="18"/>
      <c r="I216" s="18"/>
      <c r="J216" s="19"/>
      <c r="K216" s="20"/>
      <c r="L216" s="20"/>
      <c r="M216" s="19"/>
      <c r="N216" s="18"/>
      <c r="O216" s="18"/>
      <c r="P216" s="18"/>
      <c r="Q216" s="18"/>
      <c r="R216" s="21" t="str">
        <f>IF(C216="","",IFERROR(INDEX('THAM SỐ'!$F$5:$F$7,MATCH(C216,'THAM SỐ'!$A$5:$A$7,0)),""))</f>
        <v/>
      </c>
      <c r="S216" s="22" t="str">
        <f t="shared" si="9"/>
        <v/>
      </c>
      <c r="T216" s="16" t="str">
        <f t="shared" si="10"/>
        <v/>
      </c>
      <c r="U216" s="23" t="str">
        <f t="shared" si="11"/>
        <v/>
      </c>
      <c r="V216" s="18"/>
    </row>
    <row r="217" spans="1:22" x14ac:dyDescent="0.45">
      <c r="A217" s="16" t="str">
        <f>IF(B217="","","LDX-"&amp;TEXT(B217,"yymmdd")&amp;"-"&amp;TEXT(COUNTIFS(B$5:B217,B217),"00"))</f>
        <v/>
      </c>
      <c r="B217" s="17"/>
      <c r="C217" s="18"/>
      <c r="D217" s="18"/>
      <c r="E217" s="18"/>
      <c r="F217" s="18"/>
      <c r="G217" s="18"/>
      <c r="H217" s="18"/>
      <c r="I217" s="18"/>
      <c r="J217" s="19"/>
      <c r="K217" s="20"/>
      <c r="L217" s="20"/>
      <c r="M217" s="19"/>
      <c r="N217" s="18"/>
      <c r="O217" s="18"/>
      <c r="P217" s="18"/>
      <c r="Q217" s="18"/>
      <c r="R217" s="21" t="str">
        <f>IF(C217="","",IFERROR(INDEX('THAM SỐ'!$F$5:$F$7,MATCH(C217,'THAM SỐ'!$A$5:$A$7,0)),""))</f>
        <v/>
      </c>
      <c r="S217" s="22" t="str">
        <f t="shared" si="9"/>
        <v/>
      </c>
      <c r="T217" s="16" t="str">
        <f t="shared" si="10"/>
        <v/>
      </c>
      <c r="U217" s="23" t="str">
        <f t="shared" si="11"/>
        <v/>
      </c>
      <c r="V217" s="18"/>
    </row>
    <row r="218" spans="1:22" x14ac:dyDescent="0.45">
      <c r="A218" s="16" t="str">
        <f>IF(B218="","","LDX-"&amp;TEXT(B218,"yymmdd")&amp;"-"&amp;TEXT(COUNTIFS(B$5:B218,B218),"00"))</f>
        <v/>
      </c>
      <c r="B218" s="17"/>
      <c r="C218" s="18"/>
      <c r="D218" s="18"/>
      <c r="E218" s="18"/>
      <c r="F218" s="18"/>
      <c r="G218" s="18"/>
      <c r="H218" s="18"/>
      <c r="I218" s="18"/>
      <c r="J218" s="19"/>
      <c r="K218" s="20"/>
      <c r="L218" s="20"/>
      <c r="M218" s="19"/>
      <c r="N218" s="18"/>
      <c r="O218" s="18"/>
      <c r="P218" s="18"/>
      <c r="Q218" s="18"/>
      <c r="R218" s="21" t="str">
        <f>IF(C218="","",IFERROR(INDEX('THAM SỐ'!$F$5:$F$7,MATCH(C218,'THAM SỐ'!$A$5:$A$7,0)),""))</f>
        <v/>
      </c>
      <c r="S218" s="22" t="str">
        <f t="shared" si="9"/>
        <v/>
      </c>
      <c r="T218" s="16" t="str">
        <f t="shared" si="10"/>
        <v/>
      </c>
      <c r="U218" s="23" t="str">
        <f t="shared" si="11"/>
        <v/>
      </c>
      <c r="V218" s="18"/>
    </row>
    <row r="219" spans="1:22" x14ac:dyDescent="0.45">
      <c r="A219" s="16" t="str">
        <f>IF(B219="","","LDX-"&amp;TEXT(B219,"yymmdd")&amp;"-"&amp;TEXT(COUNTIFS(B$5:B219,B219),"00"))</f>
        <v/>
      </c>
      <c r="B219" s="17"/>
      <c r="C219" s="18"/>
      <c r="D219" s="18"/>
      <c r="E219" s="18"/>
      <c r="F219" s="18"/>
      <c r="G219" s="18"/>
      <c r="H219" s="18"/>
      <c r="I219" s="18"/>
      <c r="J219" s="19"/>
      <c r="K219" s="20"/>
      <c r="L219" s="20"/>
      <c r="M219" s="19"/>
      <c r="N219" s="18"/>
      <c r="O219" s="18"/>
      <c r="P219" s="18"/>
      <c r="Q219" s="18"/>
      <c r="R219" s="21" t="str">
        <f>IF(C219="","",IFERROR(INDEX('THAM SỐ'!$F$5:$F$7,MATCH(C219,'THAM SỐ'!$A$5:$A$7,0)),""))</f>
        <v/>
      </c>
      <c r="S219" s="22" t="str">
        <f t="shared" si="9"/>
        <v/>
      </c>
      <c r="T219" s="16" t="str">
        <f t="shared" si="10"/>
        <v/>
      </c>
      <c r="U219" s="23" t="str">
        <f t="shared" si="11"/>
        <v/>
      </c>
      <c r="V219" s="18"/>
    </row>
    <row r="220" spans="1:22" x14ac:dyDescent="0.45">
      <c r="A220" s="16" t="str">
        <f>IF(B220="","","LDX-"&amp;TEXT(B220,"yymmdd")&amp;"-"&amp;TEXT(COUNTIFS(B$5:B220,B220),"00"))</f>
        <v/>
      </c>
      <c r="B220" s="17"/>
      <c r="C220" s="18"/>
      <c r="D220" s="18"/>
      <c r="E220" s="18"/>
      <c r="F220" s="18"/>
      <c r="G220" s="18"/>
      <c r="H220" s="18"/>
      <c r="I220" s="18"/>
      <c r="J220" s="19"/>
      <c r="K220" s="20"/>
      <c r="L220" s="20"/>
      <c r="M220" s="19"/>
      <c r="N220" s="18"/>
      <c r="O220" s="18"/>
      <c r="P220" s="18"/>
      <c r="Q220" s="18"/>
      <c r="R220" s="21" t="str">
        <f>IF(C220="","",IFERROR(INDEX('THAM SỐ'!$F$5:$F$7,MATCH(C220,'THAM SỐ'!$A$5:$A$7,0)),""))</f>
        <v/>
      </c>
      <c r="S220" s="22" t="str">
        <f t="shared" si="9"/>
        <v/>
      </c>
      <c r="T220" s="16" t="str">
        <f t="shared" si="10"/>
        <v/>
      </c>
      <c r="U220" s="23" t="str">
        <f t="shared" si="11"/>
        <v/>
      </c>
      <c r="V220" s="18"/>
    </row>
    <row r="221" spans="1:22" x14ac:dyDescent="0.45">
      <c r="A221" s="16" t="str">
        <f>IF(B221="","","LDX-"&amp;TEXT(B221,"yymmdd")&amp;"-"&amp;TEXT(COUNTIFS(B$5:B221,B221),"00"))</f>
        <v/>
      </c>
      <c r="B221" s="17"/>
      <c r="C221" s="18"/>
      <c r="D221" s="18"/>
      <c r="E221" s="18"/>
      <c r="F221" s="18"/>
      <c r="G221" s="18"/>
      <c r="H221" s="18"/>
      <c r="I221" s="18"/>
      <c r="J221" s="19"/>
      <c r="K221" s="20"/>
      <c r="L221" s="20"/>
      <c r="M221" s="19"/>
      <c r="N221" s="18"/>
      <c r="O221" s="18"/>
      <c r="P221" s="18"/>
      <c r="Q221" s="18"/>
      <c r="R221" s="21" t="str">
        <f>IF(C221="","",IFERROR(INDEX('THAM SỐ'!$F$5:$F$7,MATCH(C221,'THAM SỐ'!$A$5:$A$7,0)),""))</f>
        <v/>
      </c>
      <c r="S221" s="22" t="str">
        <f t="shared" si="9"/>
        <v/>
      </c>
      <c r="T221" s="16" t="str">
        <f t="shared" si="10"/>
        <v/>
      </c>
      <c r="U221" s="23" t="str">
        <f t="shared" si="11"/>
        <v/>
      </c>
      <c r="V221" s="18"/>
    </row>
    <row r="222" spans="1:22" x14ac:dyDescent="0.45">
      <c r="A222" s="16" t="str">
        <f>IF(B222="","","LDX-"&amp;TEXT(B222,"yymmdd")&amp;"-"&amp;TEXT(COUNTIFS(B$5:B222,B222),"00"))</f>
        <v/>
      </c>
      <c r="B222" s="17"/>
      <c r="C222" s="18"/>
      <c r="D222" s="18"/>
      <c r="E222" s="18"/>
      <c r="F222" s="18"/>
      <c r="G222" s="18"/>
      <c r="H222" s="18"/>
      <c r="I222" s="18"/>
      <c r="J222" s="19"/>
      <c r="K222" s="20"/>
      <c r="L222" s="20"/>
      <c r="M222" s="19"/>
      <c r="N222" s="18"/>
      <c r="O222" s="18"/>
      <c r="P222" s="18"/>
      <c r="Q222" s="18"/>
      <c r="R222" s="21" t="str">
        <f>IF(C222="","",IFERROR(INDEX('THAM SỐ'!$F$5:$F$7,MATCH(C222,'THAM SỐ'!$A$5:$A$7,0)),""))</f>
        <v/>
      </c>
      <c r="S222" s="22" t="str">
        <f t="shared" si="9"/>
        <v/>
      </c>
      <c r="T222" s="16" t="str">
        <f t="shared" si="10"/>
        <v/>
      </c>
      <c r="U222" s="23" t="str">
        <f t="shared" si="11"/>
        <v/>
      </c>
      <c r="V222" s="18"/>
    </row>
    <row r="223" spans="1:22" x14ac:dyDescent="0.45">
      <c r="A223" s="16" t="str">
        <f>IF(B223="","","LDX-"&amp;TEXT(B223,"yymmdd")&amp;"-"&amp;TEXT(COUNTIFS(B$5:B223,B223),"00"))</f>
        <v/>
      </c>
      <c r="B223" s="17"/>
      <c r="C223" s="18"/>
      <c r="D223" s="18"/>
      <c r="E223" s="18"/>
      <c r="F223" s="18"/>
      <c r="G223" s="18"/>
      <c r="H223" s="18"/>
      <c r="I223" s="18"/>
      <c r="J223" s="19"/>
      <c r="K223" s="20"/>
      <c r="L223" s="20"/>
      <c r="M223" s="19"/>
      <c r="N223" s="18"/>
      <c r="O223" s="18"/>
      <c r="P223" s="18"/>
      <c r="Q223" s="18"/>
      <c r="R223" s="21" t="str">
        <f>IF(C223="","",IFERROR(INDEX('THAM SỐ'!$F$5:$F$7,MATCH(C223,'THAM SỐ'!$A$5:$A$7,0)),""))</f>
        <v/>
      </c>
      <c r="S223" s="22" t="str">
        <f t="shared" si="9"/>
        <v/>
      </c>
      <c r="T223" s="16" t="str">
        <f t="shared" si="10"/>
        <v/>
      </c>
      <c r="U223" s="23" t="str">
        <f t="shared" si="11"/>
        <v/>
      </c>
      <c r="V223" s="18"/>
    </row>
    <row r="224" spans="1:22" x14ac:dyDescent="0.45">
      <c r="A224" s="16" t="str">
        <f>IF(B224="","","LDX-"&amp;TEXT(B224,"yymmdd")&amp;"-"&amp;TEXT(COUNTIFS(B$5:B224,B224),"00"))</f>
        <v/>
      </c>
      <c r="B224" s="17"/>
      <c r="C224" s="18"/>
      <c r="D224" s="18"/>
      <c r="E224" s="18"/>
      <c r="F224" s="18"/>
      <c r="G224" s="18"/>
      <c r="H224" s="18"/>
      <c r="I224" s="18"/>
      <c r="J224" s="19"/>
      <c r="K224" s="20"/>
      <c r="L224" s="20"/>
      <c r="M224" s="19"/>
      <c r="N224" s="18"/>
      <c r="O224" s="18"/>
      <c r="P224" s="18"/>
      <c r="Q224" s="18"/>
      <c r="R224" s="21" t="str">
        <f>IF(C224="","",IFERROR(INDEX('THAM SỐ'!$F$5:$F$7,MATCH(C224,'THAM SỐ'!$A$5:$A$7,0)),""))</f>
        <v/>
      </c>
      <c r="S224" s="22" t="str">
        <f t="shared" si="9"/>
        <v/>
      </c>
      <c r="T224" s="16" t="str">
        <f t="shared" si="10"/>
        <v/>
      </c>
      <c r="U224" s="23" t="str">
        <f t="shared" si="11"/>
        <v/>
      </c>
      <c r="V224" s="18"/>
    </row>
    <row r="225" spans="1:22" x14ac:dyDescent="0.45">
      <c r="A225" s="16" t="str">
        <f>IF(B225="","","LDX-"&amp;TEXT(B225,"yymmdd")&amp;"-"&amp;TEXT(COUNTIFS(B$5:B225,B225),"00"))</f>
        <v/>
      </c>
      <c r="B225" s="17"/>
      <c r="C225" s="18"/>
      <c r="D225" s="18"/>
      <c r="E225" s="18"/>
      <c r="F225" s="18"/>
      <c r="G225" s="18"/>
      <c r="H225" s="18"/>
      <c r="I225" s="18"/>
      <c r="J225" s="19"/>
      <c r="K225" s="20"/>
      <c r="L225" s="20"/>
      <c r="M225" s="19"/>
      <c r="N225" s="18"/>
      <c r="O225" s="18"/>
      <c r="P225" s="18"/>
      <c r="Q225" s="18"/>
      <c r="R225" s="21" t="str">
        <f>IF(C225="","",IFERROR(INDEX('THAM SỐ'!$F$5:$F$7,MATCH(C225,'THAM SỐ'!$A$5:$A$7,0)),""))</f>
        <v/>
      </c>
      <c r="S225" s="22" t="str">
        <f t="shared" si="9"/>
        <v/>
      </c>
      <c r="T225" s="16" t="str">
        <f t="shared" si="10"/>
        <v/>
      </c>
      <c r="U225" s="23" t="str">
        <f t="shared" si="11"/>
        <v/>
      </c>
      <c r="V225" s="18"/>
    </row>
    <row r="226" spans="1:22" x14ac:dyDescent="0.45">
      <c r="A226" s="16" t="str">
        <f>IF(B226="","","LDX-"&amp;TEXT(B226,"yymmdd")&amp;"-"&amp;TEXT(COUNTIFS(B$5:B226,B226),"00"))</f>
        <v/>
      </c>
      <c r="B226" s="17"/>
      <c r="C226" s="18"/>
      <c r="D226" s="18"/>
      <c r="E226" s="18"/>
      <c r="F226" s="18"/>
      <c r="G226" s="18"/>
      <c r="H226" s="18"/>
      <c r="I226" s="18"/>
      <c r="J226" s="19"/>
      <c r="K226" s="20"/>
      <c r="L226" s="20"/>
      <c r="M226" s="19"/>
      <c r="N226" s="18"/>
      <c r="O226" s="18"/>
      <c r="P226" s="18"/>
      <c r="Q226" s="18"/>
      <c r="R226" s="21" t="str">
        <f>IF(C226="","",IFERROR(INDEX('THAM SỐ'!$F$5:$F$7,MATCH(C226,'THAM SỐ'!$A$5:$A$7,0)),""))</f>
        <v/>
      </c>
      <c r="S226" s="22" t="str">
        <f t="shared" si="9"/>
        <v/>
      </c>
      <c r="T226" s="16" t="str">
        <f t="shared" si="10"/>
        <v/>
      </c>
      <c r="U226" s="23" t="str">
        <f t="shared" si="11"/>
        <v/>
      </c>
      <c r="V226" s="18"/>
    </row>
    <row r="227" spans="1:22" x14ac:dyDescent="0.45">
      <c r="A227" s="16" t="str">
        <f>IF(B227="","","LDX-"&amp;TEXT(B227,"yymmdd")&amp;"-"&amp;TEXT(COUNTIFS(B$5:B227,B227),"00"))</f>
        <v/>
      </c>
      <c r="B227" s="17"/>
      <c r="C227" s="18"/>
      <c r="D227" s="18"/>
      <c r="E227" s="18"/>
      <c r="F227" s="18"/>
      <c r="G227" s="18"/>
      <c r="H227" s="18"/>
      <c r="I227" s="18"/>
      <c r="J227" s="19"/>
      <c r="K227" s="20"/>
      <c r="L227" s="20"/>
      <c r="M227" s="19"/>
      <c r="N227" s="18"/>
      <c r="O227" s="18"/>
      <c r="P227" s="18"/>
      <c r="Q227" s="18"/>
      <c r="R227" s="21" t="str">
        <f>IF(C227="","",IFERROR(INDEX('THAM SỐ'!$F$5:$F$7,MATCH(C227,'THAM SỐ'!$A$5:$A$7,0)),""))</f>
        <v/>
      </c>
      <c r="S227" s="22" t="str">
        <f t="shared" si="9"/>
        <v/>
      </c>
      <c r="T227" s="16" t="str">
        <f t="shared" si="10"/>
        <v/>
      </c>
      <c r="U227" s="23" t="str">
        <f t="shared" si="11"/>
        <v/>
      </c>
      <c r="V227" s="18"/>
    </row>
    <row r="228" spans="1:22" x14ac:dyDescent="0.45">
      <c r="A228" s="16" t="str">
        <f>IF(B228="","","LDX-"&amp;TEXT(B228,"yymmdd")&amp;"-"&amp;TEXT(COUNTIFS(B$5:B228,B228),"00"))</f>
        <v/>
      </c>
      <c r="B228" s="17"/>
      <c r="C228" s="18"/>
      <c r="D228" s="18"/>
      <c r="E228" s="18"/>
      <c r="F228" s="18"/>
      <c r="G228" s="18"/>
      <c r="H228" s="18"/>
      <c r="I228" s="18"/>
      <c r="J228" s="19"/>
      <c r="K228" s="20"/>
      <c r="L228" s="20"/>
      <c r="M228" s="19"/>
      <c r="N228" s="18"/>
      <c r="O228" s="18"/>
      <c r="P228" s="18"/>
      <c r="Q228" s="18"/>
      <c r="R228" s="21" t="str">
        <f>IF(C228="","",IFERROR(INDEX('THAM SỐ'!$F$5:$F$7,MATCH(C228,'THAM SỐ'!$A$5:$A$7,0)),""))</f>
        <v/>
      </c>
      <c r="S228" s="22" t="str">
        <f t="shared" si="9"/>
        <v/>
      </c>
      <c r="T228" s="16" t="str">
        <f t="shared" si="10"/>
        <v/>
      </c>
      <c r="U228" s="23" t="str">
        <f t="shared" si="11"/>
        <v/>
      </c>
      <c r="V228" s="18"/>
    </row>
    <row r="229" spans="1:22" x14ac:dyDescent="0.45">
      <c r="A229" s="16" t="str">
        <f>IF(B229="","","LDX-"&amp;TEXT(B229,"yymmdd")&amp;"-"&amp;TEXT(COUNTIFS(B$5:B229,B229),"00"))</f>
        <v/>
      </c>
      <c r="B229" s="17"/>
      <c r="C229" s="18"/>
      <c r="D229" s="18"/>
      <c r="E229" s="18"/>
      <c r="F229" s="18"/>
      <c r="G229" s="18"/>
      <c r="H229" s="18"/>
      <c r="I229" s="18"/>
      <c r="J229" s="19"/>
      <c r="K229" s="20"/>
      <c r="L229" s="20"/>
      <c r="M229" s="19"/>
      <c r="N229" s="18"/>
      <c r="O229" s="18"/>
      <c r="P229" s="18"/>
      <c r="Q229" s="18"/>
      <c r="R229" s="21" t="str">
        <f>IF(C229="","",IFERROR(INDEX('THAM SỐ'!$F$5:$F$7,MATCH(C229,'THAM SỐ'!$A$5:$A$7,0)),""))</f>
        <v/>
      </c>
      <c r="S229" s="22" t="str">
        <f t="shared" si="9"/>
        <v/>
      </c>
      <c r="T229" s="16" t="str">
        <f t="shared" si="10"/>
        <v/>
      </c>
      <c r="U229" s="23" t="str">
        <f t="shared" si="11"/>
        <v/>
      </c>
      <c r="V229" s="18"/>
    </row>
    <row r="230" spans="1:22" x14ac:dyDescent="0.45">
      <c r="A230" s="16" t="str">
        <f>IF(B230="","","LDX-"&amp;TEXT(B230,"yymmdd")&amp;"-"&amp;TEXT(COUNTIFS(B$5:B230,B230),"00"))</f>
        <v/>
      </c>
      <c r="B230" s="17"/>
      <c r="C230" s="18"/>
      <c r="D230" s="18"/>
      <c r="E230" s="18"/>
      <c r="F230" s="18"/>
      <c r="G230" s="18"/>
      <c r="H230" s="18"/>
      <c r="I230" s="18"/>
      <c r="J230" s="19"/>
      <c r="K230" s="20"/>
      <c r="L230" s="20"/>
      <c r="M230" s="19"/>
      <c r="N230" s="18"/>
      <c r="O230" s="18"/>
      <c r="P230" s="18"/>
      <c r="Q230" s="18"/>
      <c r="R230" s="21" t="str">
        <f>IF(C230="","",IFERROR(INDEX('THAM SỐ'!$F$5:$F$7,MATCH(C230,'THAM SỐ'!$A$5:$A$7,0)),""))</f>
        <v/>
      </c>
      <c r="S230" s="22" t="str">
        <f t="shared" si="9"/>
        <v/>
      </c>
      <c r="T230" s="16" t="str">
        <f t="shared" si="10"/>
        <v/>
      </c>
      <c r="U230" s="23" t="str">
        <f t="shared" si="11"/>
        <v/>
      </c>
      <c r="V230" s="18"/>
    </row>
    <row r="231" spans="1:22" x14ac:dyDescent="0.45">
      <c r="A231" s="16" t="str">
        <f>IF(B231="","","LDX-"&amp;TEXT(B231,"yymmdd")&amp;"-"&amp;TEXT(COUNTIFS(B$5:B231,B231),"00"))</f>
        <v/>
      </c>
      <c r="B231" s="17"/>
      <c r="C231" s="18"/>
      <c r="D231" s="18"/>
      <c r="E231" s="18"/>
      <c r="F231" s="18"/>
      <c r="G231" s="18"/>
      <c r="H231" s="18"/>
      <c r="I231" s="18"/>
      <c r="J231" s="19"/>
      <c r="K231" s="20"/>
      <c r="L231" s="20"/>
      <c r="M231" s="19"/>
      <c r="N231" s="18"/>
      <c r="O231" s="18"/>
      <c r="P231" s="18"/>
      <c r="Q231" s="18"/>
      <c r="R231" s="21" t="str">
        <f>IF(C231="","",IFERROR(INDEX('THAM SỐ'!$F$5:$F$7,MATCH(C231,'THAM SỐ'!$A$5:$A$7,0)),""))</f>
        <v/>
      </c>
      <c r="S231" s="22" t="str">
        <f t="shared" si="9"/>
        <v/>
      </c>
      <c r="T231" s="16" t="str">
        <f t="shared" si="10"/>
        <v/>
      </c>
      <c r="U231" s="23" t="str">
        <f t="shared" si="11"/>
        <v/>
      </c>
      <c r="V231" s="18"/>
    </row>
    <row r="232" spans="1:22" x14ac:dyDescent="0.45">
      <c r="A232" s="16" t="str">
        <f>IF(B232="","","LDX-"&amp;TEXT(B232,"yymmdd")&amp;"-"&amp;TEXT(COUNTIFS(B$5:B232,B232),"00"))</f>
        <v/>
      </c>
      <c r="B232" s="17"/>
      <c r="C232" s="18"/>
      <c r="D232" s="18"/>
      <c r="E232" s="18"/>
      <c r="F232" s="18"/>
      <c r="G232" s="18"/>
      <c r="H232" s="18"/>
      <c r="I232" s="18"/>
      <c r="J232" s="19"/>
      <c r="K232" s="20"/>
      <c r="L232" s="20"/>
      <c r="M232" s="19"/>
      <c r="N232" s="18"/>
      <c r="O232" s="18"/>
      <c r="P232" s="18"/>
      <c r="Q232" s="18"/>
      <c r="R232" s="21" t="str">
        <f>IF(C232="","",IFERROR(INDEX('THAM SỐ'!$F$5:$F$7,MATCH(C232,'THAM SỐ'!$A$5:$A$7,0)),""))</f>
        <v/>
      </c>
      <c r="S232" s="22" t="str">
        <f t="shared" si="9"/>
        <v/>
      </c>
      <c r="T232" s="16" t="str">
        <f t="shared" si="10"/>
        <v/>
      </c>
      <c r="U232" s="23" t="str">
        <f t="shared" si="11"/>
        <v/>
      </c>
      <c r="V232" s="18"/>
    </row>
    <row r="233" spans="1:22" x14ac:dyDescent="0.45">
      <c r="A233" s="16" t="str">
        <f>IF(B233="","","LDX-"&amp;TEXT(B233,"yymmdd")&amp;"-"&amp;TEXT(COUNTIFS(B$5:B233,B233),"00"))</f>
        <v/>
      </c>
      <c r="B233" s="17"/>
      <c r="C233" s="18"/>
      <c r="D233" s="18"/>
      <c r="E233" s="18"/>
      <c r="F233" s="18"/>
      <c r="G233" s="18"/>
      <c r="H233" s="18"/>
      <c r="I233" s="18"/>
      <c r="J233" s="19"/>
      <c r="K233" s="20"/>
      <c r="L233" s="20"/>
      <c r="M233" s="19"/>
      <c r="N233" s="18"/>
      <c r="O233" s="18"/>
      <c r="P233" s="18"/>
      <c r="Q233" s="18"/>
      <c r="R233" s="21" t="str">
        <f>IF(C233="","",IFERROR(INDEX('THAM SỐ'!$F$5:$F$7,MATCH(C233,'THAM SỐ'!$A$5:$A$7,0)),""))</f>
        <v/>
      </c>
      <c r="S233" s="22" t="str">
        <f t="shared" si="9"/>
        <v/>
      </c>
      <c r="T233" s="16" t="str">
        <f t="shared" si="10"/>
        <v/>
      </c>
      <c r="U233" s="23" t="str">
        <f t="shared" si="11"/>
        <v/>
      </c>
      <c r="V233" s="18"/>
    </row>
    <row r="234" spans="1:22" x14ac:dyDescent="0.45">
      <c r="A234" s="16" t="str">
        <f>IF(B234="","","LDX-"&amp;TEXT(B234,"yymmdd")&amp;"-"&amp;TEXT(COUNTIFS(B$5:B234,B234),"00"))</f>
        <v/>
      </c>
      <c r="B234" s="17"/>
      <c r="C234" s="18"/>
      <c r="D234" s="18"/>
      <c r="E234" s="18"/>
      <c r="F234" s="18"/>
      <c r="G234" s="18"/>
      <c r="H234" s="18"/>
      <c r="I234" s="18"/>
      <c r="J234" s="19"/>
      <c r="K234" s="20"/>
      <c r="L234" s="20"/>
      <c r="M234" s="19"/>
      <c r="N234" s="18"/>
      <c r="O234" s="18"/>
      <c r="P234" s="18"/>
      <c r="Q234" s="18"/>
      <c r="R234" s="21" t="str">
        <f>IF(C234="","",IFERROR(INDEX('THAM SỐ'!$F$5:$F$7,MATCH(C234,'THAM SỐ'!$A$5:$A$7,0)),""))</f>
        <v/>
      </c>
      <c r="S234" s="22" t="str">
        <f t="shared" si="9"/>
        <v/>
      </c>
      <c r="T234" s="16" t="str">
        <f t="shared" si="10"/>
        <v/>
      </c>
      <c r="U234" s="23" t="str">
        <f t="shared" si="11"/>
        <v/>
      </c>
      <c r="V234" s="18"/>
    </row>
    <row r="235" spans="1:22" x14ac:dyDescent="0.45">
      <c r="A235" s="16" t="str">
        <f>IF(B235="","","LDX-"&amp;TEXT(B235,"yymmdd")&amp;"-"&amp;TEXT(COUNTIFS(B$5:B235,B235),"00"))</f>
        <v/>
      </c>
      <c r="B235" s="17"/>
      <c r="C235" s="18"/>
      <c r="D235" s="18"/>
      <c r="E235" s="18"/>
      <c r="F235" s="18"/>
      <c r="G235" s="18"/>
      <c r="H235" s="18"/>
      <c r="I235" s="18"/>
      <c r="J235" s="19"/>
      <c r="K235" s="20"/>
      <c r="L235" s="20"/>
      <c r="M235" s="19"/>
      <c r="N235" s="18"/>
      <c r="O235" s="18"/>
      <c r="P235" s="18"/>
      <c r="Q235" s="18"/>
      <c r="R235" s="21" t="str">
        <f>IF(C235="","",IFERROR(INDEX('THAM SỐ'!$F$5:$F$7,MATCH(C235,'THAM SỐ'!$A$5:$A$7,0)),""))</f>
        <v/>
      </c>
      <c r="S235" s="22" t="str">
        <f t="shared" si="9"/>
        <v/>
      </c>
      <c r="T235" s="16" t="str">
        <f t="shared" si="10"/>
        <v/>
      </c>
      <c r="U235" s="23" t="str">
        <f t="shared" si="11"/>
        <v/>
      </c>
      <c r="V235" s="18"/>
    </row>
    <row r="236" spans="1:22" x14ac:dyDescent="0.45">
      <c r="A236" s="16" t="str">
        <f>IF(B236="","","LDX-"&amp;TEXT(B236,"yymmdd")&amp;"-"&amp;TEXT(COUNTIFS(B$5:B236,B236),"00"))</f>
        <v/>
      </c>
      <c r="B236" s="17"/>
      <c r="C236" s="18"/>
      <c r="D236" s="18"/>
      <c r="E236" s="18"/>
      <c r="F236" s="18"/>
      <c r="G236" s="18"/>
      <c r="H236" s="18"/>
      <c r="I236" s="18"/>
      <c r="J236" s="19"/>
      <c r="K236" s="20"/>
      <c r="L236" s="20"/>
      <c r="M236" s="19"/>
      <c r="N236" s="18"/>
      <c r="O236" s="18"/>
      <c r="P236" s="18"/>
      <c r="Q236" s="18"/>
      <c r="R236" s="21" t="str">
        <f>IF(C236="","",IFERROR(INDEX('THAM SỐ'!$F$5:$F$7,MATCH(C236,'THAM SỐ'!$A$5:$A$7,0)),""))</f>
        <v/>
      </c>
      <c r="S236" s="22" t="str">
        <f t="shared" si="9"/>
        <v/>
      </c>
      <c r="T236" s="16" t="str">
        <f t="shared" si="10"/>
        <v/>
      </c>
      <c r="U236" s="23" t="str">
        <f t="shared" si="11"/>
        <v/>
      </c>
      <c r="V236" s="18"/>
    </row>
    <row r="237" spans="1:22" x14ac:dyDescent="0.45">
      <c r="A237" s="16" t="str">
        <f>IF(B237="","","LDX-"&amp;TEXT(B237,"yymmdd")&amp;"-"&amp;TEXT(COUNTIFS(B$5:B237,B237),"00"))</f>
        <v/>
      </c>
      <c r="B237" s="17"/>
      <c r="C237" s="18"/>
      <c r="D237" s="18"/>
      <c r="E237" s="18"/>
      <c r="F237" s="18"/>
      <c r="G237" s="18"/>
      <c r="H237" s="18"/>
      <c r="I237" s="18"/>
      <c r="J237" s="19"/>
      <c r="K237" s="20"/>
      <c r="L237" s="20"/>
      <c r="M237" s="19"/>
      <c r="N237" s="18"/>
      <c r="O237" s="18"/>
      <c r="P237" s="18"/>
      <c r="Q237" s="18"/>
      <c r="R237" s="21" t="str">
        <f>IF(C237="","",IFERROR(INDEX('THAM SỐ'!$F$5:$F$7,MATCH(C237,'THAM SỐ'!$A$5:$A$7,0)),""))</f>
        <v/>
      </c>
      <c r="S237" s="22" t="str">
        <f t="shared" si="9"/>
        <v/>
      </c>
      <c r="T237" s="16" t="str">
        <f t="shared" si="10"/>
        <v/>
      </c>
      <c r="U237" s="23" t="str">
        <f t="shared" si="11"/>
        <v/>
      </c>
      <c r="V237" s="18"/>
    </row>
    <row r="238" spans="1:22" x14ac:dyDescent="0.45">
      <c r="A238" s="16" t="str">
        <f>IF(B238="","","LDX-"&amp;TEXT(B238,"yymmdd")&amp;"-"&amp;TEXT(COUNTIFS(B$5:B238,B238),"00"))</f>
        <v/>
      </c>
      <c r="B238" s="17"/>
      <c r="C238" s="18"/>
      <c r="D238" s="18"/>
      <c r="E238" s="18"/>
      <c r="F238" s="18"/>
      <c r="G238" s="18"/>
      <c r="H238" s="18"/>
      <c r="I238" s="18"/>
      <c r="J238" s="19"/>
      <c r="K238" s="20"/>
      <c r="L238" s="20"/>
      <c r="M238" s="19"/>
      <c r="N238" s="18"/>
      <c r="O238" s="18"/>
      <c r="P238" s="18"/>
      <c r="Q238" s="18"/>
      <c r="R238" s="21" t="str">
        <f>IF(C238="","",IFERROR(INDEX('THAM SỐ'!$F$5:$F$7,MATCH(C238,'THAM SỐ'!$A$5:$A$7,0)),""))</f>
        <v/>
      </c>
      <c r="S238" s="22" t="str">
        <f t="shared" si="9"/>
        <v/>
      </c>
      <c r="T238" s="16" t="str">
        <f t="shared" si="10"/>
        <v/>
      </c>
      <c r="U238" s="23" t="str">
        <f t="shared" si="11"/>
        <v/>
      </c>
      <c r="V238" s="18"/>
    </row>
    <row r="239" spans="1:22" x14ac:dyDescent="0.45">
      <c r="A239" s="16" t="str">
        <f>IF(B239="","","LDX-"&amp;TEXT(B239,"yymmdd")&amp;"-"&amp;TEXT(COUNTIFS(B$5:B239,B239),"00"))</f>
        <v/>
      </c>
      <c r="B239" s="17"/>
      <c r="C239" s="18"/>
      <c r="D239" s="18"/>
      <c r="E239" s="18"/>
      <c r="F239" s="18"/>
      <c r="G239" s="18"/>
      <c r="H239" s="18"/>
      <c r="I239" s="18"/>
      <c r="J239" s="19"/>
      <c r="K239" s="20"/>
      <c r="L239" s="20"/>
      <c r="M239" s="19"/>
      <c r="N239" s="18"/>
      <c r="O239" s="18"/>
      <c r="P239" s="18"/>
      <c r="Q239" s="18"/>
      <c r="R239" s="21" t="str">
        <f>IF(C239="","",IFERROR(INDEX('THAM SỐ'!$F$5:$F$7,MATCH(C239,'THAM SỐ'!$A$5:$A$7,0)),""))</f>
        <v/>
      </c>
      <c r="S239" s="22" t="str">
        <f t="shared" si="9"/>
        <v/>
      </c>
      <c r="T239" s="16" t="str">
        <f t="shared" si="10"/>
        <v/>
      </c>
      <c r="U239" s="23" t="str">
        <f t="shared" si="11"/>
        <v/>
      </c>
      <c r="V239" s="18"/>
    </row>
    <row r="240" spans="1:22" x14ac:dyDescent="0.45">
      <c r="A240" s="16" t="str">
        <f>IF(B240="","","LDX-"&amp;TEXT(B240,"yymmdd")&amp;"-"&amp;TEXT(COUNTIFS(B$5:B240,B240),"00"))</f>
        <v/>
      </c>
      <c r="B240" s="17"/>
      <c r="C240" s="18"/>
      <c r="D240" s="18"/>
      <c r="E240" s="18"/>
      <c r="F240" s="18"/>
      <c r="G240" s="18"/>
      <c r="H240" s="18"/>
      <c r="I240" s="18"/>
      <c r="J240" s="19"/>
      <c r="K240" s="20"/>
      <c r="L240" s="20"/>
      <c r="M240" s="19"/>
      <c r="N240" s="18"/>
      <c r="O240" s="18"/>
      <c r="P240" s="18"/>
      <c r="Q240" s="18"/>
      <c r="R240" s="21" t="str">
        <f>IF(C240="","",IFERROR(INDEX('THAM SỐ'!$F$5:$F$7,MATCH(C240,'THAM SỐ'!$A$5:$A$7,0)),""))</f>
        <v/>
      </c>
      <c r="S240" s="22" t="str">
        <f t="shared" si="9"/>
        <v/>
      </c>
      <c r="T240" s="16" t="str">
        <f t="shared" si="10"/>
        <v/>
      </c>
      <c r="U240" s="23" t="str">
        <f t="shared" si="11"/>
        <v/>
      </c>
      <c r="V240" s="18"/>
    </row>
    <row r="241" spans="1:22" x14ac:dyDescent="0.45">
      <c r="A241" s="16" t="str">
        <f>IF(B241="","","LDX-"&amp;TEXT(B241,"yymmdd")&amp;"-"&amp;TEXT(COUNTIFS(B$5:B241,B241),"00"))</f>
        <v/>
      </c>
      <c r="B241" s="17"/>
      <c r="C241" s="18"/>
      <c r="D241" s="18"/>
      <c r="E241" s="18"/>
      <c r="F241" s="18"/>
      <c r="G241" s="18"/>
      <c r="H241" s="18"/>
      <c r="I241" s="18"/>
      <c r="J241" s="19"/>
      <c r="K241" s="20"/>
      <c r="L241" s="20"/>
      <c r="M241" s="19"/>
      <c r="N241" s="18"/>
      <c r="O241" s="18"/>
      <c r="P241" s="18"/>
      <c r="Q241" s="18"/>
      <c r="R241" s="21" t="str">
        <f>IF(C241="","",IFERROR(INDEX('THAM SỐ'!$F$5:$F$7,MATCH(C241,'THAM SỐ'!$A$5:$A$7,0)),""))</f>
        <v/>
      </c>
      <c r="S241" s="22" t="str">
        <f t="shared" si="9"/>
        <v/>
      </c>
      <c r="T241" s="16" t="str">
        <f t="shared" si="10"/>
        <v/>
      </c>
      <c r="U241" s="23" t="str">
        <f t="shared" si="11"/>
        <v/>
      </c>
      <c r="V241" s="18"/>
    </row>
    <row r="242" spans="1:22" x14ac:dyDescent="0.45">
      <c r="A242" s="16" t="str">
        <f>IF(B242="","","LDX-"&amp;TEXT(B242,"yymmdd")&amp;"-"&amp;TEXT(COUNTIFS(B$5:B242,B242),"00"))</f>
        <v/>
      </c>
      <c r="B242" s="17"/>
      <c r="C242" s="18"/>
      <c r="D242" s="18"/>
      <c r="E242" s="18"/>
      <c r="F242" s="18"/>
      <c r="G242" s="18"/>
      <c r="H242" s="18"/>
      <c r="I242" s="18"/>
      <c r="J242" s="19"/>
      <c r="K242" s="20"/>
      <c r="L242" s="20"/>
      <c r="M242" s="19"/>
      <c r="N242" s="18"/>
      <c r="O242" s="18"/>
      <c r="P242" s="18"/>
      <c r="Q242" s="18"/>
      <c r="R242" s="21" t="str">
        <f>IF(C242="","",IFERROR(INDEX('THAM SỐ'!$F$5:$F$7,MATCH(C242,'THAM SỐ'!$A$5:$A$7,0)),""))</f>
        <v/>
      </c>
      <c r="S242" s="22" t="str">
        <f t="shared" si="9"/>
        <v/>
      </c>
      <c r="T242" s="16" t="str">
        <f t="shared" si="10"/>
        <v/>
      </c>
      <c r="U242" s="23" t="str">
        <f t="shared" si="11"/>
        <v/>
      </c>
      <c r="V242" s="18"/>
    </row>
    <row r="243" spans="1:22" x14ac:dyDescent="0.45">
      <c r="A243" s="16" t="str">
        <f>IF(B243="","","LDX-"&amp;TEXT(B243,"yymmdd")&amp;"-"&amp;TEXT(COUNTIFS(B$5:B243,B243),"00"))</f>
        <v/>
      </c>
      <c r="B243" s="17"/>
      <c r="C243" s="18"/>
      <c r="D243" s="18"/>
      <c r="E243" s="18"/>
      <c r="F243" s="18"/>
      <c r="G243" s="18"/>
      <c r="H243" s="18"/>
      <c r="I243" s="18"/>
      <c r="J243" s="19"/>
      <c r="K243" s="20"/>
      <c r="L243" s="20"/>
      <c r="M243" s="19"/>
      <c r="N243" s="18"/>
      <c r="O243" s="18"/>
      <c r="P243" s="18"/>
      <c r="Q243" s="18"/>
      <c r="R243" s="21" t="str">
        <f>IF(C243="","",IFERROR(INDEX('THAM SỐ'!$F$5:$F$7,MATCH(C243,'THAM SỐ'!$A$5:$A$7,0)),""))</f>
        <v/>
      </c>
      <c r="S243" s="22" t="str">
        <f t="shared" si="9"/>
        <v/>
      </c>
      <c r="T243" s="16" t="str">
        <f t="shared" si="10"/>
        <v/>
      </c>
      <c r="U243" s="23" t="str">
        <f t="shared" si="11"/>
        <v/>
      </c>
      <c r="V243" s="18"/>
    </row>
    <row r="244" spans="1:22" x14ac:dyDescent="0.45">
      <c r="A244" s="16" t="str">
        <f>IF(B244="","","LDX-"&amp;TEXT(B244,"yymmdd")&amp;"-"&amp;TEXT(COUNTIFS(B$5:B244,B244),"00"))</f>
        <v/>
      </c>
      <c r="B244" s="17"/>
      <c r="C244" s="18"/>
      <c r="D244" s="18"/>
      <c r="E244" s="18"/>
      <c r="F244" s="18"/>
      <c r="G244" s="18"/>
      <c r="H244" s="18"/>
      <c r="I244" s="18"/>
      <c r="J244" s="19"/>
      <c r="K244" s="20"/>
      <c r="L244" s="20"/>
      <c r="M244" s="19"/>
      <c r="N244" s="18"/>
      <c r="O244" s="18"/>
      <c r="P244" s="18"/>
      <c r="Q244" s="18"/>
      <c r="R244" s="21" t="str">
        <f>IF(C244="","",IFERROR(INDEX('THAM SỐ'!$F$5:$F$7,MATCH(C244,'THAM SỐ'!$A$5:$A$7,0)),""))</f>
        <v/>
      </c>
      <c r="S244" s="22" t="str">
        <f t="shared" si="9"/>
        <v/>
      </c>
      <c r="T244" s="16" t="str">
        <f t="shared" si="10"/>
        <v/>
      </c>
      <c r="U244" s="23" t="str">
        <f t="shared" si="11"/>
        <v/>
      </c>
      <c r="V244" s="18"/>
    </row>
    <row r="245" spans="1:22" x14ac:dyDescent="0.45">
      <c r="A245" s="16" t="str">
        <f>IF(B245="","","LDX-"&amp;TEXT(B245,"yymmdd")&amp;"-"&amp;TEXT(COUNTIFS(B$5:B245,B245),"00"))</f>
        <v/>
      </c>
      <c r="B245" s="17"/>
      <c r="C245" s="18"/>
      <c r="D245" s="18"/>
      <c r="E245" s="18"/>
      <c r="F245" s="18"/>
      <c r="G245" s="18"/>
      <c r="H245" s="18"/>
      <c r="I245" s="18"/>
      <c r="J245" s="19"/>
      <c r="K245" s="20"/>
      <c r="L245" s="20"/>
      <c r="M245" s="19"/>
      <c r="N245" s="18"/>
      <c r="O245" s="18"/>
      <c r="P245" s="18"/>
      <c r="Q245" s="18"/>
      <c r="R245" s="21" t="str">
        <f>IF(C245="","",IFERROR(INDEX('THAM SỐ'!$F$5:$F$7,MATCH(C245,'THAM SỐ'!$A$5:$A$7,0)),""))</f>
        <v/>
      </c>
      <c r="S245" s="22" t="str">
        <f t="shared" si="9"/>
        <v/>
      </c>
      <c r="T245" s="16" t="str">
        <f t="shared" si="10"/>
        <v/>
      </c>
      <c r="U245" s="23" t="str">
        <f t="shared" si="11"/>
        <v/>
      </c>
      <c r="V245" s="18"/>
    </row>
    <row r="246" spans="1:22" x14ac:dyDescent="0.45">
      <c r="A246" s="16" t="str">
        <f>IF(B246="","","LDX-"&amp;TEXT(B246,"yymmdd")&amp;"-"&amp;TEXT(COUNTIFS(B$5:B246,B246),"00"))</f>
        <v/>
      </c>
      <c r="B246" s="17"/>
      <c r="C246" s="18"/>
      <c r="D246" s="18"/>
      <c r="E246" s="18"/>
      <c r="F246" s="18"/>
      <c r="G246" s="18"/>
      <c r="H246" s="18"/>
      <c r="I246" s="18"/>
      <c r="J246" s="19"/>
      <c r="K246" s="20"/>
      <c r="L246" s="20"/>
      <c r="M246" s="19"/>
      <c r="N246" s="18"/>
      <c r="O246" s="18"/>
      <c r="P246" s="18"/>
      <c r="Q246" s="18"/>
      <c r="R246" s="21" t="str">
        <f>IF(C246="","",IFERROR(INDEX('THAM SỐ'!$F$5:$F$7,MATCH(C246,'THAM SỐ'!$A$5:$A$7,0)),""))</f>
        <v/>
      </c>
      <c r="S246" s="22" t="str">
        <f t="shared" si="9"/>
        <v/>
      </c>
      <c r="T246" s="16" t="str">
        <f t="shared" si="10"/>
        <v/>
      </c>
      <c r="U246" s="23" t="str">
        <f t="shared" si="11"/>
        <v/>
      </c>
      <c r="V246" s="18"/>
    </row>
    <row r="247" spans="1:22" x14ac:dyDescent="0.45">
      <c r="A247" s="16" t="str">
        <f>IF(B247="","","LDX-"&amp;TEXT(B247,"yymmdd")&amp;"-"&amp;TEXT(COUNTIFS(B$5:B247,B247),"00"))</f>
        <v/>
      </c>
      <c r="B247" s="17"/>
      <c r="C247" s="18"/>
      <c r="D247" s="18"/>
      <c r="E247" s="18"/>
      <c r="F247" s="18"/>
      <c r="G247" s="18"/>
      <c r="H247" s="18"/>
      <c r="I247" s="18"/>
      <c r="J247" s="19"/>
      <c r="K247" s="20"/>
      <c r="L247" s="20"/>
      <c r="M247" s="19"/>
      <c r="N247" s="18"/>
      <c r="O247" s="18"/>
      <c r="P247" s="18"/>
      <c r="Q247" s="18"/>
      <c r="R247" s="21" t="str">
        <f>IF(C247="","",IFERROR(INDEX('THAM SỐ'!$F$5:$F$7,MATCH(C247,'THAM SỐ'!$A$5:$A$7,0)),""))</f>
        <v/>
      </c>
      <c r="S247" s="22" t="str">
        <f t="shared" si="9"/>
        <v/>
      </c>
      <c r="T247" s="16" t="str">
        <f t="shared" si="10"/>
        <v/>
      </c>
      <c r="U247" s="23" t="str">
        <f t="shared" si="11"/>
        <v/>
      </c>
      <c r="V247" s="18"/>
    </row>
    <row r="248" spans="1:22" x14ac:dyDescent="0.45">
      <c r="A248" s="16" t="str">
        <f>IF(B248="","","LDX-"&amp;TEXT(B248,"yymmdd")&amp;"-"&amp;TEXT(COUNTIFS(B$5:B248,B248),"00"))</f>
        <v/>
      </c>
      <c r="B248" s="17"/>
      <c r="C248" s="18"/>
      <c r="D248" s="18"/>
      <c r="E248" s="18"/>
      <c r="F248" s="18"/>
      <c r="G248" s="18"/>
      <c r="H248" s="18"/>
      <c r="I248" s="18"/>
      <c r="J248" s="19"/>
      <c r="K248" s="20"/>
      <c r="L248" s="20"/>
      <c r="M248" s="19"/>
      <c r="N248" s="18"/>
      <c r="O248" s="18"/>
      <c r="P248" s="18"/>
      <c r="Q248" s="18"/>
      <c r="R248" s="21" t="str">
        <f>IF(C248="","",IFERROR(INDEX('THAM SỐ'!$F$5:$F$7,MATCH(C248,'THAM SỐ'!$A$5:$A$7,0)),""))</f>
        <v/>
      </c>
      <c r="S248" s="22" t="str">
        <f t="shared" si="9"/>
        <v/>
      </c>
      <c r="T248" s="16" t="str">
        <f t="shared" si="10"/>
        <v/>
      </c>
      <c r="U248" s="23" t="str">
        <f t="shared" si="11"/>
        <v/>
      </c>
      <c r="V248" s="18"/>
    </row>
    <row r="249" spans="1:22" x14ac:dyDescent="0.45">
      <c r="A249" s="16" t="str">
        <f>IF(B249="","","LDX-"&amp;TEXT(B249,"yymmdd")&amp;"-"&amp;TEXT(COUNTIFS(B$5:B249,B249),"00"))</f>
        <v/>
      </c>
      <c r="B249" s="17"/>
      <c r="C249" s="18"/>
      <c r="D249" s="18"/>
      <c r="E249" s="18"/>
      <c r="F249" s="18"/>
      <c r="G249" s="18"/>
      <c r="H249" s="18"/>
      <c r="I249" s="18"/>
      <c r="J249" s="19"/>
      <c r="K249" s="20"/>
      <c r="L249" s="20"/>
      <c r="M249" s="19"/>
      <c r="N249" s="18"/>
      <c r="O249" s="18"/>
      <c r="P249" s="18"/>
      <c r="Q249" s="18"/>
      <c r="R249" s="21" t="str">
        <f>IF(C249="","",IFERROR(INDEX('THAM SỐ'!$F$5:$F$7,MATCH(C249,'THAM SỐ'!$A$5:$A$7,0)),""))</f>
        <v/>
      </c>
      <c r="S249" s="22" t="str">
        <f t="shared" si="9"/>
        <v/>
      </c>
      <c r="T249" s="16" t="str">
        <f t="shared" si="10"/>
        <v/>
      </c>
      <c r="U249" s="23" t="str">
        <f t="shared" si="11"/>
        <v/>
      </c>
      <c r="V249" s="18"/>
    </row>
    <row r="250" spans="1:22" x14ac:dyDescent="0.45">
      <c r="A250" s="16" t="str">
        <f>IF(B250="","","LDX-"&amp;TEXT(B250,"yymmdd")&amp;"-"&amp;TEXT(COUNTIFS(B$5:B250,B250),"00"))</f>
        <v/>
      </c>
      <c r="B250" s="17"/>
      <c r="C250" s="18"/>
      <c r="D250" s="18"/>
      <c r="E250" s="18"/>
      <c r="F250" s="18"/>
      <c r="G250" s="18"/>
      <c r="H250" s="18"/>
      <c r="I250" s="18"/>
      <c r="J250" s="19"/>
      <c r="K250" s="20"/>
      <c r="L250" s="20"/>
      <c r="M250" s="19"/>
      <c r="N250" s="18"/>
      <c r="O250" s="18"/>
      <c r="P250" s="18"/>
      <c r="Q250" s="18"/>
      <c r="R250" s="21" t="str">
        <f>IF(C250="","",IFERROR(INDEX('THAM SỐ'!$F$5:$F$7,MATCH(C250,'THAM SỐ'!$A$5:$A$7,0)),""))</f>
        <v/>
      </c>
      <c r="S250" s="22" t="str">
        <f t="shared" si="9"/>
        <v/>
      </c>
      <c r="T250" s="16" t="str">
        <f t="shared" si="10"/>
        <v/>
      </c>
      <c r="U250" s="23" t="str">
        <f t="shared" si="11"/>
        <v/>
      </c>
      <c r="V250" s="18"/>
    </row>
    <row r="251" spans="1:22" x14ac:dyDescent="0.45">
      <c r="A251" s="16" t="str">
        <f>IF(B251="","","LDX-"&amp;TEXT(B251,"yymmdd")&amp;"-"&amp;TEXT(COUNTIFS(B$5:B251,B251),"00"))</f>
        <v/>
      </c>
      <c r="B251" s="17"/>
      <c r="C251" s="18"/>
      <c r="D251" s="18"/>
      <c r="E251" s="18"/>
      <c r="F251" s="18"/>
      <c r="G251" s="18"/>
      <c r="H251" s="18"/>
      <c r="I251" s="18"/>
      <c r="J251" s="19"/>
      <c r="K251" s="20"/>
      <c r="L251" s="20"/>
      <c r="M251" s="19"/>
      <c r="N251" s="18"/>
      <c r="O251" s="18"/>
      <c r="P251" s="18"/>
      <c r="Q251" s="18"/>
      <c r="R251" s="21" t="str">
        <f>IF(C251="","",IFERROR(INDEX('THAM SỐ'!$F$5:$F$7,MATCH(C251,'THAM SỐ'!$A$5:$A$7,0)),""))</f>
        <v/>
      </c>
      <c r="S251" s="22" t="str">
        <f t="shared" si="9"/>
        <v/>
      </c>
      <c r="T251" s="16" t="str">
        <f t="shared" si="10"/>
        <v/>
      </c>
      <c r="U251" s="23" t="str">
        <f t="shared" si="11"/>
        <v/>
      </c>
      <c r="V251" s="18"/>
    </row>
    <row r="252" spans="1:22" x14ac:dyDescent="0.45">
      <c r="A252" s="16" t="str">
        <f>IF(B252="","","LDX-"&amp;TEXT(B252,"yymmdd")&amp;"-"&amp;TEXT(COUNTIFS(B$5:B252,B252),"00"))</f>
        <v/>
      </c>
      <c r="B252" s="17"/>
      <c r="C252" s="18"/>
      <c r="D252" s="18"/>
      <c r="E252" s="18"/>
      <c r="F252" s="18"/>
      <c r="G252" s="18"/>
      <c r="H252" s="18"/>
      <c r="I252" s="18"/>
      <c r="J252" s="19"/>
      <c r="K252" s="20"/>
      <c r="L252" s="20"/>
      <c r="M252" s="19"/>
      <c r="N252" s="18"/>
      <c r="O252" s="18"/>
      <c r="P252" s="18"/>
      <c r="Q252" s="18"/>
      <c r="R252" s="21" t="str">
        <f>IF(C252="","",IFERROR(INDEX('THAM SỐ'!$F$5:$F$7,MATCH(C252,'THAM SỐ'!$A$5:$A$7,0)),""))</f>
        <v/>
      </c>
      <c r="S252" s="22" t="str">
        <f t="shared" si="9"/>
        <v/>
      </c>
      <c r="T252" s="16" t="str">
        <f t="shared" si="10"/>
        <v/>
      </c>
      <c r="U252" s="23" t="str">
        <f t="shared" si="11"/>
        <v/>
      </c>
      <c r="V252" s="18"/>
    </row>
    <row r="253" spans="1:22" x14ac:dyDescent="0.45">
      <c r="A253" s="16" t="str">
        <f>IF(B253="","","LDX-"&amp;TEXT(B253,"yymmdd")&amp;"-"&amp;TEXT(COUNTIFS(B$5:B253,B253),"00"))</f>
        <v/>
      </c>
      <c r="B253" s="17"/>
      <c r="C253" s="18"/>
      <c r="D253" s="18"/>
      <c r="E253" s="18"/>
      <c r="F253" s="18"/>
      <c r="G253" s="18"/>
      <c r="H253" s="18"/>
      <c r="I253" s="18"/>
      <c r="J253" s="19"/>
      <c r="K253" s="20"/>
      <c r="L253" s="20"/>
      <c r="M253" s="19"/>
      <c r="N253" s="18"/>
      <c r="O253" s="18"/>
      <c r="P253" s="18"/>
      <c r="Q253" s="18"/>
      <c r="R253" s="21" t="str">
        <f>IF(C253="","",IFERROR(INDEX('THAM SỐ'!$F$5:$F$7,MATCH(C253,'THAM SỐ'!$A$5:$A$7,0)),""))</f>
        <v/>
      </c>
      <c r="S253" s="22" t="str">
        <f t="shared" si="9"/>
        <v/>
      </c>
      <c r="T253" s="16" t="str">
        <f t="shared" si="10"/>
        <v/>
      </c>
      <c r="U253" s="23" t="str">
        <f t="shared" si="11"/>
        <v/>
      </c>
      <c r="V253" s="18"/>
    </row>
    <row r="254" spans="1:22" x14ac:dyDescent="0.45">
      <c r="A254" s="16" t="str">
        <f>IF(B254="","","LDX-"&amp;TEXT(B254,"yymmdd")&amp;"-"&amp;TEXT(COUNTIFS(B$5:B254,B254),"00"))</f>
        <v/>
      </c>
      <c r="B254" s="17"/>
      <c r="C254" s="18"/>
      <c r="D254" s="18"/>
      <c r="E254" s="18"/>
      <c r="F254" s="18"/>
      <c r="G254" s="18"/>
      <c r="H254" s="18"/>
      <c r="I254" s="18"/>
      <c r="J254" s="19"/>
      <c r="K254" s="20"/>
      <c r="L254" s="20"/>
      <c r="M254" s="19"/>
      <c r="N254" s="18"/>
      <c r="O254" s="18"/>
      <c r="P254" s="18"/>
      <c r="Q254" s="18"/>
      <c r="R254" s="21" t="str">
        <f>IF(C254="","",IFERROR(INDEX('THAM SỐ'!$F$5:$F$7,MATCH(C254,'THAM SỐ'!$A$5:$A$7,0)),""))</f>
        <v/>
      </c>
      <c r="S254" s="22" t="str">
        <f t="shared" si="9"/>
        <v/>
      </c>
      <c r="T254" s="16" t="str">
        <f t="shared" si="10"/>
        <v/>
      </c>
      <c r="U254" s="23" t="str">
        <f t="shared" si="11"/>
        <v/>
      </c>
      <c r="V254" s="18"/>
    </row>
    <row r="255" spans="1:22" x14ac:dyDescent="0.45">
      <c r="A255" s="16" t="str">
        <f>IF(B255="","","LDX-"&amp;TEXT(B255,"yymmdd")&amp;"-"&amp;TEXT(COUNTIFS(B$5:B255,B255),"00"))</f>
        <v/>
      </c>
      <c r="B255" s="17"/>
      <c r="C255" s="18"/>
      <c r="D255" s="18"/>
      <c r="E255" s="18"/>
      <c r="F255" s="18"/>
      <c r="G255" s="18"/>
      <c r="H255" s="18"/>
      <c r="I255" s="18"/>
      <c r="J255" s="19"/>
      <c r="K255" s="20"/>
      <c r="L255" s="20"/>
      <c r="M255" s="19"/>
      <c r="N255" s="18"/>
      <c r="O255" s="18"/>
      <c r="P255" s="18"/>
      <c r="Q255" s="18"/>
      <c r="R255" s="21" t="str">
        <f>IF(C255="","",IFERROR(INDEX('THAM SỐ'!$F$5:$F$7,MATCH(C255,'THAM SỐ'!$A$5:$A$7,0)),""))</f>
        <v/>
      </c>
      <c r="S255" s="22" t="str">
        <f t="shared" si="9"/>
        <v/>
      </c>
      <c r="T255" s="16" t="str">
        <f t="shared" si="10"/>
        <v/>
      </c>
      <c r="U255" s="23" t="str">
        <f t="shared" si="11"/>
        <v/>
      </c>
      <c r="V255" s="18"/>
    </row>
    <row r="256" spans="1:22" x14ac:dyDescent="0.45">
      <c r="A256" s="16" t="str">
        <f>IF(B256="","","LDX-"&amp;TEXT(B256,"yymmdd")&amp;"-"&amp;TEXT(COUNTIFS(B$5:B256,B256),"00"))</f>
        <v/>
      </c>
      <c r="B256" s="17"/>
      <c r="C256" s="18"/>
      <c r="D256" s="18"/>
      <c r="E256" s="18"/>
      <c r="F256" s="18"/>
      <c r="G256" s="18"/>
      <c r="H256" s="18"/>
      <c r="I256" s="18"/>
      <c r="J256" s="19"/>
      <c r="K256" s="20"/>
      <c r="L256" s="20"/>
      <c r="M256" s="19"/>
      <c r="N256" s="18"/>
      <c r="O256" s="18"/>
      <c r="P256" s="18"/>
      <c r="Q256" s="18"/>
      <c r="R256" s="21" t="str">
        <f>IF(C256="","",IFERROR(INDEX('THAM SỐ'!$F$5:$F$7,MATCH(C256,'THAM SỐ'!$A$5:$A$7,0)),""))</f>
        <v/>
      </c>
      <c r="S256" s="22" t="str">
        <f t="shared" si="9"/>
        <v/>
      </c>
      <c r="T256" s="16" t="str">
        <f t="shared" si="10"/>
        <v/>
      </c>
      <c r="U256" s="23" t="str">
        <f t="shared" si="11"/>
        <v/>
      </c>
      <c r="V256" s="18"/>
    </row>
    <row r="257" spans="1:22" x14ac:dyDescent="0.45">
      <c r="A257" s="16" t="str">
        <f>IF(B257="","","LDX-"&amp;TEXT(B257,"yymmdd")&amp;"-"&amp;TEXT(COUNTIFS(B$5:B257,B257),"00"))</f>
        <v/>
      </c>
      <c r="B257" s="17"/>
      <c r="C257" s="18"/>
      <c r="D257" s="18"/>
      <c r="E257" s="18"/>
      <c r="F257" s="18"/>
      <c r="G257" s="18"/>
      <c r="H257" s="18"/>
      <c r="I257" s="18"/>
      <c r="J257" s="19"/>
      <c r="K257" s="20"/>
      <c r="L257" s="20"/>
      <c r="M257" s="19"/>
      <c r="N257" s="18"/>
      <c r="O257" s="18"/>
      <c r="P257" s="18"/>
      <c r="Q257" s="18"/>
      <c r="R257" s="21" t="str">
        <f>IF(C257="","",IFERROR(INDEX('THAM SỐ'!$F$5:$F$7,MATCH(C257,'THAM SỐ'!$A$5:$A$7,0)),""))</f>
        <v/>
      </c>
      <c r="S257" s="22" t="str">
        <f t="shared" si="9"/>
        <v/>
      </c>
      <c r="T257" s="16" t="str">
        <f t="shared" si="10"/>
        <v/>
      </c>
      <c r="U257" s="23" t="str">
        <f t="shared" si="11"/>
        <v/>
      </c>
      <c r="V257" s="18"/>
    </row>
    <row r="258" spans="1:22" x14ac:dyDescent="0.45">
      <c r="A258" s="16" t="str">
        <f>IF(B258="","","LDX-"&amp;TEXT(B258,"yymmdd")&amp;"-"&amp;TEXT(COUNTIFS(B$5:B258,B258),"00"))</f>
        <v/>
      </c>
      <c r="B258" s="17"/>
      <c r="C258" s="18"/>
      <c r="D258" s="18"/>
      <c r="E258" s="18"/>
      <c r="F258" s="18"/>
      <c r="G258" s="18"/>
      <c r="H258" s="18"/>
      <c r="I258" s="18"/>
      <c r="J258" s="19"/>
      <c r="K258" s="20"/>
      <c r="L258" s="20"/>
      <c r="M258" s="19"/>
      <c r="N258" s="18"/>
      <c r="O258" s="18"/>
      <c r="P258" s="18"/>
      <c r="Q258" s="18"/>
      <c r="R258" s="21" t="str">
        <f>IF(C258="","",IFERROR(INDEX('THAM SỐ'!$F$5:$F$7,MATCH(C258,'THAM SỐ'!$A$5:$A$7,0)),""))</f>
        <v/>
      </c>
      <c r="S258" s="22" t="str">
        <f t="shared" si="9"/>
        <v/>
      </c>
      <c r="T258" s="16" t="str">
        <f t="shared" si="10"/>
        <v/>
      </c>
      <c r="U258" s="23" t="str">
        <f t="shared" si="11"/>
        <v/>
      </c>
      <c r="V258" s="18"/>
    </row>
    <row r="259" spans="1:22" x14ac:dyDescent="0.45">
      <c r="A259" s="16" t="str">
        <f>IF(B259="","","LDX-"&amp;TEXT(B259,"yymmdd")&amp;"-"&amp;TEXT(COUNTIFS(B$5:B259,B259),"00"))</f>
        <v/>
      </c>
      <c r="B259" s="17"/>
      <c r="C259" s="18"/>
      <c r="D259" s="18"/>
      <c r="E259" s="18"/>
      <c r="F259" s="18"/>
      <c r="G259" s="18"/>
      <c r="H259" s="18"/>
      <c r="I259" s="18"/>
      <c r="J259" s="19"/>
      <c r="K259" s="20"/>
      <c r="L259" s="20"/>
      <c r="M259" s="19"/>
      <c r="N259" s="18"/>
      <c r="O259" s="18"/>
      <c r="P259" s="18"/>
      <c r="Q259" s="18"/>
      <c r="R259" s="21" t="str">
        <f>IF(C259="","",IFERROR(INDEX('THAM SỐ'!$F$5:$F$7,MATCH(C259,'THAM SỐ'!$A$5:$A$7,0)),""))</f>
        <v/>
      </c>
      <c r="S259" s="22" t="str">
        <f t="shared" si="9"/>
        <v/>
      </c>
      <c r="T259" s="16" t="str">
        <f t="shared" si="10"/>
        <v/>
      </c>
      <c r="U259" s="23" t="str">
        <f t="shared" si="11"/>
        <v/>
      </c>
      <c r="V259" s="18"/>
    </row>
    <row r="260" spans="1:22" x14ac:dyDescent="0.45">
      <c r="A260" s="16" t="str">
        <f>IF(B260="","","LDX-"&amp;TEXT(B260,"yymmdd")&amp;"-"&amp;TEXT(COUNTIFS(B$5:B260,B260),"00"))</f>
        <v/>
      </c>
      <c r="B260" s="17"/>
      <c r="C260" s="18"/>
      <c r="D260" s="18"/>
      <c r="E260" s="18"/>
      <c r="F260" s="18"/>
      <c r="G260" s="18"/>
      <c r="H260" s="18"/>
      <c r="I260" s="18"/>
      <c r="J260" s="19"/>
      <c r="K260" s="20"/>
      <c r="L260" s="20"/>
      <c r="M260" s="19"/>
      <c r="N260" s="18"/>
      <c r="O260" s="18"/>
      <c r="P260" s="18"/>
      <c r="Q260" s="18"/>
      <c r="R260" s="21" t="str">
        <f>IF(C260="","",IFERROR(INDEX('THAM SỐ'!$F$5:$F$7,MATCH(C260,'THAM SỐ'!$A$5:$A$7,0)),""))</f>
        <v/>
      </c>
      <c r="S260" s="22" t="str">
        <f t="shared" si="9"/>
        <v/>
      </c>
      <c r="T260" s="16" t="str">
        <f t="shared" si="10"/>
        <v/>
      </c>
      <c r="U260" s="23" t="str">
        <f t="shared" si="11"/>
        <v/>
      </c>
      <c r="V260" s="18"/>
    </row>
    <row r="261" spans="1:22" x14ac:dyDescent="0.45">
      <c r="A261" s="16" t="str">
        <f>IF(B261="","","LDX-"&amp;TEXT(B261,"yymmdd")&amp;"-"&amp;TEXT(COUNTIFS(B$5:B261,B261),"00"))</f>
        <v/>
      </c>
      <c r="B261" s="17"/>
      <c r="C261" s="18"/>
      <c r="D261" s="18"/>
      <c r="E261" s="18"/>
      <c r="F261" s="18"/>
      <c r="G261" s="18"/>
      <c r="H261" s="18"/>
      <c r="I261" s="18"/>
      <c r="J261" s="19"/>
      <c r="K261" s="20"/>
      <c r="L261" s="20"/>
      <c r="M261" s="19"/>
      <c r="N261" s="18"/>
      <c r="O261" s="18"/>
      <c r="P261" s="18"/>
      <c r="Q261" s="18"/>
      <c r="R261" s="21" t="str">
        <f>IF(C261="","",IFERROR(INDEX('THAM SỐ'!$F$5:$F$7,MATCH(C261,'THAM SỐ'!$A$5:$A$7,0)),""))</f>
        <v/>
      </c>
      <c r="S261" s="22" t="str">
        <f t="shared" ref="S261:S324" si="12">IF(OR(M261="",R261="",R261=0),"",M261/R261)</f>
        <v/>
      </c>
      <c r="T261" s="16" t="str">
        <f t="shared" ref="T261:T324" si="13">IF(S261="","",IF(S261&gt;1,"QUÁ TẢI",IF(S261&gt;0.9,"Sát tải","Đạt")))</f>
        <v/>
      </c>
      <c r="U261" s="23" t="str">
        <f t="shared" ref="U261:U324" si="14">IF(L261="","",L261+(L261&lt;4/24))</f>
        <v/>
      </c>
      <c r="V261" s="18"/>
    </row>
    <row r="262" spans="1:22" x14ac:dyDescent="0.45">
      <c r="A262" s="16" t="str">
        <f>IF(B262="","","LDX-"&amp;TEXT(B262,"yymmdd")&amp;"-"&amp;TEXT(COUNTIFS(B$5:B262,B262),"00"))</f>
        <v/>
      </c>
      <c r="B262" s="17"/>
      <c r="C262" s="18"/>
      <c r="D262" s="18"/>
      <c r="E262" s="18"/>
      <c r="F262" s="18"/>
      <c r="G262" s="18"/>
      <c r="H262" s="18"/>
      <c r="I262" s="18"/>
      <c r="J262" s="19"/>
      <c r="K262" s="20"/>
      <c r="L262" s="20"/>
      <c r="M262" s="19"/>
      <c r="N262" s="18"/>
      <c r="O262" s="18"/>
      <c r="P262" s="18"/>
      <c r="Q262" s="18"/>
      <c r="R262" s="21" t="str">
        <f>IF(C262="","",IFERROR(INDEX('THAM SỐ'!$F$5:$F$7,MATCH(C262,'THAM SỐ'!$A$5:$A$7,0)),""))</f>
        <v/>
      </c>
      <c r="S262" s="22" t="str">
        <f t="shared" si="12"/>
        <v/>
      </c>
      <c r="T262" s="16" t="str">
        <f t="shared" si="13"/>
        <v/>
      </c>
      <c r="U262" s="23" t="str">
        <f t="shared" si="14"/>
        <v/>
      </c>
      <c r="V262" s="18"/>
    </row>
    <row r="263" spans="1:22" x14ac:dyDescent="0.45">
      <c r="A263" s="16" t="str">
        <f>IF(B263="","","LDX-"&amp;TEXT(B263,"yymmdd")&amp;"-"&amp;TEXT(COUNTIFS(B$5:B263,B263),"00"))</f>
        <v/>
      </c>
      <c r="B263" s="17"/>
      <c r="C263" s="18"/>
      <c r="D263" s="18"/>
      <c r="E263" s="18"/>
      <c r="F263" s="18"/>
      <c r="G263" s="18"/>
      <c r="H263" s="18"/>
      <c r="I263" s="18"/>
      <c r="J263" s="19"/>
      <c r="K263" s="20"/>
      <c r="L263" s="20"/>
      <c r="M263" s="19"/>
      <c r="N263" s="18"/>
      <c r="O263" s="18"/>
      <c r="P263" s="18"/>
      <c r="Q263" s="18"/>
      <c r="R263" s="21" t="str">
        <f>IF(C263="","",IFERROR(INDEX('THAM SỐ'!$F$5:$F$7,MATCH(C263,'THAM SỐ'!$A$5:$A$7,0)),""))</f>
        <v/>
      </c>
      <c r="S263" s="22" t="str">
        <f t="shared" si="12"/>
        <v/>
      </c>
      <c r="T263" s="16" t="str">
        <f t="shared" si="13"/>
        <v/>
      </c>
      <c r="U263" s="23" t="str">
        <f t="shared" si="14"/>
        <v/>
      </c>
      <c r="V263" s="18"/>
    </row>
    <row r="264" spans="1:22" x14ac:dyDescent="0.45">
      <c r="A264" s="16" t="str">
        <f>IF(B264="","","LDX-"&amp;TEXT(B264,"yymmdd")&amp;"-"&amp;TEXT(COUNTIFS(B$5:B264,B264),"00"))</f>
        <v/>
      </c>
      <c r="B264" s="17"/>
      <c r="C264" s="18"/>
      <c r="D264" s="18"/>
      <c r="E264" s="18"/>
      <c r="F264" s="18"/>
      <c r="G264" s="18"/>
      <c r="H264" s="18"/>
      <c r="I264" s="18"/>
      <c r="J264" s="19"/>
      <c r="K264" s="20"/>
      <c r="L264" s="20"/>
      <c r="M264" s="19"/>
      <c r="N264" s="18"/>
      <c r="O264" s="18"/>
      <c r="P264" s="18"/>
      <c r="Q264" s="18"/>
      <c r="R264" s="21" t="str">
        <f>IF(C264="","",IFERROR(INDEX('THAM SỐ'!$F$5:$F$7,MATCH(C264,'THAM SỐ'!$A$5:$A$7,0)),""))</f>
        <v/>
      </c>
      <c r="S264" s="22" t="str">
        <f t="shared" si="12"/>
        <v/>
      </c>
      <c r="T264" s="16" t="str">
        <f t="shared" si="13"/>
        <v/>
      </c>
      <c r="U264" s="23" t="str">
        <f t="shared" si="14"/>
        <v/>
      </c>
      <c r="V264" s="18"/>
    </row>
    <row r="265" spans="1:22" x14ac:dyDescent="0.45">
      <c r="A265" s="16" t="str">
        <f>IF(B265="","","LDX-"&amp;TEXT(B265,"yymmdd")&amp;"-"&amp;TEXT(COUNTIFS(B$5:B265,B265),"00"))</f>
        <v/>
      </c>
      <c r="B265" s="17"/>
      <c r="C265" s="18"/>
      <c r="D265" s="18"/>
      <c r="E265" s="18"/>
      <c r="F265" s="18"/>
      <c r="G265" s="18"/>
      <c r="H265" s="18"/>
      <c r="I265" s="18"/>
      <c r="J265" s="19"/>
      <c r="K265" s="20"/>
      <c r="L265" s="20"/>
      <c r="M265" s="19"/>
      <c r="N265" s="18"/>
      <c r="O265" s="18"/>
      <c r="P265" s="18"/>
      <c r="Q265" s="18"/>
      <c r="R265" s="21" t="str">
        <f>IF(C265="","",IFERROR(INDEX('THAM SỐ'!$F$5:$F$7,MATCH(C265,'THAM SỐ'!$A$5:$A$7,0)),""))</f>
        <v/>
      </c>
      <c r="S265" s="22" t="str">
        <f t="shared" si="12"/>
        <v/>
      </c>
      <c r="T265" s="16" t="str">
        <f t="shared" si="13"/>
        <v/>
      </c>
      <c r="U265" s="23" t="str">
        <f t="shared" si="14"/>
        <v/>
      </c>
      <c r="V265" s="18"/>
    </row>
    <row r="266" spans="1:22" x14ac:dyDescent="0.45">
      <c r="A266" s="16" t="str">
        <f>IF(B266="","","LDX-"&amp;TEXT(B266,"yymmdd")&amp;"-"&amp;TEXT(COUNTIFS(B$5:B266,B266),"00"))</f>
        <v/>
      </c>
      <c r="B266" s="17"/>
      <c r="C266" s="18"/>
      <c r="D266" s="18"/>
      <c r="E266" s="18"/>
      <c r="F266" s="18"/>
      <c r="G266" s="18"/>
      <c r="H266" s="18"/>
      <c r="I266" s="18"/>
      <c r="J266" s="19"/>
      <c r="K266" s="20"/>
      <c r="L266" s="20"/>
      <c r="M266" s="19"/>
      <c r="N266" s="18"/>
      <c r="O266" s="18"/>
      <c r="P266" s="18"/>
      <c r="Q266" s="18"/>
      <c r="R266" s="21" t="str">
        <f>IF(C266="","",IFERROR(INDEX('THAM SỐ'!$F$5:$F$7,MATCH(C266,'THAM SỐ'!$A$5:$A$7,0)),""))</f>
        <v/>
      </c>
      <c r="S266" s="22" t="str">
        <f t="shared" si="12"/>
        <v/>
      </c>
      <c r="T266" s="16" t="str">
        <f t="shared" si="13"/>
        <v/>
      </c>
      <c r="U266" s="23" t="str">
        <f t="shared" si="14"/>
        <v/>
      </c>
      <c r="V266" s="18"/>
    </row>
    <row r="267" spans="1:22" x14ac:dyDescent="0.45">
      <c r="A267" s="16" t="str">
        <f>IF(B267="","","LDX-"&amp;TEXT(B267,"yymmdd")&amp;"-"&amp;TEXT(COUNTIFS(B$5:B267,B267),"00"))</f>
        <v/>
      </c>
      <c r="B267" s="17"/>
      <c r="C267" s="18"/>
      <c r="D267" s="18"/>
      <c r="E267" s="18"/>
      <c r="F267" s="18"/>
      <c r="G267" s="18"/>
      <c r="H267" s="18"/>
      <c r="I267" s="18"/>
      <c r="J267" s="19"/>
      <c r="K267" s="20"/>
      <c r="L267" s="20"/>
      <c r="M267" s="19"/>
      <c r="N267" s="18"/>
      <c r="O267" s="18"/>
      <c r="P267" s="18"/>
      <c r="Q267" s="18"/>
      <c r="R267" s="21" t="str">
        <f>IF(C267="","",IFERROR(INDEX('THAM SỐ'!$F$5:$F$7,MATCH(C267,'THAM SỐ'!$A$5:$A$7,0)),""))</f>
        <v/>
      </c>
      <c r="S267" s="22" t="str">
        <f t="shared" si="12"/>
        <v/>
      </c>
      <c r="T267" s="16" t="str">
        <f t="shared" si="13"/>
        <v/>
      </c>
      <c r="U267" s="23" t="str">
        <f t="shared" si="14"/>
        <v/>
      </c>
      <c r="V267" s="18"/>
    </row>
    <row r="268" spans="1:22" x14ac:dyDescent="0.45">
      <c r="A268" s="16" t="str">
        <f>IF(B268="","","LDX-"&amp;TEXT(B268,"yymmdd")&amp;"-"&amp;TEXT(COUNTIFS(B$5:B268,B268),"00"))</f>
        <v/>
      </c>
      <c r="B268" s="17"/>
      <c r="C268" s="18"/>
      <c r="D268" s="18"/>
      <c r="E268" s="18"/>
      <c r="F268" s="18"/>
      <c r="G268" s="18"/>
      <c r="H268" s="18"/>
      <c r="I268" s="18"/>
      <c r="J268" s="19"/>
      <c r="K268" s="20"/>
      <c r="L268" s="20"/>
      <c r="M268" s="19"/>
      <c r="N268" s="18"/>
      <c r="O268" s="18"/>
      <c r="P268" s="18"/>
      <c r="Q268" s="18"/>
      <c r="R268" s="21" t="str">
        <f>IF(C268="","",IFERROR(INDEX('THAM SỐ'!$F$5:$F$7,MATCH(C268,'THAM SỐ'!$A$5:$A$7,0)),""))</f>
        <v/>
      </c>
      <c r="S268" s="22" t="str">
        <f t="shared" si="12"/>
        <v/>
      </c>
      <c r="T268" s="16" t="str">
        <f t="shared" si="13"/>
        <v/>
      </c>
      <c r="U268" s="23" t="str">
        <f t="shared" si="14"/>
        <v/>
      </c>
      <c r="V268" s="18"/>
    </row>
    <row r="269" spans="1:22" x14ac:dyDescent="0.45">
      <c r="A269" s="16" t="str">
        <f>IF(B269="","","LDX-"&amp;TEXT(B269,"yymmdd")&amp;"-"&amp;TEXT(COUNTIFS(B$5:B269,B269),"00"))</f>
        <v/>
      </c>
      <c r="B269" s="17"/>
      <c r="C269" s="18"/>
      <c r="D269" s="18"/>
      <c r="E269" s="18"/>
      <c r="F269" s="18"/>
      <c r="G269" s="18"/>
      <c r="H269" s="18"/>
      <c r="I269" s="18"/>
      <c r="J269" s="19"/>
      <c r="K269" s="20"/>
      <c r="L269" s="20"/>
      <c r="M269" s="19"/>
      <c r="N269" s="18"/>
      <c r="O269" s="18"/>
      <c r="P269" s="18"/>
      <c r="Q269" s="18"/>
      <c r="R269" s="21" t="str">
        <f>IF(C269="","",IFERROR(INDEX('THAM SỐ'!$F$5:$F$7,MATCH(C269,'THAM SỐ'!$A$5:$A$7,0)),""))</f>
        <v/>
      </c>
      <c r="S269" s="22" t="str">
        <f t="shared" si="12"/>
        <v/>
      </c>
      <c r="T269" s="16" t="str">
        <f t="shared" si="13"/>
        <v/>
      </c>
      <c r="U269" s="23" t="str">
        <f t="shared" si="14"/>
        <v/>
      </c>
      <c r="V269" s="18"/>
    </row>
    <row r="270" spans="1:22" x14ac:dyDescent="0.45">
      <c r="A270" s="16" t="str">
        <f>IF(B270="","","LDX-"&amp;TEXT(B270,"yymmdd")&amp;"-"&amp;TEXT(COUNTIFS(B$5:B270,B270),"00"))</f>
        <v/>
      </c>
      <c r="B270" s="17"/>
      <c r="C270" s="18"/>
      <c r="D270" s="18"/>
      <c r="E270" s="18"/>
      <c r="F270" s="18"/>
      <c r="G270" s="18"/>
      <c r="H270" s="18"/>
      <c r="I270" s="18"/>
      <c r="J270" s="19"/>
      <c r="K270" s="20"/>
      <c r="L270" s="20"/>
      <c r="M270" s="19"/>
      <c r="N270" s="18"/>
      <c r="O270" s="18"/>
      <c r="P270" s="18"/>
      <c r="Q270" s="18"/>
      <c r="R270" s="21" t="str">
        <f>IF(C270="","",IFERROR(INDEX('THAM SỐ'!$F$5:$F$7,MATCH(C270,'THAM SỐ'!$A$5:$A$7,0)),""))</f>
        <v/>
      </c>
      <c r="S270" s="22" t="str">
        <f t="shared" si="12"/>
        <v/>
      </c>
      <c r="T270" s="16" t="str">
        <f t="shared" si="13"/>
        <v/>
      </c>
      <c r="U270" s="23" t="str">
        <f t="shared" si="14"/>
        <v/>
      </c>
      <c r="V270" s="18"/>
    </row>
    <row r="271" spans="1:22" x14ac:dyDescent="0.45">
      <c r="A271" s="16" t="str">
        <f>IF(B271="","","LDX-"&amp;TEXT(B271,"yymmdd")&amp;"-"&amp;TEXT(COUNTIFS(B$5:B271,B271),"00"))</f>
        <v/>
      </c>
      <c r="B271" s="17"/>
      <c r="C271" s="18"/>
      <c r="D271" s="18"/>
      <c r="E271" s="18"/>
      <c r="F271" s="18"/>
      <c r="G271" s="18"/>
      <c r="H271" s="18"/>
      <c r="I271" s="18"/>
      <c r="J271" s="19"/>
      <c r="K271" s="20"/>
      <c r="L271" s="20"/>
      <c r="M271" s="19"/>
      <c r="N271" s="18"/>
      <c r="O271" s="18"/>
      <c r="P271" s="18"/>
      <c r="Q271" s="18"/>
      <c r="R271" s="21" t="str">
        <f>IF(C271="","",IFERROR(INDEX('THAM SỐ'!$F$5:$F$7,MATCH(C271,'THAM SỐ'!$A$5:$A$7,0)),""))</f>
        <v/>
      </c>
      <c r="S271" s="22" t="str">
        <f t="shared" si="12"/>
        <v/>
      </c>
      <c r="T271" s="16" t="str">
        <f t="shared" si="13"/>
        <v/>
      </c>
      <c r="U271" s="23" t="str">
        <f t="shared" si="14"/>
        <v/>
      </c>
      <c r="V271" s="18"/>
    </row>
    <row r="272" spans="1:22" x14ac:dyDescent="0.45">
      <c r="A272" s="16" t="str">
        <f>IF(B272="","","LDX-"&amp;TEXT(B272,"yymmdd")&amp;"-"&amp;TEXT(COUNTIFS(B$5:B272,B272),"00"))</f>
        <v/>
      </c>
      <c r="B272" s="17"/>
      <c r="C272" s="18"/>
      <c r="D272" s="18"/>
      <c r="E272" s="18"/>
      <c r="F272" s="18"/>
      <c r="G272" s="18"/>
      <c r="H272" s="18"/>
      <c r="I272" s="18"/>
      <c r="J272" s="19"/>
      <c r="K272" s="20"/>
      <c r="L272" s="20"/>
      <c r="M272" s="19"/>
      <c r="N272" s="18"/>
      <c r="O272" s="18"/>
      <c r="P272" s="18"/>
      <c r="Q272" s="18"/>
      <c r="R272" s="21" t="str">
        <f>IF(C272="","",IFERROR(INDEX('THAM SỐ'!$F$5:$F$7,MATCH(C272,'THAM SỐ'!$A$5:$A$7,0)),""))</f>
        <v/>
      </c>
      <c r="S272" s="22" t="str">
        <f t="shared" si="12"/>
        <v/>
      </c>
      <c r="T272" s="16" t="str">
        <f t="shared" si="13"/>
        <v/>
      </c>
      <c r="U272" s="23" t="str">
        <f t="shared" si="14"/>
        <v/>
      </c>
      <c r="V272" s="18"/>
    </row>
    <row r="273" spans="1:22" x14ac:dyDescent="0.45">
      <c r="A273" s="16" t="str">
        <f>IF(B273="","","LDX-"&amp;TEXT(B273,"yymmdd")&amp;"-"&amp;TEXT(COUNTIFS(B$5:B273,B273),"00"))</f>
        <v/>
      </c>
      <c r="B273" s="17"/>
      <c r="C273" s="18"/>
      <c r="D273" s="18"/>
      <c r="E273" s="18"/>
      <c r="F273" s="18"/>
      <c r="G273" s="18"/>
      <c r="H273" s="18"/>
      <c r="I273" s="18"/>
      <c r="J273" s="19"/>
      <c r="K273" s="20"/>
      <c r="L273" s="20"/>
      <c r="M273" s="19"/>
      <c r="N273" s="18"/>
      <c r="O273" s="18"/>
      <c r="P273" s="18"/>
      <c r="Q273" s="18"/>
      <c r="R273" s="21" t="str">
        <f>IF(C273="","",IFERROR(INDEX('THAM SỐ'!$F$5:$F$7,MATCH(C273,'THAM SỐ'!$A$5:$A$7,0)),""))</f>
        <v/>
      </c>
      <c r="S273" s="22" t="str">
        <f t="shared" si="12"/>
        <v/>
      </c>
      <c r="T273" s="16" t="str">
        <f t="shared" si="13"/>
        <v/>
      </c>
      <c r="U273" s="23" t="str">
        <f t="shared" si="14"/>
        <v/>
      </c>
      <c r="V273" s="18"/>
    </row>
    <row r="274" spans="1:22" x14ac:dyDescent="0.45">
      <c r="A274" s="16" t="str">
        <f>IF(B274="","","LDX-"&amp;TEXT(B274,"yymmdd")&amp;"-"&amp;TEXT(COUNTIFS(B$5:B274,B274),"00"))</f>
        <v/>
      </c>
      <c r="B274" s="17"/>
      <c r="C274" s="18"/>
      <c r="D274" s="18"/>
      <c r="E274" s="18"/>
      <c r="F274" s="18"/>
      <c r="G274" s="18"/>
      <c r="H274" s="18"/>
      <c r="I274" s="18"/>
      <c r="J274" s="19"/>
      <c r="K274" s="20"/>
      <c r="L274" s="20"/>
      <c r="M274" s="19"/>
      <c r="N274" s="18"/>
      <c r="O274" s="18"/>
      <c r="P274" s="18"/>
      <c r="Q274" s="18"/>
      <c r="R274" s="21" t="str">
        <f>IF(C274="","",IFERROR(INDEX('THAM SỐ'!$F$5:$F$7,MATCH(C274,'THAM SỐ'!$A$5:$A$7,0)),""))</f>
        <v/>
      </c>
      <c r="S274" s="22" t="str">
        <f t="shared" si="12"/>
        <v/>
      </c>
      <c r="T274" s="16" t="str">
        <f t="shared" si="13"/>
        <v/>
      </c>
      <c r="U274" s="23" t="str">
        <f t="shared" si="14"/>
        <v/>
      </c>
      <c r="V274" s="18"/>
    </row>
    <row r="275" spans="1:22" x14ac:dyDescent="0.45">
      <c r="A275" s="16" t="str">
        <f>IF(B275="","","LDX-"&amp;TEXT(B275,"yymmdd")&amp;"-"&amp;TEXT(COUNTIFS(B$5:B275,B275),"00"))</f>
        <v/>
      </c>
      <c r="B275" s="17"/>
      <c r="C275" s="18"/>
      <c r="D275" s="18"/>
      <c r="E275" s="18"/>
      <c r="F275" s="18"/>
      <c r="G275" s="18"/>
      <c r="H275" s="18"/>
      <c r="I275" s="18"/>
      <c r="J275" s="19"/>
      <c r="K275" s="20"/>
      <c r="L275" s="20"/>
      <c r="M275" s="19"/>
      <c r="N275" s="18"/>
      <c r="O275" s="18"/>
      <c r="P275" s="18"/>
      <c r="Q275" s="18"/>
      <c r="R275" s="21" t="str">
        <f>IF(C275="","",IFERROR(INDEX('THAM SỐ'!$F$5:$F$7,MATCH(C275,'THAM SỐ'!$A$5:$A$7,0)),""))</f>
        <v/>
      </c>
      <c r="S275" s="22" t="str">
        <f t="shared" si="12"/>
        <v/>
      </c>
      <c r="T275" s="16" t="str">
        <f t="shared" si="13"/>
        <v/>
      </c>
      <c r="U275" s="23" t="str">
        <f t="shared" si="14"/>
        <v/>
      </c>
      <c r="V275" s="18"/>
    </row>
    <row r="276" spans="1:22" x14ac:dyDescent="0.45">
      <c r="A276" s="16" t="str">
        <f>IF(B276="","","LDX-"&amp;TEXT(B276,"yymmdd")&amp;"-"&amp;TEXT(COUNTIFS(B$5:B276,B276),"00"))</f>
        <v/>
      </c>
      <c r="B276" s="17"/>
      <c r="C276" s="18"/>
      <c r="D276" s="18"/>
      <c r="E276" s="18"/>
      <c r="F276" s="18"/>
      <c r="G276" s="18"/>
      <c r="H276" s="18"/>
      <c r="I276" s="18"/>
      <c r="J276" s="19"/>
      <c r="K276" s="20"/>
      <c r="L276" s="20"/>
      <c r="M276" s="19"/>
      <c r="N276" s="18"/>
      <c r="O276" s="18"/>
      <c r="P276" s="18"/>
      <c r="Q276" s="18"/>
      <c r="R276" s="21" t="str">
        <f>IF(C276="","",IFERROR(INDEX('THAM SỐ'!$F$5:$F$7,MATCH(C276,'THAM SỐ'!$A$5:$A$7,0)),""))</f>
        <v/>
      </c>
      <c r="S276" s="22" t="str">
        <f t="shared" si="12"/>
        <v/>
      </c>
      <c r="T276" s="16" t="str">
        <f t="shared" si="13"/>
        <v/>
      </c>
      <c r="U276" s="23" t="str">
        <f t="shared" si="14"/>
        <v/>
      </c>
      <c r="V276" s="18"/>
    </row>
    <row r="277" spans="1:22" x14ac:dyDescent="0.45">
      <c r="A277" s="16" t="str">
        <f>IF(B277="","","LDX-"&amp;TEXT(B277,"yymmdd")&amp;"-"&amp;TEXT(COUNTIFS(B$5:B277,B277),"00"))</f>
        <v/>
      </c>
      <c r="B277" s="17"/>
      <c r="C277" s="18"/>
      <c r="D277" s="18"/>
      <c r="E277" s="18"/>
      <c r="F277" s="18"/>
      <c r="G277" s="18"/>
      <c r="H277" s="18"/>
      <c r="I277" s="18"/>
      <c r="J277" s="19"/>
      <c r="K277" s="20"/>
      <c r="L277" s="20"/>
      <c r="M277" s="19"/>
      <c r="N277" s="18"/>
      <c r="O277" s="18"/>
      <c r="P277" s="18"/>
      <c r="Q277" s="18"/>
      <c r="R277" s="21" t="str">
        <f>IF(C277="","",IFERROR(INDEX('THAM SỐ'!$F$5:$F$7,MATCH(C277,'THAM SỐ'!$A$5:$A$7,0)),""))</f>
        <v/>
      </c>
      <c r="S277" s="22" t="str">
        <f t="shared" si="12"/>
        <v/>
      </c>
      <c r="T277" s="16" t="str">
        <f t="shared" si="13"/>
        <v/>
      </c>
      <c r="U277" s="23" t="str">
        <f t="shared" si="14"/>
        <v/>
      </c>
      <c r="V277" s="18"/>
    </row>
    <row r="278" spans="1:22" x14ac:dyDescent="0.45">
      <c r="A278" s="16" t="str">
        <f>IF(B278="","","LDX-"&amp;TEXT(B278,"yymmdd")&amp;"-"&amp;TEXT(COUNTIFS(B$5:B278,B278),"00"))</f>
        <v/>
      </c>
      <c r="B278" s="17"/>
      <c r="C278" s="18"/>
      <c r="D278" s="18"/>
      <c r="E278" s="18"/>
      <c r="F278" s="18"/>
      <c r="G278" s="18"/>
      <c r="H278" s="18"/>
      <c r="I278" s="18"/>
      <c r="J278" s="19"/>
      <c r="K278" s="20"/>
      <c r="L278" s="20"/>
      <c r="M278" s="19"/>
      <c r="N278" s="18"/>
      <c r="O278" s="18"/>
      <c r="P278" s="18"/>
      <c r="Q278" s="18"/>
      <c r="R278" s="21" t="str">
        <f>IF(C278="","",IFERROR(INDEX('THAM SỐ'!$F$5:$F$7,MATCH(C278,'THAM SỐ'!$A$5:$A$7,0)),""))</f>
        <v/>
      </c>
      <c r="S278" s="22" t="str">
        <f t="shared" si="12"/>
        <v/>
      </c>
      <c r="T278" s="16" t="str">
        <f t="shared" si="13"/>
        <v/>
      </c>
      <c r="U278" s="23" t="str">
        <f t="shared" si="14"/>
        <v/>
      </c>
      <c r="V278" s="18"/>
    </row>
    <row r="279" spans="1:22" x14ac:dyDescent="0.45">
      <c r="A279" s="16" t="str">
        <f>IF(B279="","","LDX-"&amp;TEXT(B279,"yymmdd")&amp;"-"&amp;TEXT(COUNTIFS(B$5:B279,B279),"00"))</f>
        <v/>
      </c>
      <c r="B279" s="17"/>
      <c r="C279" s="18"/>
      <c r="D279" s="18"/>
      <c r="E279" s="18"/>
      <c r="F279" s="18"/>
      <c r="G279" s="18"/>
      <c r="H279" s="18"/>
      <c r="I279" s="18"/>
      <c r="J279" s="19"/>
      <c r="K279" s="20"/>
      <c r="L279" s="20"/>
      <c r="M279" s="19"/>
      <c r="N279" s="18"/>
      <c r="O279" s="18"/>
      <c r="P279" s="18"/>
      <c r="Q279" s="18"/>
      <c r="R279" s="21" t="str">
        <f>IF(C279="","",IFERROR(INDEX('THAM SỐ'!$F$5:$F$7,MATCH(C279,'THAM SỐ'!$A$5:$A$7,0)),""))</f>
        <v/>
      </c>
      <c r="S279" s="22" t="str">
        <f t="shared" si="12"/>
        <v/>
      </c>
      <c r="T279" s="16" t="str">
        <f t="shared" si="13"/>
        <v/>
      </c>
      <c r="U279" s="23" t="str">
        <f t="shared" si="14"/>
        <v/>
      </c>
      <c r="V279" s="18"/>
    </row>
    <row r="280" spans="1:22" x14ac:dyDescent="0.45">
      <c r="A280" s="16" t="str">
        <f>IF(B280="","","LDX-"&amp;TEXT(B280,"yymmdd")&amp;"-"&amp;TEXT(COUNTIFS(B$5:B280,B280),"00"))</f>
        <v/>
      </c>
      <c r="B280" s="17"/>
      <c r="C280" s="18"/>
      <c r="D280" s="18"/>
      <c r="E280" s="18"/>
      <c r="F280" s="18"/>
      <c r="G280" s="18"/>
      <c r="H280" s="18"/>
      <c r="I280" s="18"/>
      <c r="J280" s="19"/>
      <c r="K280" s="20"/>
      <c r="L280" s="20"/>
      <c r="M280" s="19"/>
      <c r="N280" s="18"/>
      <c r="O280" s="18"/>
      <c r="P280" s="18"/>
      <c r="Q280" s="18"/>
      <c r="R280" s="21" t="str">
        <f>IF(C280="","",IFERROR(INDEX('THAM SỐ'!$F$5:$F$7,MATCH(C280,'THAM SỐ'!$A$5:$A$7,0)),""))</f>
        <v/>
      </c>
      <c r="S280" s="22" t="str">
        <f t="shared" si="12"/>
        <v/>
      </c>
      <c r="T280" s="16" t="str">
        <f t="shared" si="13"/>
        <v/>
      </c>
      <c r="U280" s="23" t="str">
        <f t="shared" si="14"/>
        <v/>
      </c>
      <c r="V280" s="18"/>
    </row>
    <row r="281" spans="1:22" x14ac:dyDescent="0.45">
      <c r="A281" s="16" t="str">
        <f>IF(B281="","","LDX-"&amp;TEXT(B281,"yymmdd")&amp;"-"&amp;TEXT(COUNTIFS(B$5:B281,B281),"00"))</f>
        <v/>
      </c>
      <c r="B281" s="17"/>
      <c r="C281" s="18"/>
      <c r="D281" s="18"/>
      <c r="E281" s="18"/>
      <c r="F281" s="18"/>
      <c r="G281" s="18"/>
      <c r="H281" s="18"/>
      <c r="I281" s="18"/>
      <c r="J281" s="19"/>
      <c r="K281" s="20"/>
      <c r="L281" s="20"/>
      <c r="M281" s="19"/>
      <c r="N281" s="18"/>
      <c r="O281" s="18"/>
      <c r="P281" s="18"/>
      <c r="Q281" s="18"/>
      <c r="R281" s="21" t="str">
        <f>IF(C281="","",IFERROR(INDEX('THAM SỐ'!$F$5:$F$7,MATCH(C281,'THAM SỐ'!$A$5:$A$7,0)),""))</f>
        <v/>
      </c>
      <c r="S281" s="22" t="str">
        <f t="shared" si="12"/>
        <v/>
      </c>
      <c r="T281" s="16" t="str">
        <f t="shared" si="13"/>
        <v/>
      </c>
      <c r="U281" s="23" t="str">
        <f t="shared" si="14"/>
        <v/>
      </c>
      <c r="V281" s="18"/>
    </row>
    <row r="282" spans="1:22" x14ac:dyDescent="0.45">
      <c r="A282" s="16" t="str">
        <f>IF(B282="","","LDX-"&amp;TEXT(B282,"yymmdd")&amp;"-"&amp;TEXT(COUNTIFS(B$5:B282,B282),"00"))</f>
        <v/>
      </c>
      <c r="B282" s="17"/>
      <c r="C282" s="18"/>
      <c r="D282" s="18"/>
      <c r="E282" s="18"/>
      <c r="F282" s="18"/>
      <c r="G282" s="18"/>
      <c r="H282" s="18"/>
      <c r="I282" s="18"/>
      <c r="J282" s="19"/>
      <c r="K282" s="20"/>
      <c r="L282" s="20"/>
      <c r="M282" s="19"/>
      <c r="N282" s="18"/>
      <c r="O282" s="18"/>
      <c r="P282" s="18"/>
      <c r="Q282" s="18"/>
      <c r="R282" s="21" t="str">
        <f>IF(C282="","",IFERROR(INDEX('THAM SỐ'!$F$5:$F$7,MATCH(C282,'THAM SỐ'!$A$5:$A$7,0)),""))</f>
        <v/>
      </c>
      <c r="S282" s="22" t="str">
        <f t="shared" si="12"/>
        <v/>
      </c>
      <c r="T282" s="16" t="str">
        <f t="shared" si="13"/>
        <v/>
      </c>
      <c r="U282" s="23" t="str">
        <f t="shared" si="14"/>
        <v/>
      </c>
      <c r="V282" s="18"/>
    </row>
    <row r="283" spans="1:22" x14ac:dyDescent="0.45">
      <c r="A283" s="16" t="str">
        <f>IF(B283="","","LDX-"&amp;TEXT(B283,"yymmdd")&amp;"-"&amp;TEXT(COUNTIFS(B$5:B283,B283),"00"))</f>
        <v/>
      </c>
      <c r="B283" s="17"/>
      <c r="C283" s="18"/>
      <c r="D283" s="18"/>
      <c r="E283" s="18"/>
      <c r="F283" s="18"/>
      <c r="G283" s="18"/>
      <c r="H283" s="18"/>
      <c r="I283" s="18"/>
      <c r="J283" s="19"/>
      <c r="K283" s="20"/>
      <c r="L283" s="20"/>
      <c r="M283" s="19"/>
      <c r="N283" s="18"/>
      <c r="O283" s="18"/>
      <c r="P283" s="18"/>
      <c r="Q283" s="18"/>
      <c r="R283" s="21" t="str">
        <f>IF(C283="","",IFERROR(INDEX('THAM SỐ'!$F$5:$F$7,MATCH(C283,'THAM SỐ'!$A$5:$A$7,0)),""))</f>
        <v/>
      </c>
      <c r="S283" s="22" t="str">
        <f t="shared" si="12"/>
        <v/>
      </c>
      <c r="T283" s="16" t="str">
        <f t="shared" si="13"/>
        <v/>
      </c>
      <c r="U283" s="23" t="str">
        <f t="shared" si="14"/>
        <v/>
      </c>
      <c r="V283" s="18"/>
    </row>
    <row r="284" spans="1:22" x14ac:dyDescent="0.45">
      <c r="A284" s="16" t="str">
        <f>IF(B284="","","LDX-"&amp;TEXT(B284,"yymmdd")&amp;"-"&amp;TEXT(COUNTIFS(B$5:B284,B284),"00"))</f>
        <v/>
      </c>
      <c r="B284" s="17"/>
      <c r="C284" s="18"/>
      <c r="D284" s="18"/>
      <c r="E284" s="18"/>
      <c r="F284" s="18"/>
      <c r="G284" s="18"/>
      <c r="H284" s="18"/>
      <c r="I284" s="18"/>
      <c r="J284" s="19"/>
      <c r="K284" s="20"/>
      <c r="L284" s="20"/>
      <c r="M284" s="19"/>
      <c r="N284" s="18"/>
      <c r="O284" s="18"/>
      <c r="P284" s="18"/>
      <c r="Q284" s="18"/>
      <c r="R284" s="21" t="str">
        <f>IF(C284="","",IFERROR(INDEX('THAM SỐ'!$F$5:$F$7,MATCH(C284,'THAM SỐ'!$A$5:$A$7,0)),""))</f>
        <v/>
      </c>
      <c r="S284" s="22" t="str">
        <f t="shared" si="12"/>
        <v/>
      </c>
      <c r="T284" s="16" t="str">
        <f t="shared" si="13"/>
        <v/>
      </c>
      <c r="U284" s="23" t="str">
        <f t="shared" si="14"/>
        <v/>
      </c>
      <c r="V284" s="18"/>
    </row>
    <row r="285" spans="1:22" x14ac:dyDescent="0.45">
      <c r="A285" s="16" t="str">
        <f>IF(B285="","","LDX-"&amp;TEXT(B285,"yymmdd")&amp;"-"&amp;TEXT(COUNTIFS(B$5:B285,B285),"00"))</f>
        <v/>
      </c>
      <c r="B285" s="17"/>
      <c r="C285" s="18"/>
      <c r="D285" s="18"/>
      <c r="E285" s="18"/>
      <c r="F285" s="18"/>
      <c r="G285" s="18"/>
      <c r="H285" s="18"/>
      <c r="I285" s="18"/>
      <c r="J285" s="19"/>
      <c r="K285" s="20"/>
      <c r="L285" s="20"/>
      <c r="M285" s="19"/>
      <c r="N285" s="18"/>
      <c r="O285" s="18"/>
      <c r="P285" s="18"/>
      <c r="Q285" s="18"/>
      <c r="R285" s="21" t="str">
        <f>IF(C285="","",IFERROR(INDEX('THAM SỐ'!$F$5:$F$7,MATCH(C285,'THAM SỐ'!$A$5:$A$7,0)),""))</f>
        <v/>
      </c>
      <c r="S285" s="22" t="str">
        <f t="shared" si="12"/>
        <v/>
      </c>
      <c r="T285" s="16" t="str">
        <f t="shared" si="13"/>
        <v/>
      </c>
      <c r="U285" s="23" t="str">
        <f t="shared" si="14"/>
        <v/>
      </c>
      <c r="V285" s="18"/>
    </row>
    <row r="286" spans="1:22" x14ac:dyDescent="0.45">
      <c r="A286" s="16" t="str">
        <f>IF(B286="","","LDX-"&amp;TEXT(B286,"yymmdd")&amp;"-"&amp;TEXT(COUNTIFS(B$5:B286,B286),"00"))</f>
        <v/>
      </c>
      <c r="B286" s="17"/>
      <c r="C286" s="18"/>
      <c r="D286" s="18"/>
      <c r="E286" s="18"/>
      <c r="F286" s="18"/>
      <c r="G286" s="18"/>
      <c r="H286" s="18"/>
      <c r="I286" s="18"/>
      <c r="J286" s="19"/>
      <c r="K286" s="20"/>
      <c r="L286" s="20"/>
      <c r="M286" s="19"/>
      <c r="N286" s="18"/>
      <c r="O286" s="18"/>
      <c r="P286" s="18"/>
      <c r="Q286" s="18"/>
      <c r="R286" s="21" t="str">
        <f>IF(C286="","",IFERROR(INDEX('THAM SỐ'!$F$5:$F$7,MATCH(C286,'THAM SỐ'!$A$5:$A$7,0)),""))</f>
        <v/>
      </c>
      <c r="S286" s="22" t="str">
        <f t="shared" si="12"/>
        <v/>
      </c>
      <c r="T286" s="16" t="str">
        <f t="shared" si="13"/>
        <v/>
      </c>
      <c r="U286" s="23" t="str">
        <f t="shared" si="14"/>
        <v/>
      </c>
      <c r="V286" s="18"/>
    </row>
    <row r="287" spans="1:22" x14ac:dyDescent="0.45">
      <c r="A287" s="16" t="str">
        <f>IF(B287="","","LDX-"&amp;TEXT(B287,"yymmdd")&amp;"-"&amp;TEXT(COUNTIFS(B$5:B287,B287),"00"))</f>
        <v/>
      </c>
      <c r="B287" s="17"/>
      <c r="C287" s="18"/>
      <c r="D287" s="18"/>
      <c r="E287" s="18"/>
      <c r="F287" s="18"/>
      <c r="G287" s="18"/>
      <c r="H287" s="18"/>
      <c r="I287" s="18"/>
      <c r="J287" s="19"/>
      <c r="K287" s="20"/>
      <c r="L287" s="20"/>
      <c r="M287" s="19"/>
      <c r="N287" s="18"/>
      <c r="O287" s="18"/>
      <c r="P287" s="18"/>
      <c r="Q287" s="18"/>
      <c r="R287" s="21" t="str">
        <f>IF(C287="","",IFERROR(INDEX('THAM SỐ'!$F$5:$F$7,MATCH(C287,'THAM SỐ'!$A$5:$A$7,0)),""))</f>
        <v/>
      </c>
      <c r="S287" s="22" t="str">
        <f t="shared" si="12"/>
        <v/>
      </c>
      <c r="T287" s="16" t="str">
        <f t="shared" si="13"/>
        <v/>
      </c>
      <c r="U287" s="23" t="str">
        <f t="shared" si="14"/>
        <v/>
      </c>
      <c r="V287" s="18"/>
    </row>
    <row r="288" spans="1:22" x14ac:dyDescent="0.45">
      <c r="A288" s="16" t="str">
        <f>IF(B288="","","LDX-"&amp;TEXT(B288,"yymmdd")&amp;"-"&amp;TEXT(COUNTIFS(B$5:B288,B288),"00"))</f>
        <v/>
      </c>
      <c r="B288" s="17"/>
      <c r="C288" s="18"/>
      <c r="D288" s="18"/>
      <c r="E288" s="18"/>
      <c r="F288" s="18"/>
      <c r="G288" s="18"/>
      <c r="H288" s="18"/>
      <c r="I288" s="18"/>
      <c r="J288" s="19"/>
      <c r="K288" s="20"/>
      <c r="L288" s="20"/>
      <c r="M288" s="19"/>
      <c r="N288" s="18"/>
      <c r="O288" s="18"/>
      <c r="P288" s="18"/>
      <c r="Q288" s="18"/>
      <c r="R288" s="21" t="str">
        <f>IF(C288="","",IFERROR(INDEX('THAM SỐ'!$F$5:$F$7,MATCH(C288,'THAM SỐ'!$A$5:$A$7,0)),""))</f>
        <v/>
      </c>
      <c r="S288" s="22" t="str">
        <f t="shared" si="12"/>
        <v/>
      </c>
      <c r="T288" s="16" t="str">
        <f t="shared" si="13"/>
        <v/>
      </c>
      <c r="U288" s="23" t="str">
        <f t="shared" si="14"/>
        <v/>
      </c>
      <c r="V288" s="18"/>
    </row>
    <row r="289" spans="1:22" x14ac:dyDescent="0.45">
      <c r="A289" s="16" t="str">
        <f>IF(B289="","","LDX-"&amp;TEXT(B289,"yymmdd")&amp;"-"&amp;TEXT(COUNTIFS(B$5:B289,B289),"00"))</f>
        <v/>
      </c>
      <c r="B289" s="17"/>
      <c r="C289" s="18"/>
      <c r="D289" s="18"/>
      <c r="E289" s="18"/>
      <c r="F289" s="18"/>
      <c r="G289" s="18"/>
      <c r="H289" s="18"/>
      <c r="I289" s="18"/>
      <c r="J289" s="19"/>
      <c r="K289" s="20"/>
      <c r="L289" s="20"/>
      <c r="M289" s="19"/>
      <c r="N289" s="18"/>
      <c r="O289" s="18"/>
      <c r="P289" s="18"/>
      <c r="Q289" s="18"/>
      <c r="R289" s="21" t="str">
        <f>IF(C289="","",IFERROR(INDEX('THAM SỐ'!$F$5:$F$7,MATCH(C289,'THAM SỐ'!$A$5:$A$7,0)),""))</f>
        <v/>
      </c>
      <c r="S289" s="22" t="str">
        <f t="shared" si="12"/>
        <v/>
      </c>
      <c r="T289" s="16" t="str">
        <f t="shared" si="13"/>
        <v/>
      </c>
      <c r="U289" s="23" t="str">
        <f t="shared" si="14"/>
        <v/>
      </c>
      <c r="V289" s="18"/>
    </row>
    <row r="290" spans="1:22" x14ac:dyDescent="0.45">
      <c r="A290" s="16" t="str">
        <f>IF(B290="","","LDX-"&amp;TEXT(B290,"yymmdd")&amp;"-"&amp;TEXT(COUNTIFS(B$5:B290,B290),"00"))</f>
        <v/>
      </c>
      <c r="B290" s="17"/>
      <c r="C290" s="18"/>
      <c r="D290" s="18"/>
      <c r="E290" s="18"/>
      <c r="F290" s="18"/>
      <c r="G290" s="18"/>
      <c r="H290" s="18"/>
      <c r="I290" s="18"/>
      <c r="J290" s="19"/>
      <c r="K290" s="20"/>
      <c r="L290" s="20"/>
      <c r="M290" s="19"/>
      <c r="N290" s="18"/>
      <c r="O290" s="18"/>
      <c r="P290" s="18"/>
      <c r="Q290" s="18"/>
      <c r="R290" s="21" t="str">
        <f>IF(C290="","",IFERROR(INDEX('THAM SỐ'!$F$5:$F$7,MATCH(C290,'THAM SỐ'!$A$5:$A$7,0)),""))</f>
        <v/>
      </c>
      <c r="S290" s="22" t="str">
        <f t="shared" si="12"/>
        <v/>
      </c>
      <c r="T290" s="16" t="str">
        <f t="shared" si="13"/>
        <v/>
      </c>
      <c r="U290" s="23" t="str">
        <f t="shared" si="14"/>
        <v/>
      </c>
      <c r="V290" s="18"/>
    </row>
    <row r="291" spans="1:22" x14ac:dyDescent="0.45">
      <c r="A291" s="16" t="str">
        <f>IF(B291="","","LDX-"&amp;TEXT(B291,"yymmdd")&amp;"-"&amp;TEXT(COUNTIFS(B$5:B291,B291),"00"))</f>
        <v/>
      </c>
      <c r="B291" s="17"/>
      <c r="C291" s="18"/>
      <c r="D291" s="18"/>
      <c r="E291" s="18"/>
      <c r="F291" s="18"/>
      <c r="G291" s="18"/>
      <c r="H291" s="18"/>
      <c r="I291" s="18"/>
      <c r="J291" s="19"/>
      <c r="K291" s="20"/>
      <c r="L291" s="20"/>
      <c r="M291" s="19"/>
      <c r="N291" s="18"/>
      <c r="O291" s="18"/>
      <c r="P291" s="18"/>
      <c r="Q291" s="18"/>
      <c r="R291" s="21" t="str">
        <f>IF(C291="","",IFERROR(INDEX('THAM SỐ'!$F$5:$F$7,MATCH(C291,'THAM SỐ'!$A$5:$A$7,0)),""))</f>
        <v/>
      </c>
      <c r="S291" s="22" t="str">
        <f t="shared" si="12"/>
        <v/>
      </c>
      <c r="T291" s="16" t="str">
        <f t="shared" si="13"/>
        <v/>
      </c>
      <c r="U291" s="23" t="str">
        <f t="shared" si="14"/>
        <v/>
      </c>
      <c r="V291" s="18"/>
    </row>
    <row r="292" spans="1:22" x14ac:dyDescent="0.45">
      <c r="A292" s="16" t="str">
        <f>IF(B292="","","LDX-"&amp;TEXT(B292,"yymmdd")&amp;"-"&amp;TEXT(COUNTIFS(B$5:B292,B292),"00"))</f>
        <v/>
      </c>
      <c r="B292" s="17"/>
      <c r="C292" s="18"/>
      <c r="D292" s="18"/>
      <c r="E292" s="18"/>
      <c r="F292" s="18"/>
      <c r="G292" s="18"/>
      <c r="H292" s="18"/>
      <c r="I292" s="18"/>
      <c r="J292" s="19"/>
      <c r="K292" s="20"/>
      <c r="L292" s="20"/>
      <c r="M292" s="19"/>
      <c r="N292" s="18"/>
      <c r="O292" s="18"/>
      <c r="P292" s="18"/>
      <c r="Q292" s="18"/>
      <c r="R292" s="21" t="str">
        <f>IF(C292="","",IFERROR(INDEX('THAM SỐ'!$F$5:$F$7,MATCH(C292,'THAM SỐ'!$A$5:$A$7,0)),""))</f>
        <v/>
      </c>
      <c r="S292" s="22" t="str">
        <f t="shared" si="12"/>
        <v/>
      </c>
      <c r="T292" s="16" t="str">
        <f t="shared" si="13"/>
        <v/>
      </c>
      <c r="U292" s="23" t="str">
        <f t="shared" si="14"/>
        <v/>
      </c>
      <c r="V292" s="18"/>
    </row>
    <row r="293" spans="1:22" x14ac:dyDescent="0.45">
      <c r="A293" s="16" t="str">
        <f>IF(B293="","","LDX-"&amp;TEXT(B293,"yymmdd")&amp;"-"&amp;TEXT(COUNTIFS(B$5:B293,B293),"00"))</f>
        <v/>
      </c>
      <c r="B293" s="17"/>
      <c r="C293" s="18"/>
      <c r="D293" s="18"/>
      <c r="E293" s="18"/>
      <c r="F293" s="18"/>
      <c r="G293" s="18"/>
      <c r="H293" s="18"/>
      <c r="I293" s="18"/>
      <c r="J293" s="19"/>
      <c r="K293" s="20"/>
      <c r="L293" s="20"/>
      <c r="M293" s="19"/>
      <c r="N293" s="18"/>
      <c r="O293" s="18"/>
      <c r="P293" s="18"/>
      <c r="Q293" s="18"/>
      <c r="R293" s="21" t="str">
        <f>IF(C293="","",IFERROR(INDEX('THAM SỐ'!$F$5:$F$7,MATCH(C293,'THAM SỐ'!$A$5:$A$7,0)),""))</f>
        <v/>
      </c>
      <c r="S293" s="22" t="str">
        <f t="shared" si="12"/>
        <v/>
      </c>
      <c r="T293" s="16" t="str">
        <f t="shared" si="13"/>
        <v/>
      </c>
      <c r="U293" s="23" t="str">
        <f t="shared" si="14"/>
        <v/>
      </c>
      <c r="V293" s="18"/>
    </row>
    <row r="294" spans="1:22" x14ac:dyDescent="0.45">
      <c r="A294" s="16" t="str">
        <f>IF(B294="","","LDX-"&amp;TEXT(B294,"yymmdd")&amp;"-"&amp;TEXT(COUNTIFS(B$5:B294,B294),"00"))</f>
        <v/>
      </c>
      <c r="B294" s="17"/>
      <c r="C294" s="18"/>
      <c r="D294" s="18"/>
      <c r="E294" s="18"/>
      <c r="F294" s="18"/>
      <c r="G294" s="18"/>
      <c r="H294" s="18"/>
      <c r="I294" s="18"/>
      <c r="J294" s="19"/>
      <c r="K294" s="20"/>
      <c r="L294" s="20"/>
      <c r="M294" s="19"/>
      <c r="N294" s="18"/>
      <c r="O294" s="18"/>
      <c r="P294" s="18"/>
      <c r="Q294" s="18"/>
      <c r="R294" s="21" t="str">
        <f>IF(C294="","",IFERROR(INDEX('THAM SỐ'!$F$5:$F$7,MATCH(C294,'THAM SỐ'!$A$5:$A$7,0)),""))</f>
        <v/>
      </c>
      <c r="S294" s="22" t="str">
        <f t="shared" si="12"/>
        <v/>
      </c>
      <c r="T294" s="16" t="str">
        <f t="shared" si="13"/>
        <v/>
      </c>
      <c r="U294" s="23" t="str">
        <f t="shared" si="14"/>
        <v/>
      </c>
      <c r="V294" s="18"/>
    </row>
    <row r="295" spans="1:22" x14ac:dyDescent="0.45">
      <c r="A295" s="16" t="str">
        <f>IF(B295="","","LDX-"&amp;TEXT(B295,"yymmdd")&amp;"-"&amp;TEXT(COUNTIFS(B$5:B295,B295),"00"))</f>
        <v/>
      </c>
      <c r="B295" s="17"/>
      <c r="C295" s="18"/>
      <c r="D295" s="18"/>
      <c r="E295" s="18"/>
      <c r="F295" s="18"/>
      <c r="G295" s="18"/>
      <c r="H295" s="18"/>
      <c r="I295" s="18"/>
      <c r="J295" s="19"/>
      <c r="K295" s="20"/>
      <c r="L295" s="20"/>
      <c r="M295" s="19"/>
      <c r="N295" s="18"/>
      <c r="O295" s="18"/>
      <c r="P295" s="18"/>
      <c r="Q295" s="18"/>
      <c r="R295" s="21" t="str">
        <f>IF(C295="","",IFERROR(INDEX('THAM SỐ'!$F$5:$F$7,MATCH(C295,'THAM SỐ'!$A$5:$A$7,0)),""))</f>
        <v/>
      </c>
      <c r="S295" s="22" t="str">
        <f t="shared" si="12"/>
        <v/>
      </c>
      <c r="T295" s="16" t="str">
        <f t="shared" si="13"/>
        <v/>
      </c>
      <c r="U295" s="23" t="str">
        <f t="shared" si="14"/>
        <v/>
      </c>
      <c r="V295" s="18"/>
    </row>
    <row r="296" spans="1:22" x14ac:dyDescent="0.45">
      <c r="A296" s="16" t="str">
        <f>IF(B296="","","LDX-"&amp;TEXT(B296,"yymmdd")&amp;"-"&amp;TEXT(COUNTIFS(B$5:B296,B296),"00"))</f>
        <v/>
      </c>
      <c r="B296" s="17"/>
      <c r="C296" s="18"/>
      <c r="D296" s="18"/>
      <c r="E296" s="18"/>
      <c r="F296" s="18"/>
      <c r="G296" s="18"/>
      <c r="H296" s="18"/>
      <c r="I296" s="18"/>
      <c r="J296" s="19"/>
      <c r="K296" s="20"/>
      <c r="L296" s="20"/>
      <c r="M296" s="19"/>
      <c r="N296" s="18"/>
      <c r="O296" s="18"/>
      <c r="P296" s="18"/>
      <c r="Q296" s="18"/>
      <c r="R296" s="21" t="str">
        <f>IF(C296="","",IFERROR(INDEX('THAM SỐ'!$F$5:$F$7,MATCH(C296,'THAM SỐ'!$A$5:$A$7,0)),""))</f>
        <v/>
      </c>
      <c r="S296" s="22" t="str">
        <f t="shared" si="12"/>
        <v/>
      </c>
      <c r="T296" s="16" t="str">
        <f t="shared" si="13"/>
        <v/>
      </c>
      <c r="U296" s="23" t="str">
        <f t="shared" si="14"/>
        <v/>
      </c>
      <c r="V296" s="18"/>
    </row>
    <row r="297" spans="1:22" x14ac:dyDescent="0.45">
      <c r="A297" s="16" t="str">
        <f>IF(B297="","","LDX-"&amp;TEXT(B297,"yymmdd")&amp;"-"&amp;TEXT(COUNTIFS(B$5:B297,B297),"00"))</f>
        <v/>
      </c>
      <c r="B297" s="17"/>
      <c r="C297" s="18"/>
      <c r="D297" s="18"/>
      <c r="E297" s="18"/>
      <c r="F297" s="18"/>
      <c r="G297" s="18"/>
      <c r="H297" s="18"/>
      <c r="I297" s="18"/>
      <c r="J297" s="19"/>
      <c r="K297" s="20"/>
      <c r="L297" s="20"/>
      <c r="M297" s="19"/>
      <c r="N297" s="18"/>
      <c r="O297" s="18"/>
      <c r="P297" s="18"/>
      <c r="Q297" s="18"/>
      <c r="R297" s="21" t="str">
        <f>IF(C297="","",IFERROR(INDEX('THAM SỐ'!$F$5:$F$7,MATCH(C297,'THAM SỐ'!$A$5:$A$7,0)),""))</f>
        <v/>
      </c>
      <c r="S297" s="22" t="str">
        <f t="shared" si="12"/>
        <v/>
      </c>
      <c r="T297" s="16" t="str">
        <f t="shared" si="13"/>
        <v/>
      </c>
      <c r="U297" s="23" t="str">
        <f t="shared" si="14"/>
        <v/>
      </c>
      <c r="V297" s="18"/>
    </row>
    <row r="298" spans="1:22" x14ac:dyDescent="0.45">
      <c r="A298" s="16" t="str">
        <f>IF(B298="","","LDX-"&amp;TEXT(B298,"yymmdd")&amp;"-"&amp;TEXT(COUNTIFS(B$5:B298,B298),"00"))</f>
        <v/>
      </c>
      <c r="B298" s="17"/>
      <c r="C298" s="18"/>
      <c r="D298" s="18"/>
      <c r="E298" s="18"/>
      <c r="F298" s="18"/>
      <c r="G298" s="18"/>
      <c r="H298" s="18"/>
      <c r="I298" s="18"/>
      <c r="J298" s="19"/>
      <c r="K298" s="20"/>
      <c r="L298" s="20"/>
      <c r="M298" s="19"/>
      <c r="N298" s="18"/>
      <c r="O298" s="18"/>
      <c r="P298" s="18"/>
      <c r="Q298" s="18"/>
      <c r="R298" s="21" t="str">
        <f>IF(C298="","",IFERROR(INDEX('THAM SỐ'!$F$5:$F$7,MATCH(C298,'THAM SỐ'!$A$5:$A$7,0)),""))</f>
        <v/>
      </c>
      <c r="S298" s="22" t="str">
        <f t="shared" si="12"/>
        <v/>
      </c>
      <c r="T298" s="16" t="str">
        <f t="shared" si="13"/>
        <v/>
      </c>
      <c r="U298" s="23" t="str">
        <f t="shared" si="14"/>
        <v/>
      </c>
      <c r="V298" s="18"/>
    </row>
    <row r="299" spans="1:22" x14ac:dyDescent="0.45">
      <c r="A299" s="16" t="str">
        <f>IF(B299="","","LDX-"&amp;TEXT(B299,"yymmdd")&amp;"-"&amp;TEXT(COUNTIFS(B$5:B299,B299),"00"))</f>
        <v/>
      </c>
      <c r="B299" s="17"/>
      <c r="C299" s="18"/>
      <c r="D299" s="18"/>
      <c r="E299" s="18"/>
      <c r="F299" s="18"/>
      <c r="G299" s="18"/>
      <c r="H299" s="18"/>
      <c r="I299" s="18"/>
      <c r="J299" s="19"/>
      <c r="K299" s="20"/>
      <c r="L299" s="20"/>
      <c r="M299" s="19"/>
      <c r="N299" s="18"/>
      <c r="O299" s="18"/>
      <c r="P299" s="18"/>
      <c r="Q299" s="18"/>
      <c r="R299" s="21" t="str">
        <f>IF(C299="","",IFERROR(INDEX('THAM SỐ'!$F$5:$F$7,MATCH(C299,'THAM SỐ'!$A$5:$A$7,0)),""))</f>
        <v/>
      </c>
      <c r="S299" s="22" t="str">
        <f t="shared" si="12"/>
        <v/>
      </c>
      <c r="T299" s="16" t="str">
        <f t="shared" si="13"/>
        <v/>
      </c>
      <c r="U299" s="23" t="str">
        <f t="shared" si="14"/>
        <v/>
      </c>
      <c r="V299" s="18"/>
    </row>
    <row r="300" spans="1:22" x14ac:dyDescent="0.45">
      <c r="A300" s="16" t="str">
        <f>IF(B300="","","LDX-"&amp;TEXT(B300,"yymmdd")&amp;"-"&amp;TEXT(COUNTIFS(B$5:B300,B300),"00"))</f>
        <v/>
      </c>
      <c r="B300" s="17"/>
      <c r="C300" s="18"/>
      <c r="D300" s="18"/>
      <c r="E300" s="18"/>
      <c r="F300" s="18"/>
      <c r="G300" s="18"/>
      <c r="H300" s="18"/>
      <c r="I300" s="18"/>
      <c r="J300" s="19"/>
      <c r="K300" s="20"/>
      <c r="L300" s="20"/>
      <c r="M300" s="19"/>
      <c r="N300" s="18"/>
      <c r="O300" s="18"/>
      <c r="P300" s="18"/>
      <c r="Q300" s="18"/>
      <c r="R300" s="21" t="str">
        <f>IF(C300="","",IFERROR(INDEX('THAM SỐ'!$F$5:$F$7,MATCH(C300,'THAM SỐ'!$A$5:$A$7,0)),""))</f>
        <v/>
      </c>
      <c r="S300" s="22" t="str">
        <f t="shared" si="12"/>
        <v/>
      </c>
      <c r="T300" s="16" t="str">
        <f t="shared" si="13"/>
        <v/>
      </c>
      <c r="U300" s="23" t="str">
        <f t="shared" si="14"/>
        <v/>
      </c>
      <c r="V300" s="18"/>
    </row>
    <row r="301" spans="1:22" x14ac:dyDescent="0.45">
      <c r="A301" s="16" t="str">
        <f>IF(B301="","","LDX-"&amp;TEXT(B301,"yymmdd")&amp;"-"&amp;TEXT(COUNTIFS(B$5:B301,B301),"00"))</f>
        <v/>
      </c>
      <c r="B301" s="17"/>
      <c r="C301" s="18"/>
      <c r="D301" s="18"/>
      <c r="E301" s="18"/>
      <c r="F301" s="18"/>
      <c r="G301" s="18"/>
      <c r="H301" s="18"/>
      <c r="I301" s="18"/>
      <c r="J301" s="19"/>
      <c r="K301" s="20"/>
      <c r="L301" s="20"/>
      <c r="M301" s="19"/>
      <c r="N301" s="18"/>
      <c r="O301" s="18"/>
      <c r="P301" s="18"/>
      <c r="Q301" s="18"/>
      <c r="R301" s="21" t="str">
        <f>IF(C301="","",IFERROR(INDEX('THAM SỐ'!$F$5:$F$7,MATCH(C301,'THAM SỐ'!$A$5:$A$7,0)),""))</f>
        <v/>
      </c>
      <c r="S301" s="22" t="str">
        <f t="shared" si="12"/>
        <v/>
      </c>
      <c r="T301" s="16" t="str">
        <f t="shared" si="13"/>
        <v/>
      </c>
      <c r="U301" s="23" t="str">
        <f t="shared" si="14"/>
        <v/>
      </c>
      <c r="V301" s="18"/>
    </row>
    <row r="302" spans="1:22" x14ac:dyDescent="0.45">
      <c r="A302" s="16" t="str">
        <f>IF(B302="","","LDX-"&amp;TEXT(B302,"yymmdd")&amp;"-"&amp;TEXT(COUNTIFS(B$5:B302,B302),"00"))</f>
        <v/>
      </c>
      <c r="B302" s="17"/>
      <c r="C302" s="18"/>
      <c r="D302" s="18"/>
      <c r="E302" s="18"/>
      <c r="F302" s="18"/>
      <c r="G302" s="18"/>
      <c r="H302" s="18"/>
      <c r="I302" s="18"/>
      <c r="J302" s="19"/>
      <c r="K302" s="20"/>
      <c r="L302" s="20"/>
      <c r="M302" s="19"/>
      <c r="N302" s="18"/>
      <c r="O302" s="18"/>
      <c r="P302" s="18"/>
      <c r="Q302" s="18"/>
      <c r="R302" s="21" t="str">
        <f>IF(C302="","",IFERROR(INDEX('THAM SỐ'!$F$5:$F$7,MATCH(C302,'THAM SỐ'!$A$5:$A$7,0)),""))</f>
        <v/>
      </c>
      <c r="S302" s="22" t="str">
        <f t="shared" si="12"/>
        <v/>
      </c>
      <c r="T302" s="16" t="str">
        <f t="shared" si="13"/>
        <v/>
      </c>
      <c r="U302" s="23" t="str">
        <f t="shared" si="14"/>
        <v/>
      </c>
      <c r="V302" s="18"/>
    </row>
    <row r="303" spans="1:22" x14ac:dyDescent="0.45">
      <c r="A303" s="16" t="str">
        <f>IF(B303="","","LDX-"&amp;TEXT(B303,"yymmdd")&amp;"-"&amp;TEXT(COUNTIFS(B$5:B303,B303),"00"))</f>
        <v/>
      </c>
      <c r="B303" s="17"/>
      <c r="C303" s="18"/>
      <c r="D303" s="18"/>
      <c r="E303" s="18"/>
      <c r="F303" s="18"/>
      <c r="G303" s="18"/>
      <c r="H303" s="18"/>
      <c r="I303" s="18"/>
      <c r="J303" s="19"/>
      <c r="K303" s="20"/>
      <c r="L303" s="20"/>
      <c r="M303" s="19"/>
      <c r="N303" s="18"/>
      <c r="O303" s="18"/>
      <c r="P303" s="18"/>
      <c r="Q303" s="18"/>
      <c r="R303" s="21" t="str">
        <f>IF(C303="","",IFERROR(INDEX('THAM SỐ'!$F$5:$F$7,MATCH(C303,'THAM SỐ'!$A$5:$A$7,0)),""))</f>
        <v/>
      </c>
      <c r="S303" s="22" t="str">
        <f t="shared" si="12"/>
        <v/>
      </c>
      <c r="T303" s="16" t="str">
        <f t="shared" si="13"/>
        <v/>
      </c>
      <c r="U303" s="23" t="str">
        <f t="shared" si="14"/>
        <v/>
      </c>
      <c r="V303" s="18"/>
    </row>
    <row r="304" spans="1:22" x14ac:dyDescent="0.45">
      <c r="A304" s="16" t="str">
        <f>IF(B304="","","LDX-"&amp;TEXT(B304,"yymmdd")&amp;"-"&amp;TEXT(COUNTIFS(B$5:B304,B304),"00"))</f>
        <v/>
      </c>
      <c r="B304" s="17"/>
      <c r="C304" s="18"/>
      <c r="D304" s="18"/>
      <c r="E304" s="18"/>
      <c r="F304" s="18"/>
      <c r="G304" s="18"/>
      <c r="H304" s="18"/>
      <c r="I304" s="18"/>
      <c r="J304" s="19"/>
      <c r="K304" s="20"/>
      <c r="L304" s="20"/>
      <c r="M304" s="19"/>
      <c r="N304" s="18"/>
      <c r="O304" s="18"/>
      <c r="P304" s="18"/>
      <c r="Q304" s="18"/>
      <c r="R304" s="21" t="str">
        <f>IF(C304="","",IFERROR(INDEX('THAM SỐ'!$F$5:$F$7,MATCH(C304,'THAM SỐ'!$A$5:$A$7,0)),""))</f>
        <v/>
      </c>
      <c r="S304" s="22" t="str">
        <f t="shared" si="12"/>
        <v/>
      </c>
      <c r="T304" s="16" t="str">
        <f t="shared" si="13"/>
        <v/>
      </c>
      <c r="U304" s="23" t="str">
        <f t="shared" si="14"/>
        <v/>
      </c>
      <c r="V304" s="18"/>
    </row>
    <row r="305" spans="1:22" x14ac:dyDescent="0.45">
      <c r="A305" s="16" t="str">
        <f>IF(B305="","","LDX-"&amp;TEXT(B305,"yymmdd")&amp;"-"&amp;TEXT(COUNTIFS(B$5:B305,B305),"00"))</f>
        <v/>
      </c>
      <c r="B305" s="17"/>
      <c r="C305" s="18"/>
      <c r="D305" s="18"/>
      <c r="E305" s="18"/>
      <c r="F305" s="18"/>
      <c r="G305" s="18"/>
      <c r="H305" s="18"/>
      <c r="I305" s="18"/>
      <c r="J305" s="19"/>
      <c r="K305" s="20"/>
      <c r="L305" s="20"/>
      <c r="M305" s="19"/>
      <c r="N305" s="18"/>
      <c r="O305" s="18"/>
      <c r="P305" s="18"/>
      <c r="Q305" s="18"/>
      <c r="R305" s="21" t="str">
        <f>IF(C305="","",IFERROR(INDEX('THAM SỐ'!$F$5:$F$7,MATCH(C305,'THAM SỐ'!$A$5:$A$7,0)),""))</f>
        <v/>
      </c>
      <c r="S305" s="22" t="str">
        <f t="shared" si="12"/>
        <v/>
      </c>
      <c r="T305" s="16" t="str">
        <f t="shared" si="13"/>
        <v/>
      </c>
      <c r="U305" s="23" t="str">
        <f t="shared" si="14"/>
        <v/>
      </c>
      <c r="V305" s="18"/>
    </row>
    <row r="306" spans="1:22" x14ac:dyDescent="0.45">
      <c r="A306" s="16" t="str">
        <f>IF(B306="","","LDX-"&amp;TEXT(B306,"yymmdd")&amp;"-"&amp;TEXT(COUNTIFS(B$5:B306,B306),"00"))</f>
        <v/>
      </c>
      <c r="B306" s="17"/>
      <c r="C306" s="18"/>
      <c r="D306" s="18"/>
      <c r="E306" s="18"/>
      <c r="F306" s="18"/>
      <c r="G306" s="18"/>
      <c r="H306" s="18"/>
      <c r="I306" s="18"/>
      <c r="J306" s="19"/>
      <c r="K306" s="20"/>
      <c r="L306" s="20"/>
      <c r="M306" s="19"/>
      <c r="N306" s="18"/>
      <c r="O306" s="18"/>
      <c r="P306" s="18"/>
      <c r="Q306" s="18"/>
      <c r="R306" s="21" t="str">
        <f>IF(C306="","",IFERROR(INDEX('THAM SỐ'!$F$5:$F$7,MATCH(C306,'THAM SỐ'!$A$5:$A$7,0)),""))</f>
        <v/>
      </c>
      <c r="S306" s="22" t="str">
        <f t="shared" si="12"/>
        <v/>
      </c>
      <c r="T306" s="16" t="str">
        <f t="shared" si="13"/>
        <v/>
      </c>
      <c r="U306" s="23" t="str">
        <f t="shared" si="14"/>
        <v/>
      </c>
      <c r="V306" s="18"/>
    </row>
    <row r="307" spans="1:22" x14ac:dyDescent="0.45">
      <c r="A307" s="16" t="str">
        <f>IF(B307="","","LDX-"&amp;TEXT(B307,"yymmdd")&amp;"-"&amp;TEXT(COUNTIFS(B$5:B307,B307),"00"))</f>
        <v/>
      </c>
      <c r="B307" s="17"/>
      <c r="C307" s="18"/>
      <c r="D307" s="18"/>
      <c r="E307" s="18"/>
      <c r="F307" s="18"/>
      <c r="G307" s="18"/>
      <c r="H307" s="18"/>
      <c r="I307" s="18"/>
      <c r="J307" s="19"/>
      <c r="K307" s="20"/>
      <c r="L307" s="20"/>
      <c r="M307" s="19"/>
      <c r="N307" s="18"/>
      <c r="O307" s="18"/>
      <c r="P307" s="18"/>
      <c r="Q307" s="18"/>
      <c r="R307" s="21" t="str">
        <f>IF(C307="","",IFERROR(INDEX('THAM SỐ'!$F$5:$F$7,MATCH(C307,'THAM SỐ'!$A$5:$A$7,0)),""))</f>
        <v/>
      </c>
      <c r="S307" s="22" t="str">
        <f t="shared" si="12"/>
        <v/>
      </c>
      <c r="T307" s="16" t="str">
        <f t="shared" si="13"/>
        <v/>
      </c>
      <c r="U307" s="23" t="str">
        <f t="shared" si="14"/>
        <v/>
      </c>
      <c r="V307" s="18"/>
    </row>
    <row r="308" spans="1:22" x14ac:dyDescent="0.45">
      <c r="A308" s="16" t="str">
        <f>IF(B308="","","LDX-"&amp;TEXT(B308,"yymmdd")&amp;"-"&amp;TEXT(COUNTIFS(B$5:B308,B308),"00"))</f>
        <v/>
      </c>
      <c r="B308" s="17"/>
      <c r="C308" s="18"/>
      <c r="D308" s="18"/>
      <c r="E308" s="18"/>
      <c r="F308" s="18"/>
      <c r="G308" s="18"/>
      <c r="H308" s="18"/>
      <c r="I308" s="18"/>
      <c r="J308" s="19"/>
      <c r="K308" s="20"/>
      <c r="L308" s="20"/>
      <c r="M308" s="19"/>
      <c r="N308" s="18"/>
      <c r="O308" s="18"/>
      <c r="P308" s="18"/>
      <c r="Q308" s="18"/>
      <c r="R308" s="21" t="str">
        <f>IF(C308="","",IFERROR(INDEX('THAM SỐ'!$F$5:$F$7,MATCH(C308,'THAM SỐ'!$A$5:$A$7,0)),""))</f>
        <v/>
      </c>
      <c r="S308" s="22" t="str">
        <f t="shared" si="12"/>
        <v/>
      </c>
      <c r="T308" s="16" t="str">
        <f t="shared" si="13"/>
        <v/>
      </c>
      <c r="U308" s="23" t="str">
        <f t="shared" si="14"/>
        <v/>
      </c>
      <c r="V308" s="18"/>
    </row>
    <row r="309" spans="1:22" x14ac:dyDescent="0.45">
      <c r="A309" s="16" t="str">
        <f>IF(B309="","","LDX-"&amp;TEXT(B309,"yymmdd")&amp;"-"&amp;TEXT(COUNTIFS(B$5:B309,B309),"00"))</f>
        <v/>
      </c>
      <c r="B309" s="17"/>
      <c r="C309" s="18"/>
      <c r="D309" s="18"/>
      <c r="E309" s="18"/>
      <c r="F309" s="18"/>
      <c r="G309" s="18"/>
      <c r="H309" s="18"/>
      <c r="I309" s="18"/>
      <c r="J309" s="19"/>
      <c r="K309" s="20"/>
      <c r="L309" s="20"/>
      <c r="M309" s="19"/>
      <c r="N309" s="18"/>
      <c r="O309" s="18"/>
      <c r="P309" s="18"/>
      <c r="Q309" s="18"/>
      <c r="R309" s="21" t="str">
        <f>IF(C309="","",IFERROR(INDEX('THAM SỐ'!$F$5:$F$7,MATCH(C309,'THAM SỐ'!$A$5:$A$7,0)),""))</f>
        <v/>
      </c>
      <c r="S309" s="22" t="str">
        <f t="shared" si="12"/>
        <v/>
      </c>
      <c r="T309" s="16" t="str">
        <f t="shared" si="13"/>
        <v/>
      </c>
      <c r="U309" s="23" t="str">
        <f t="shared" si="14"/>
        <v/>
      </c>
      <c r="V309" s="18"/>
    </row>
    <row r="310" spans="1:22" x14ac:dyDescent="0.45">
      <c r="A310" s="16" t="str">
        <f>IF(B310="","","LDX-"&amp;TEXT(B310,"yymmdd")&amp;"-"&amp;TEXT(COUNTIFS(B$5:B310,B310),"00"))</f>
        <v/>
      </c>
      <c r="B310" s="17"/>
      <c r="C310" s="18"/>
      <c r="D310" s="18"/>
      <c r="E310" s="18"/>
      <c r="F310" s="18"/>
      <c r="G310" s="18"/>
      <c r="H310" s="18"/>
      <c r="I310" s="18"/>
      <c r="J310" s="19"/>
      <c r="K310" s="20"/>
      <c r="L310" s="20"/>
      <c r="M310" s="19"/>
      <c r="N310" s="18"/>
      <c r="O310" s="18"/>
      <c r="P310" s="18"/>
      <c r="Q310" s="18"/>
      <c r="R310" s="21" t="str">
        <f>IF(C310="","",IFERROR(INDEX('THAM SỐ'!$F$5:$F$7,MATCH(C310,'THAM SỐ'!$A$5:$A$7,0)),""))</f>
        <v/>
      </c>
      <c r="S310" s="22" t="str">
        <f t="shared" si="12"/>
        <v/>
      </c>
      <c r="T310" s="16" t="str">
        <f t="shared" si="13"/>
        <v/>
      </c>
      <c r="U310" s="23" t="str">
        <f t="shared" si="14"/>
        <v/>
      </c>
      <c r="V310" s="18"/>
    </row>
    <row r="311" spans="1:22" x14ac:dyDescent="0.45">
      <c r="A311" s="16" t="str">
        <f>IF(B311="","","LDX-"&amp;TEXT(B311,"yymmdd")&amp;"-"&amp;TEXT(COUNTIFS(B$5:B311,B311),"00"))</f>
        <v/>
      </c>
      <c r="B311" s="17"/>
      <c r="C311" s="18"/>
      <c r="D311" s="18"/>
      <c r="E311" s="18"/>
      <c r="F311" s="18"/>
      <c r="G311" s="18"/>
      <c r="H311" s="18"/>
      <c r="I311" s="18"/>
      <c r="J311" s="19"/>
      <c r="K311" s="20"/>
      <c r="L311" s="20"/>
      <c r="M311" s="19"/>
      <c r="N311" s="18"/>
      <c r="O311" s="18"/>
      <c r="P311" s="18"/>
      <c r="Q311" s="18"/>
      <c r="R311" s="21" t="str">
        <f>IF(C311="","",IFERROR(INDEX('THAM SỐ'!$F$5:$F$7,MATCH(C311,'THAM SỐ'!$A$5:$A$7,0)),""))</f>
        <v/>
      </c>
      <c r="S311" s="22" t="str">
        <f t="shared" si="12"/>
        <v/>
      </c>
      <c r="T311" s="16" t="str">
        <f t="shared" si="13"/>
        <v/>
      </c>
      <c r="U311" s="23" t="str">
        <f t="shared" si="14"/>
        <v/>
      </c>
      <c r="V311" s="18"/>
    </row>
    <row r="312" spans="1:22" x14ac:dyDescent="0.45">
      <c r="A312" s="16" t="str">
        <f>IF(B312="","","LDX-"&amp;TEXT(B312,"yymmdd")&amp;"-"&amp;TEXT(COUNTIFS(B$5:B312,B312),"00"))</f>
        <v/>
      </c>
      <c r="B312" s="17"/>
      <c r="C312" s="18"/>
      <c r="D312" s="18"/>
      <c r="E312" s="18"/>
      <c r="F312" s="18"/>
      <c r="G312" s="18"/>
      <c r="H312" s="18"/>
      <c r="I312" s="18"/>
      <c r="J312" s="19"/>
      <c r="K312" s="20"/>
      <c r="L312" s="20"/>
      <c r="M312" s="19"/>
      <c r="N312" s="18"/>
      <c r="O312" s="18"/>
      <c r="P312" s="18"/>
      <c r="Q312" s="18"/>
      <c r="R312" s="21" t="str">
        <f>IF(C312="","",IFERROR(INDEX('THAM SỐ'!$F$5:$F$7,MATCH(C312,'THAM SỐ'!$A$5:$A$7,0)),""))</f>
        <v/>
      </c>
      <c r="S312" s="22" t="str">
        <f t="shared" si="12"/>
        <v/>
      </c>
      <c r="T312" s="16" t="str">
        <f t="shared" si="13"/>
        <v/>
      </c>
      <c r="U312" s="23" t="str">
        <f t="shared" si="14"/>
        <v/>
      </c>
      <c r="V312" s="18"/>
    </row>
    <row r="313" spans="1:22" x14ac:dyDescent="0.45">
      <c r="A313" s="16" t="str">
        <f>IF(B313="","","LDX-"&amp;TEXT(B313,"yymmdd")&amp;"-"&amp;TEXT(COUNTIFS(B$5:B313,B313),"00"))</f>
        <v/>
      </c>
      <c r="B313" s="17"/>
      <c r="C313" s="18"/>
      <c r="D313" s="18"/>
      <c r="E313" s="18"/>
      <c r="F313" s="18"/>
      <c r="G313" s="18"/>
      <c r="H313" s="18"/>
      <c r="I313" s="18"/>
      <c r="J313" s="19"/>
      <c r="K313" s="20"/>
      <c r="L313" s="20"/>
      <c r="M313" s="19"/>
      <c r="N313" s="18"/>
      <c r="O313" s="18"/>
      <c r="P313" s="18"/>
      <c r="Q313" s="18"/>
      <c r="R313" s="21" t="str">
        <f>IF(C313="","",IFERROR(INDEX('THAM SỐ'!$F$5:$F$7,MATCH(C313,'THAM SỐ'!$A$5:$A$7,0)),""))</f>
        <v/>
      </c>
      <c r="S313" s="22" t="str">
        <f t="shared" si="12"/>
        <v/>
      </c>
      <c r="T313" s="16" t="str">
        <f t="shared" si="13"/>
        <v/>
      </c>
      <c r="U313" s="23" t="str">
        <f t="shared" si="14"/>
        <v/>
      </c>
      <c r="V313" s="18"/>
    </row>
    <row r="314" spans="1:22" x14ac:dyDescent="0.45">
      <c r="A314" s="16" t="str">
        <f>IF(B314="","","LDX-"&amp;TEXT(B314,"yymmdd")&amp;"-"&amp;TEXT(COUNTIFS(B$5:B314,B314),"00"))</f>
        <v/>
      </c>
      <c r="B314" s="17"/>
      <c r="C314" s="18"/>
      <c r="D314" s="18"/>
      <c r="E314" s="18"/>
      <c r="F314" s="18"/>
      <c r="G314" s="18"/>
      <c r="H314" s="18"/>
      <c r="I314" s="18"/>
      <c r="J314" s="19"/>
      <c r="K314" s="20"/>
      <c r="L314" s="20"/>
      <c r="M314" s="19"/>
      <c r="N314" s="18"/>
      <c r="O314" s="18"/>
      <c r="P314" s="18"/>
      <c r="Q314" s="18"/>
      <c r="R314" s="21" t="str">
        <f>IF(C314="","",IFERROR(INDEX('THAM SỐ'!$F$5:$F$7,MATCH(C314,'THAM SỐ'!$A$5:$A$7,0)),""))</f>
        <v/>
      </c>
      <c r="S314" s="22" t="str">
        <f t="shared" si="12"/>
        <v/>
      </c>
      <c r="T314" s="16" t="str">
        <f t="shared" si="13"/>
        <v/>
      </c>
      <c r="U314" s="23" t="str">
        <f t="shared" si="14"/>
        <v/>
      </c>
      <c r="V314" s="18"/>
    </row>
    <row r="315" spans="1:22" x14ac:dyDescent="0.45">
      <c r="A315" s="16" t="str">
        <f>IF(B315="","","LDX-"&amp;TEXT(B315,"yymmdd")&amp;"-"&amp;TEXT(COUNTIFS(B$5:B315,B315),"00"))</f>
        <v/>
      </c>
      <c r="B315" s="17"/>
      <c r="C315" s="18"/>
      <c r="D315" s="18"/>
      <c r="E315" s="18"/>
      <c r="F315" s="18"/>
      <c r="G315" s="18"/>
      <c r="H315" s="18"/>
      <c r="I315" s="18"/>
      <c r="J315" s="19"/>
      <c r="K315" s="20"/>
      <c r="L315" s="20"/>
      <c r="M315" s="19"/>
      <c r="N315" s="18"/>
      <c r="O315" s="18"/>
      <c r="P315" s="18"/>
      <c r="Q315" s="18"/>
      <c r="R315" s="21" t="str">
        <f>IF(C315="","",IFERROR(INDEX('THAM SỐ'!$F$5:$F$7,MATCH(C315,'THAM SỐ'!$A$5:$A$7,0)),""))</f>
        <v/>
      </c>
      <c r="S315" s="22" t="str">
        <f t="shared" si="12"/>
        <v/>
      </c>
      <c r="T315" s="16" t="str">
        <f t="shared" si="13"/>
        <v/>
      </c>
      <c r="U315" s="23" t="str">
        <f t="shared" si="14"/>
        <v/>
      </c>
      <c r="V315" s="18"/>
    </row>
    <row r="316" spans="1:22" x14ac:dyDescent="0.45">
      <c r="A316" s="16" t="str">
        <f>IF(B316="","","LDX-"&amp;TEXT(B316,"yymmdd")&amp;"-"&amp;TEXT(COUNTIFS(B$5:B316,B316),"00"))</f>
        <v/>
      </c>
      <c r="B316" s="17"/>
      <c r="C316" s="18"/>
      <c r="D316" s="18"/>
      <c r="E316" s="18"/>
      <c r="F316" s="18"/>
      <c r="G316" s="18"/>
      <c r="H316" s="18"/>
      <c r="I316" s="18"/>
      <c r="J316" s="19"/>
      <c r="K316" s="20"/>
      <c r="L316" s="20"/>
      <c r="M316" s="19"/>
      <c r="N316" s="18"/>
      <c r="O316" s="18"/>
      <c r="P316" s="18"/>
      <c r="Q316" s="18"/>
      <c r="R316" s="21" t="str">
        <f>IF(C316="","",IFERROR(INDEX('THAM SỐ'!$F$5:$F$7,MATCH(C316,'THAM SỐ'!$A$5:$A$7,0)),""))</f>
        <v/>
      </c>
      <c r="S316" s="22" t="str">
        <f t="shared" si="12"/>
        <v/>
      </c>
      <c r="T316" s="16" t="str">
        <f t="shared" si="13"/>
        <v/>
      </c>
      <c r="U316" s="23" t="str">
        <f t="shared" si="14"/>
        <v/>
      </c>
      <c r="V316" s="18"/>
    </row>
    <row r="317" spans="1:22" x14ac:dyDescent="0.45">
      <c r="A317" s="16" t="str">
        <f>IF(B317="","","LDX-"&amp;TEXT(B317,"yymmdd")&amp;"-"&amp;TEXT(COUNTIFS(B$5:B317,B317),"00"))</f>
        <v/>
      </c>
      <c r="B317" s="17"/>
      <c r="C317" s="18"/>
      <c r="D317" s="18"/>
      <c r="E317" s="18"/>
      <c r="F317" s="18"/>
      <c r="G317" s="18"/>
      <c r="H317" s="18"/>
      <c r="I317" s="18"/>
      <c r="J317" s="19"/>
      <c r="K317" s="20"/>
      <c r="L317" s="20"/>
      <c r="M317" s="19"/>
      <c r="N317" s="18"/>
      <c r="O317" s="18"/>
      <c r="P317" s="18"/>
      <c r="Q317" s="18"/>
      <c r="R317" s="21" t="str">
        <f>IF(C317="","",IFERROR(INDEX('THAM SỐ'!$F$5:$F$7,MATCH(C317,'THAM SỐ'!$A$5:$A$7,0)),""))</f>
        <v/>
      </c>
      <c r="S317" s="22" t="str">
        <f t="shared" si="12"/>
        <v/>
      </c>
      <c r="T317" s="16" t="str">
        <f t="shared" si="13"/>
        <v/>
      </c>
      <c r="U317" s="23" t="str">
        <f t="shared" si="14"/>
        <v/>
      </c>
      <c r="V317" s="18"/>
    </row>
    <row r="318" spans="1:22" x14ac:dyDescent="0.45">
      <c r="A318" s="16" t="str">
        <f>IF(B318="","","LDX-"&amp;TEXT(B318,"yymmdd")&amp;"-"&amp;TEXT(COUNTIFS(B$5:B318,B318),"00"))</f>
        <v/>
      </c>
      <c r="B318" s="17"/>
      <c r="C318" s="18"/>
      <c r="D318" s="18"/>
      <c r="E318" s="18"/>
      <c r="F318" s="18"/>
      <c r="G318" s="18"/>
      <c r="H318" s="18"/>
      <c r="I318" s="18"/>
      <c r="J318" s="19"/>
      <c r="K318" s="20"/>
      <c r="L318" s="20"/>
      <c r="M318" s="19"/>
      <c r="N318" s="18"/>
      <c r="O318" s="18"/>
      <c r="P318" s="18"/>
      <c r="Q318" s="18"/>
      <c r="R318" s="21" t="str">
        <f>IF(C318="","",IFERROR(INDEX('THAM SỐ'!$F$5:$F$7,MATCH(C318,'THAM SỐ'!$A$5:$A$7,0)),""))</f>
        <v/>
      </c>
      <c r="S318" s="22" t="str">
        <f t="shared" si="12"/>
        <v/>
      </c>
      <c r="T318" s="16" t="str">
        <f t="shared" si="13"/>
        <v/>
      </c>
      <c r="U318" s="23" t="str">
        <f t="shared" si="14"/>
        <v/>
      </c>
      <c r="V318" s="18"/>
    </row>
    <row r="319" spans="1:22" x14ac:dyDescent="0.45">
      <c r="A319" s="16" t="str">
        <f>IF(B319="","","LDX-"&amp;TEXT(B319,"yymmdd")&amp;"-"&amp;TEXT(COUNTIFS(B$5:B319,B319),"00"))</f>
        <v/>
      </c>
      <c r="B319" s="17"/>
      <c r="C319" s="18"/>
      <c r="D319" s="18"/>
      <c r="E319" s="18"/>
      <c r="F319" s="18"/>
      <c r="G319" s="18"/>
      <c r="H319" s="18"/>
      <c r="I319" s="18"/>
      <c r="J319" s="19"/>
      <c r="K319" s="20"/>
      <c r="L319" s="20"/>
      <c r="M319" s="19"/>
      <c r="N319" s="18"/>
      <c r="O319" s="18"/>
      <c r="P319" s="18"/>
      <c r="Q319" s="18"/>
      <c r="R319" s="21" t="str">
        <f>IF(C319="","",IFERROR(INDEX('THAM SỐ'!$F$5:$F$7,MATCH(C319,'THAM SỐ'!$A$5:$A$7,0)),""))</f>
        <v/>
      </c>
      <c r="S319" s="22" t="str">
        <f t="shared" si="12"/>
        <v/>
      </c>
      <c r="T319" s="16" t="str">
        <f t="shared" si="13"/>
        <v/>
      </c>
      <c r="U319" s="23" t="str">
        <f t="shared" si="14"/>
        <v/>
      </c>
      <c r="V319" s="18"/>
    </row>
    <row r="320" spans="1:22" x14ac:dyDescent="0.45">
      <c r="A320" s="16" t="str">
        <f>IF(B320="","","LDX-"&amp;TEXT(B320,"yymmdd")&amp;"-"&amp;TEXT(COUNTIFS(B$5:B320,B320),"00"))</f>
        <v/>
      </c>
      <c r="B320" s="17"/>
      <c r="C320" s="18"/>
      <c r="D320" s="18"/>
      <c r="E320" s="18"/>
      <c r="F320" s="18"/>
      <c r="G320" s="18"/>
      <c r="H320" s="18"/>
      <c r="I320" s="18"/>
      <c r="J320" s="19"/>
      <c r="K320" s="20"/>
      <c r="L320" s="20"/>
      <c r="M320" s="19"/>
      <c r="N320" s="18"/>
      <c r="O320" s="18"/>
      <c r="P320" s="18"/>
      <c r="Q320" s="18"/>
      <c r="R320" s="21" t="str">
        <f>IF(C320="","",IFERROR(INDEX('THAM SỐ'!$F$5:$F$7,MATCH(C320,'THAM SỐ'!$A$5:$A$7,0)),""))</f>
        <v/>
      </c>
      <c r="S320" s="22" t="str">
        <f t="shared" si="12"/>
        <v/>
      </c>
      <c r="T320" s="16" t="str">
        <f t="shared" si="13"/>
        <v/>
      </c>
      <c r="U320" s="23" t="str">
        <f t="shared" si="14"/>
        <v/>
      </c>
      <c r="V320" s="18"/>
    </row>
    <row r="321" spans="1:22" x14ac:dyDescent="0.45">
      <c r="A321" s="16" t="str">
        <f>IF(B321="","","LDX-"&amp;TEXT(B321,"yymmdd")&amp;"-"&amp;TEXT(COUNTIFS(B$5:B321,B321),"00"))</f>
        <v/>
      </c>
      <c r="B321" s="17"/>
      <c r="C321" s="18"/>
      <c r="D321" s="18"/>
      <c r="E321" s="18"/>
      <c r="F321" s="18"/>
      <c r="G321" s="18"/>
      <c r="H321" s="18"/>
      <c r="I321" s="18"/>
      <c r="J321" s="19"/>
      <c r="K321" s="20"/>
      <c r="L321" s="20"/>
      <c r="M321" s="19"/>
      <c r="N321" s="18"/>
      <c r="O321" s="18"/>
      <c r="P321" s="18"/>
      <c r="Q321" s="18"/>
      <c r="R321" s="21" t="str">
        <f>IF(C321="","",IFERROR(INDEX('THAM SỐ'!$F$5:$F$7,MATCH(C321,'THAM SỐ'!$A$5:$A$7,0)),""))</f>
        <v/>
      </c>
      <c r="S321" s="22" t="str">
        <f t="shared" si="12"/>
        <v/>
      </c>
      <c r="T321" s="16" t="str">
        <f t="shared" si="13"/>
        <v/>
      </c>
      <c r="U321" s="23" t="str">
        <f t="shared" si="14"/>
        <v/>
      </c>
      <c r="V321" s="18"/>
    </row>
    <row r="322" spans="1:22" x14ac:dyDescent="0.45">
      <c r="A322" s="16" t="str">
        <f>IF(B322="","","LDX-"&amp;TEXT(B322,"yymmdd")&amp;"-"&amp;TEXT(COUNTIFS(B$5:B322,B322),"00"))</f>
        <v/>
      </c>
      <c r="B322" s="17"/>
      <c r="C322" s="18"/>
      <c r="D322" s="18"/>
      <c r="E322" s="18"/>
      <c r="F322" s="18"/>
      <c r="G322" s="18"/>
      <c r="H322" s="18"/>
      <c r="I322" s="18"/>
      <c r="J322" s="19"/>
      <c r="K322" s="20"/>
      <c r="L322" s="20"/>
      <c r="M322" s="19"/>
      <c r="N322" s="18"/>
      <c r="O322" s="18"/>
      <c r="P322" s="18"/>
      <c r="Q322" s="18"/>
      <c r="R322" s="21" t="str">
        <f>IF(C322="","",IFERROR(INDEX('THAM SỐ'!$F$5:$F$7,MATCH(C322,'THAM SỐ'!$A$5:$A$7,0)),""))</f>
        <v/>
      </c>
      <c r="S322" s="22" t="str">
        <f t="shared" si="12"/>
        <v/>
      </c>
      <c r="T322" s="16" t="str">
        <f t="shared" si="13"/>
        <v/>
      </c>
      <c r="U322" s="23" t="str">
        <f t="shared" si="14"/>
        <v/>
      </c>
      <c r="V322" s="18"/>
    </row>
    <row r="323" spans="1:22" x14ac:dyDescent="0.45">
      <c r="A323" s="16" t="str">
        <f>IF(B323="","","LDX-"&amp;TEXT(B323,"yymmdd")&amp;"-"&amp;TEXT(COUNTIFS(B$5:B323,B323),"00"))</f>
        <v/>
      </c>
      <c r="B323" s="17"/>
      <c r="C323" s="18"/>
      <c r="D323" s="18"/>
      <c r="E323" s="18"/>
      <c r="F323" s="18"/>
      <c r="G323" s="18"/>
      <c r="H323" s="18"/>
      <c r="I323" s="18"/>
      <c r="J323" s="19"/>
      <c r="K323" s="20"/>
      <c r="L323" s="20"/>
      <c r="M323" s="19"/>
      <c r="N323" s="18"/>
      <c r="O323" s="18"/>
      <c r="P323" s="18"/>
      <c r="Q323" s="18"/>
      <c r="R323" s="21" t="str">
        <f>IF(C323="","",IFERROR(INDEX('THAM SỐ'!$F$5:$F$7,MATCH(C323,'THAM SỐ'!$A$5:$A$7,0)),""))</f>
        <v/>
      </c>
      <c r="S323" s="22" t="str">
        <f t="shared" si="12"/>
        <v/>
      </c>
      <c r="T323" s="16" t="str">
        <f t="shared" si="13"/>
        <v/>
      </c>
      <c r="U323" s="23" t="str">
        <f t="shared" si="14"/>
        <v/>
      </c>
      <c r="V323" s="18"/>
    </row>
    <row r="324" spans="1:22" x14ac:dyDescent="0.45">
      <c r="A324" s="16" t="str">
        <f>IF(B324="","","LDX-"&amp;TEXT(B324,"yymmdd")&amp;"-"&amp;TEXT(COUNTIFS(B$5:B324,B324),"00"))</f>
        <v/>
      </c>
      <c r="B324" s="17"/>
      <c r="C324" s="18"/>
      <c r="D324" s="18"/>
      <c r="E324" s="18"/>
      <c r="F324" s="18"/>
      <c r="G324" s="18"/>
      <c r="H324" s="18"/>
      <c r="I324" s="18"/>
      <c r="J324" s="19"/>
      <c r="K324" s="20"/>
      <c r="L324" s="20"/>
      <c r="M324" s="19"/>
      <c r="N324" s="18"/>
      <c r="O324" s="18"/>
      <c r="P324" s="18"/>
      <c r="Q324" s="18"/>
      <c r="R324" s="21" t="str">
        <f>IF(C324="","",IFERROR(INDEX('THAM SỐ'!$F$5:$F$7,MATCH(C324,'THAM SỐ'!$A$5:$A$7,0)),""))</f>
        <v/>
      </c>
      <c r="S324" s="22" t="str">
        <f t="shared" si="12"/>
        <v/>
      </c>
      <c r="T324" s="16" t="str">
        <f t="shared" si="13"/>
        <v/>
      </c>
      <c r="U324" s="23" t="str">
        <f t="shared" si="14"/>
        <v/>
      </c>
      <c r="V324" s="18"/>
    </row>
    <row r="325" spans="1:22" x14ac:dyDescent="0.45">
      <c r="A325" s="16" t="str">
        <f>IF(B325="","","LDX-"&amp;TEXT(B325,"yymmdd")&amp;"-"&amp;TEXT(COUNTIFS(B$5:B325,B325),"00"))</f>
        <v/>
      </c>
      <c r="B325" s="17"/>
      <c r="C325" s="18"/>
      <c r="D325" s="18"/>
      <c r="E325" s="18"/>
      <c r="F325" s="18"/>
      <c r="G325" s="18"/>
      <c r="H325" s="18"/>
      <c r="I325" s="18"/>
      <c r="J325" s="19"/>
      <c r="K325" s="20"/>
      <c r="L325" s="20"/>
      <c r="M325" s="19"/>
      <c r="N325" s="18"/>
      <c r="O325" s="18"/>
      <c r="P325" s="18"/>
      <c r="Q325" s="18"/>
      <c r="R325" s="21" t="str">
        <f>IF(C325="","",IFERROR(INDEX('THAM SỐ'!$F$5:$F$7,MATCH(C325,'THAM SỐ'!$A$5:$A$7,0)),""))</f>
        <v/>
      </c>
      <c r="S325" s="22" t="str">
        <f t="shared" ref="S325:S388" si="15">IF(OR(M325="",R325="",R325=0),"",M325/R325)</f>
        <v/>
      </c>
      <c r="T325" s="16" t="str">
        <f t="shared" ref="T325:T388" si="16">IF(S325="","",IF(S325&gt;1,"QUÁ TẢI",IF(S325&gt;0.9,"Sát tải","Đạt")))</f>
        <v/>
      </c>
      <c r="U325" s="23" t="str">
        <f t="shared" ref="U325:U388" si="17">IF(L325="","",L325+(L325&lt;4/24))</f>
        <v/>
      </c>
      <c r="V325" s="18"/>
    </row>
    <row r="326" spans="1:22" x14ac:dyDescent="0.45">
      <c r="A326" s="16" t="str">
        <f>IF(B326="","","LDX-"&amp;TEXT(B326,"yymmdd")&amp;"-"&amp;TEXT(COUNTIFS(B$5:B326,B326),"00"))</f>
        <v/>
      </c>
      <c r="B326" s="17"/>
      <c r="C326" s="18"/>
      <c r="D326" s="18"/>
      <c r="E326" s="18"/>
      <c r="F326" s="18"/>
      <c r="G326" s="18"/>
      <c r="H326" s="18"/>
      <c r="I326" s="18"/>
      <c r="J326" s="19"/>
      <c r="K326" s="20"/>
      <c r="L326" s="20"/>
      <c r="M326" s="19"/>
      <c r="N326" s="18"/>
      <c r="O326" s="18"/>
      <c r="P326" s="18"/>
      <c r="Q326" s="18"/>
      <c r="R326" s="21" t="str">
        <f>IF(C326="","",IFERROR(INDEX('THAM SỐ'!$F$5:$F$7,MATCH(C326,'THAM SỐ'!$A$5:$A$7,0)),""))</f>
        <v/>
      </c>
      <c r="S326" s="22" t="str">
        <f t="shared" si="15"/>
        <v/>
      </c>
      <c r="T326" s="16" t="str">
        <f t="shared" si="16"/>
        <v/>
      </c>
      <c r="U326" s="23" t="str">
        <f t="shared" si="17"/>
        <v/>
      </c>
      <c r="V326" s="18"/>
    </row>
    <row r="327" spans="1:22" x14ac:dyDescent="0.45">
      <c r="A327" s="16" t="str">
        <f>IF(B327="","","LDX-"&amp;TEXT(B327,"yymmdd")&amp;"-"&amp;TEXT(COUNTIFS(B$5:B327,B327),"00"))</f>
        <v/>
      </c>
      <c r="B327" s="17"/>
      <c r="C327" s="18"/>
      <c r="D327" s="18"/>
      <c r="E327" s="18"/>
      <c r="F327" s="18"/>
      <c r="G327" s="18"/>
      <c r="H327" s="18"/>
      <c r="I327" s="18"/>
      <c r="J327" s="19"/>
      <c r="K327" s="20"/>
      <c r="L327" s="20"/>
      <c r="M327" s="19"/>
      <c r="N327" s="18"/>
      <c r="O327" s="18"/>
      <c r="P327" s="18"/>
      <c r="Q327" s="18"/>
      <c r="R327" s="21" t="str">
        <f>IF(C327="","",IFERROR(INDEX('THAM SỐ'!$F$5:$F$7,MATCH(C327,'THAM SỐ'!$A$5:$A$7,0)),""))</f>
        <v/>
      </c>
      <c r="S327" s="22" t="str">
        <f t="shared" si="15"/>
        <v/>
      </c>
      <c r="T327" s="16" t="str">
        <f t="shared" si="16"/>
        <v/>
      </c>
      <c r="U327" s="23" t="str">
        <f t="shared" si="17"/>
        <v/>
      </c>
      <c r="V327" s="18"/>
    </row>
    <row r="328" spans="1:22" x14ac:dyDescent="0.45">
      <c r="A328" s="16" t="str">
        <f>IF(B328="","","LDX-"&amp;TEXT(B328,"yymmdd")&amp;"-"&amp;TEXT(COUNTIFS(B$5:B328,B328),"00"))</f>
        <v/>
      </c>
      <c r="B328" s="17"/>
      <c r="C328" s="18"/>
      <c r="D328" s="18"/>
      <c r="E328" s="18"/>
      <c r="F328" s="18"/>
      <c r="G328" s="18"/>
      <c r="H328" s="18"/>
      <c r="I328" s="18"/>
      <c r="J328" s="19"/>
      <c r="K328" s="20"/>
      <c r="L328" s="20"/>
      <c r="M328" s="19"/>
      <c r="N328" s="18"/>
      <c r="O328" s="18"/>
      <c r="P328" s="18"/>
      <c r="Q328" s="18"/>
      <c r="R328" s="21" t="str">
        <f>IF(C328="","",IFERROR(INDEX('THAM SỐ'!$F$5:$F$7,MATCH(C328,'THAM SỐ'!$A$5:$A$7,0)),""))</f>
        <v/>
      </c>
      <c r="S328" s="22" t="str">
        <f t="shared" si="15"/>
        <v/>
      </c>
      <c r="T328" s="16" t="str">
        <f t="shared" si="16"/>
        <v/>
      </c>
      <c r="U328" s="23" t="str">
        <f t="shared" si="17"/>
        <v/>
      </c>
      <c r="V328" s="18"/>
    </row>
    <row r="329" spans="1:22" x14ac:dyDescent="0.45">
      <c r="A329" s="16" t="str">
        <f>IF(B329="","","LDX-"&amp;TEXT(B329,"yymmdd")&amp;"-"&amp;TEXT(COUNTIFS(B$5:B329,B329),"00"))</f>
        <v/>
      </c>
      <c r="B329" s="17"/>
      <c r="C329" s="18"/>
      <c r="D329" s="18"/>
      <c r="E329" s="18"/>
      <c r="F329" s="18"/>
      <c r="G329" s="18"/>
      <c r="H329" s="18"/>
      <c r="I329" s="18"/>
      <c r="J329" s="19"/>
      <c r="K329" s="20"/>
      <c r="L329" s="20"/>
      <c r="M329" s="19"/>
      <c r="N329" s="18"/>
      <c r="O329" s="18"/>
      <c r="P329" s="18"/>
      <c r="Q329" s="18"/>
      <c r="R329" s="21" t="str">
        <f>IF(C329="","",IFERROR(INDEX('THAM SỐ'!$F$5:$F$7,MATCH(C329,'THAM SỐ'!$A$5:$A$7,0)),""))</f>
        <v/>
      </c>
      <c r="S329" s="22" t="str">
        <f t="shared" si="15"/>
        <v/>
      </c>
      <c r="T329" s="16" t="str">
        <f t="shared" si="16"/>
        <v/>
      </c>
      <c r="U329" s="23" t="str">
        <f t="shared" si="17"/>
        <v/>
      </c>
      <c r="V329" s="18"/>
    </row>
    <row r="330" spans="1:22" x14ac:dyDescent="0.45">
      <c r="A330" s="16" t="str">
        <f>IF(B330="","","LDX-"&amp;TEXT(B330,"yymmdd")&amp;"-"&amp;TEXT(COUNTIFS(B$5:B330,B330),"00"))</f>
        <v/>
      </c>
      <c r="B330" s="17"/>
      <c r="C330" s="18"/>
      <c r="D330" s="18"/>
      <c r="E330" s="18"/>
      <c r="F330" s="18"/>
      <c r="G330" s="18"/>
      <c r="H330" s="18"/>
      <c r="I330" s="18"/>
      <c r="J330" s="19"/>
      <c r="K330" s="20"/>
      <c r="L330" s="20"/>
      <c r="M330" s="19"/>
      <c r="N330" s="18"/>
      <c r="O330" s="18"/>
      <c r="P330" s="18"/>
      <c r="Q330" s="18"/>
      <c r="R330" s="21" t="str">
        <f>IF(C330="","",IFERROR(INDEX('THAM SỐ'!$F$5:$F$7,MATCH(C330,'THAM SỐ'!$A$5:$A$7,0)),""))</f>
        <v/>
      </c>
      <c r="S330" s="22" t="str">
        <f t="shared" si="15"/>
        <v/>
      </c>
      <c r="T330" s="16" t="str">
        <f t="shared" si="16"/>
        <v/>
      </c>
      <c r="U330" s="23" t="str">
        <f t="shared" si="17"/>
        <v/>
      </c>
      <c r="V330" s="18"/>
    </row>
    <row r="331" spans="1:22" x14ac:dyDescent="0.45">
      <c r="A331" s="16" t="str">
        <f>IF(B331="","","LDX-"&amp;TEXT(B331,"yymmdd")&amp;"-"&amp;TEXT(COUNTIFS(B$5:B331,B331),"00"))</f>
        <v/>
      </c>
      <c r="B331" s="17"/>
      <c r="C331" s="18"/>
      <c r="D331" s="18"/>
      <c r="E331" s="18"/>
      <c r="F331" s="18"/>
      <c r="G331" s="18"/>
      <c r="H331" s="18"/>
      <c r="I331" s="18"/>
      <c r="J331" s="19"/>
      <c r="K331" s="20"/>
      <c r="L331" s="20"/>
      <c r="M331" s="19"/>
      <c r="N331" s="18"/>
      <c r="O331" s="18"/>
      <c r="P331" s="18"/>
      <c r="Q331" s="18"/>
      <c r="R331" s="21" t="str">
        <f>IF(C331="","",IFERROR(INDEX('THAM SỐ'!$F$5:$F$7,MATCH(C331,'THAM SỐ'!$A$5:$A$7,0)),""))</f>
        <v/>
      </c>
      <c r="S331" s="22" t="str">
        <f t="shared" si="15"/>
        <v/>
      </c>
      <c r="T331" s="16" t="str">
        <f t="shared" si="16"/>
        <v/>
      </c>
      <c r="U331" s="23" t="str">
        <f t="shared" si="17"/>
        <v/>
      </c>
      <c r="V331" s="18"/>
    </row>
    <row r="332" spans="1:22" x14ac:dyDescent="0.45">
      <c r="A332" s="16" t="str">
        <f>IF(B332="","","LDX-"&amp;TEXT(B332,"yymmdd")&amp;"-"&amp;TEXT(COUNTIFS(B$5:B332,B332),"00"))</f>
        <v/>
      </c>
      <c r="B332" s="17"/>
      <c r="C332" s="18"/>
      <c r="D332" s="18"/>
      <c r="E332" s="18"/>
      <c r="F332" s="18"/>
      <c r="G332" s="18"/>
      <c r="H332" s="18"/>
      <c r="I332" s="18"/>
      <c r="J332" s="19"/>
      <c r="K332" s="20"/>
      <c r="L332" s="20"/>
      <c r="M332" s="19"/>
      <c r="N332" s="18"/>
      <c r="O332" s="18"/>
      <c r="P332" s="18"/>
      <c r="Q332" s="18"/>
      <c r="R332" s="21" t="str">
        <f>IF(C332="","",IFERROR(INDEX('THAM SỐ'!$F$5:$F$7,MATCH(C332,'THAM SỐ'!$A$5:$A$7,0)),""))</f>
        <v/>
      </c>
      <c r="S332" s="22" t="str">
        <f t="shared" si="15"/>
        <v/>
      </c>
      <c r="T332" s="16" t="str">
        <f t="shared" si="16"/>
        <v/>
      </c>
      <c r="U332" s="23" t="str">
        <f t="shared" si="17"/>
        <v/>
      </c>
      <c r="V332" s="18"/>
    </row>
    <row r="333" spans="1:22" x14ac:dyDescent="0.45">
      <c r="A333" s="16" t="str">
        <f>IF(B333="","","LDX-"&amp;TEXT(B333,"yymmdd")&amp;"-"&amp;TEXT(COUNTIFS(B$5:B333,B333),"00"))</f>
        <v/>
      </c>
      <c r="B333" s="17"/>
      <c r="C333" s="18"/>
      <c r="D333" s="18"/>
      <c r="E333" s="18"/>
      <c r="F333" s="18"/>
      <c r="G333" s="18"/>
      <c r="H333" s="18"/>
      <c r="I333" s="18"/>
      <c r="J333" s="19"/>
      <c r="K333" s="20"/>
      <c r="L333" s="20"/>
      <c r="M333" s="19"/>
      <c r="N333" s="18"/>
      <c r="O333" s="18"/>
      <c r="P333" s="18"/>
      <c r="Q333" s="18"/>
      <c r="R333" s="21" t="str">
        <f>IF(C333="","",IFERROR(INDEX('THAM SỐ'!$F$5:$F$7,MATCH(C333,'THAM SỐ'!$A$5:$A$7,0)),""))</f>
        <v/>
      </c>
      <c r="S333" s="22" t="str">
        <f t="shared" si="15"/>
        <v/>
      </c>
      <c r="T333" s="16" t="str">
        <f t="shared" si="16"/>
        <v/>
      </c>
      <c r="U333" s="23" t="str">
        <f t="shared" si="17"/>
        <v/>
      </c>
      <c r="V333" s="18"/>
    </row>
    <row r="334" spans="1:22" x14ac:dyDescent="0.45">
      <c r="A334" s="16" t="str">
        <f>IF(B334="","","LDX-"&amp;TEXT(B334,"yymmdd")&amp;"-"&amp;TEXT(COUNTIFS(B$5:B334,B334),"00"))</f>
        <v/>
      </c>
      <c r="B334" s="17"/>
      <c r="C334" s="18"/>
      <c r="D334" s="18"/>
      <c r="E334" s="18"/>
      <c r="F334" s="18"/>
      <c r="G334" s="18"/>
      <c r="H334" s="18"/>
      <c r="I334" s="18"/>
      <c r="J334" s="19"/>
      <c r="K334" s="20"/>
      <c r="L334" s="20"/>
      <c r="M334" s="19"/>
      <c r="N334" s="18"/>
      <c r="O334" s="18"/>
      <c r="P334" s="18"/>
      <c r="Q334" s="18"/>
      <c r="R334" s="21" t="str">
        <f>IF(C334="","",IFERROR(INDEX('THAM SỐ'!$F$5:$F$7,MATCH(C334,'THAM SỐ'!$A$5:$A$7,0)),""))</f>
        <v/>
      </c>
      <c r="S334" s="22" t="str">
        <f t="shared" si="15"/>
        <v/>
      </c>
      <c r="T334" s="16" t="str">
        <f t="shared" si="16"/>
        <v/>
      </c>
      <c r="U334" s="23" t="str">
        <f t="shared" si="17"/>
        <v/>
      </c>
      <c r="V334" s="18"/>
    </row>
    <row r="335" spans="1:22" x14ac:dyDescent="0.45">
      <c r="A335" s="16" t="str">
        <f>IF(B335="","","LDX-"&amp;TEXT(B335,"yymmdd")&amp;"-"&amp;TEXT(COUNTIFS(B$5:B335,B335),"00"))</f>
        <v/>
      </c>
      <c r="B335" s="17"/>
      <c r="C335" s="18"/>
      <c r="D335" s="18"/>
      <c r="E335" s="18"/>
      <c r="F335" s="18"/>
      <c r="G335" s="18"/>
      <c r="H335" s="18"/>
      <c r="I335" s="18"/>
      <c r="J335" s="19"/>
      <c r="K335" s="20"/>
      <c r="L335" s="20"/>
      <c r="M335" s="19"/>
      <c r="N335" s="18"/>
      <c r="O335" s="18"/>
      <c r="P335" s="18"/>
      <c r="Q335" s="18"/>
      <c r="R335" s="21" t="str">
        <f>IF(C335="","",IFERROR(INDEX('THAM SỐ'!$F$5:$F$7,MATCH(C335,'THAM SỐ'!$A$5:$A$7,0)),""))</f>
        <v/>
      </c>
      <c r="S335" s="22" t="str">
        <f t="shared" si="15"/>
        <v/>
      </c>
      <c r="T335" s="16" t="str">
        <f t="shared" si="16"/>
        <v/>
      </c>
      <c r="U335" s="23" t="str">
        <f t="shared" si="17"/>
        <v/>
      </c>
      <c r="V335" s="18"/>
    </row>
    <row r="336" spans="1:22" x14ac:dyDescent="0.45">
      <c r="A336" s="16" t="str">
        <f>IF(B336="","","LDX-"&amp;TEXT(B336,"yymmdd")&amp;"-"&amp;TEXT(COUNTIFS(B$5:B336,B336),"00"))</f>
        <v/>
      </c>
      <c r="B336" s="17"/>
      <c r="C336" s="18"/>
      <c r="D336" s="18"/>
      <c r="E336" s="18"/>
      <c r="F336" s="18"/>
      <c r="G336" s="18"/>
      <c r="H336" s="18"/>
      <c r="I336" s="18"/>
      <c r="J336" s="19"/>
      <c r="K336" s="20"/>
      <c r="L336" s="20"/>
      <c r="M336" s="19"/>
      <c r="N336" s="18"/>
      <c r="O336" s="18"/>
      <c r="P336" s="18"/>
      <c r="Q336" s="18"/>
      <c r="R336" s="21" t="str">
        <f>IF(C336="","",IFERROR(INDEX('THAM SỐ'!$F$5:$F$7,MATCH(C336,'THAM SỐ'!$A$5:$A$7,0)),""))</f>
        <v/>
      </c>
      <c r="S336" s="22" t="str">
        <f t="shared" si="15"/>
        <v/>
      </c>
      <c r="T336" s="16" t="str">
        <f t="shared" si="16"/>
        <v/>
      </c>
      <c r="U336" s="23" t="str">
        <f t="shared" si="17"/>
        <v/>
      </c>
      <c r="V336" s="18"/>
    </row>
    <row r="337" spans="1:22" x14ac:dyDescent="0.45">
      <c r="A337" s="16" t="str">
        <f>IF(B337="","","LDX-"&amp;TEXT(B337,"yymmdd")&amp;"-"&amp;TEXT(COUNTIFS(B$5:B337,B337),"00"))</f>
        <v/>
      </c>
      <c r="B337" s="17"/>
      <c r="C337" s="18"/>
      <c r="D337" s="18"/>
      <c r="E337" s="18"/>
      <c r="F337" s="18"/>
      <c r="G337" s="18"/>
      <c r="H337" s="18"/>
      <c r="I337" s="18"/>
      <c r="J337" s="19"/>
      <c r="K337" s="20"/>
      <c r="L337" s="20"/>
      <c r="M337" s="19"/>
      <c r="N337" s="18"/>
      <c r="O337" s="18"/>
      <c r="P337" s="18"/>
      <c r="Q337" s="18"/>
      <c r="R337" s="21" t="str">
        <f>IF(C337="","",IFERROR(INDEX('THAM SỐ'!$F$5:$F$7,MATCH(C337,'THAM SỐ'!$A$5:$A$7,0)),""))</f>
        <v/>
      </c>
      <c r="S337" s="22" t="str">
        <f t="shared" si="15"/>
        <v/>
      </c>
      <c r="T337" s="16" t="str">
        <f t="shared" si="16"/>
        <v/>
      </c>
      <c r="U337" s="23" t="str">
        <f t="shared" si="17"/>
        <v/>
      </c>
      <c r="V337" s="18"/>
    </row>
    <row r="338" spans="1:22" x14ac:dyDescent="0.45">
      <c r="A338" s="16" t="str">
        <f>IF(B338="","","LDX-"&amp;TEXT(B338,"yymmdd")&amp;"-"&amp;TEXT(COUNTIFS(B$5:B338,B338),"00"))</f>
        <v/>
      </c>
      <c r="B338" s="17"/>
      <c r="C338" s="18"/>
      <c r="D338" s="18"/>
      <c r="E338" s="18"/>
      <c r="F338" s="18"/>
      <c r="G338" s="18"/>
      <c r="H338" s="18"/>
      <c r="I338" s="18"/>
      <c r="J338" s="19"/>
      <c r="K338" s="20"/>
      <c r="L338" s="20"/>
      <c r="M338" s="19"/>
      <c r="N338" s="18"/>
      <c r="O338" s="18"/>
      <c r="P338" s="18"/>
      <c r="Q338" s="18"/>
      <c r="R338" s="21" t="str">
        <f>IF(C338="","",IFERROR(INDEX('THAM SỐ'!$F$5:$F$7,MATCH(C338,'THAM SỐ'!$A$5:$A$7,0)),""))</f>
        <v/>
      </c>
      <c r="S338" s="22" t="str">
        <f t="shared" si="15"/>
        <v/>
      </c>
      <c r="T338" s="16" t="str">
        <f t="shared" si="16"/>
        <v/>
      </c>
      <c r="U338" s="23" t="str">
        <f t="shared" si="17"/>
        <v/>
      </c>
      <c r="V338" s="18"/>
    </row>
    <row r="339" spans="1:22" x14ac:dyDescent="0.45">
      <c r="A339" s="16" t="str">
        <f>IF(B339="","","LDX-"&amp;TEXT(B339,"yymmdd")&amp;"-"&amp;TEXT(COUNTIFS(B$5:B339,B339),"00"))</f>
        <v/>
      </c>
      <c r="B339" s="17"/>
      <c r="C339" s="18"/>
      <c r="D339" s="18"/>
      <c r="E339" s="18"/>
      <c r="F339" s="18"/>
      <c r="G339" s="18"/>
      <c r="H339" s="18"/>
      <c r="I339" s="18"/>
      <c r="J339" s="19"/>
      <c r="K339" s="20"/>
      <c r="L339" s="20"/>
      <c r="M339" s="19"/>
      <c r="N339" s="18"/>
      <c r="O339" s="18"/>
      <c r="P339" s="18"/>
      <c r="Q339" s="18"/>
      <c r="R339" s="21" t="str">
        <f>IF(C339="","",IFERROR(INDEX('THAM SỐ'!$F$5:$F$7,MATCH(C339,'THAM SỐ'!$A$5:$A$7,0)),""))</f>
        <v/>
      </c>
      <c r="S339" s="22" t="str">
        <f t="shared" si="15"/>
        <v/>
      </c>
      <c r="T339" s="16" t="str">
        <f t="shared" si="16"/>
        <v/>
      </c>
      <c r="U339" s="23" t="str">
        <f t="shared" si="17"/>
        <v/>
      </c>
      <c r="V339" s="18"/>
    </row>
    <row r="340" spans="1:22" x14ac:dyDescent="0.45">
      <c r="A340" s="16" t="str">
        <f>IF(B340="","","LDX-"&amp;TEXT(B340,"yymmdd")&amp;"-"&amp;TEXT(COUNTIFS(B$5:B340,B340),"00"))</f>
        <v/>
      </c>
      <c r="B340" s="17"/>
      <c r="C340" s="18"/>
      <c r="D340" s="18"/>
      <c r="E340" s="18"/>
      <c r="F340" s="18"/>
      <c r="G340" s="18"/>
      <c r="H340" s="18"/>
      <c r="I340" s="18"/>
      <c r="J340" s="19"/>
      <c r="K340" s="20"/>
      <c r="L340" s="20"/>
      <c r="M340" s="19"/>
      <c r="N340" s="18"/>
      <c r="O340" s="18"/>
      <c r="P340" s="18"/>
      <c r="Q340" s="18"/>
      <c r="R340" s="21" t="str">
        <f>IF(C340="","",IFERROR(INDEX('THAM SỐ'!$F$5:$F$7,MATCH(C340,'THAM SỐ'!$A$5:$A$7,0)),""))</f>
        <v/>
      </c>
      <c r="S340" s="22" t="str">
        <f t="shared" si="15"/>
        <v/>
      </c>
      <c r="T340" s="16" t="str">
        <f t="shared" si="16"/>
        <v/>
      </c>
      <c r="U340" s="23" t="str">
        <f t="shared" si="17"/>
        <v/>
      </c>
      <c r="V340" s="18"/>
    </row>
    <row r="341" spans="1:22" x14ac:dyDescent="0.45">
      <c r="A341" s="16" t="str">
        <f>IF(B341="","","LDX-"&amp;TEXT(B341,"yymmdd")&amp;"-"&amp;TEXT(COUNTIFS(B$5:B341,B341),"00"))</f>
        <v/>
      </c>
      <c r="B341" s="17"/>
      <c r="C341" s="18"/>
      <c r="D341" s="18"/>
      <c r="E341" s="18"/>
      <c r="F341" s="18"/>
      <c r="G341" s="18"/>
      <c r="H341" s="18"/>
      <c r="I341" s="18"/>
      <c r="J341" s="19"/>
      <c r="K341" s="20"/>
      <c r="L341" s="20"/>
      <c r="M341" s="19"/>
      <c r="N341" s="18"/>
      <c r="O341" s="18"/>
      <c r="P341" s="18"/>
      <c r="Q341" s="18"/>
      <c r="R341" s="21" t="str">
        <f>IF(C341="","",IFERROR(INDEX('THAM SỐ'!$F$5:$F$7,MATCH(C341,'THAM SỐ'!$A$5:$A$7,0)),""))</f>
        <v/>
      </c>
      <c r="S341" s="22" t="str">
        <f t="shared" si="15"/>
        <v/>
      </c>
      <c r="T341" s="16" t="str">
        <f t="shared" si="16"/>
        <v/>
      </c>
      <c r="U341" s="23" t="str">
        <f t="shared" si="17"/>
        <v/>
      </c>
      <c r="V341" s="18"/>
    </row>
    <row r="342" spans="1:22" x14ac:dyDescent="0.45">
      <c r="A342" s="16" t="str">
        <f>IF(B342="","","LDX-"&amp;TEXT(B342,"yymmdd")&amp;"-"&amp;TEXT(COUNTIFS(B$5:B342,B342),"00"))</f>
        <v/>
      </c>
      <c r="B342" s="17"/>
      <c r="C342" s="18"/>
      <c r="D342" s="18"/>
      <c r="E342" s="18"/>
      <c r="F342" s="18"/>
      <c r="G342" s="18"/>
      <c r="H342" s="18"/>
      <c r="I342" s="18"/>
      <c r="J342" s="19"/>
      <c r="K342" s="20"/>
      <c r="L342" s="20"/>
      <c r="M342" s="19"/>
      <c r="N342" s="18"/>
      <c r="O342" s="18"/>
      <c r="P342" s="18"/>
      <c r="Q342" s="18"/>
      <c r="R342" s="21" t="str">
        <f>IF(C342="","",IFERROR(INDEX('THAM SỐ'!$F$5:$F$7,MATCH(C342,'THAM SỐ'!$A$5:$A$7,0)),""))</f>
        <v/>
      </c>
      <c r="S342" s="22" t="str">
        <f t="shared" si="15"/>
        <v/>
      </c>
      <c r="T342" s="16" t="str">
        <f t="shared" si="16"/>
        <v/>
      </c>
      <c r="U342" s="23" t="str">
        <f t="shared" si="17"/>
        <v/>
      </c>
      <c r="V342" s="18"/>
    </row>
    <row r="343" spans="1:22" x14ac:dyDescent="0.45">
      <c r="A343" s="16" t="str">
        <f>IF(B343="","","LDX-"&amp;TEXT(B343,"yymmdd")&amp;"-"&amp;TEXT(COUNTIFS(B$5:B343,B343),"00"))</f>
        <v/>
      </c>
      <c r="B343" s="17"/>
      <c r="C343" s="18"/>
      <c r="D343" s="18"/>
      <c r="E343" s="18"/>
      <c r="F343" s="18"/>
      <c r="G343" s="18"/>
      <c r="H343" s="18"/>
      <c r="I343" s="18"/>
      <c r="J343" s="19"/>
      <c r="K343" s="20"/>
      <c r="L343" s="20"/>
      <c r="M343" s="19"/>
      <c r="N343" s="18"/>
      <c r="O343" s="18"/>
      <c r="P343" s="18"/>
      <c r="Q343" s="18"/>
      <c r="R343" s="21" t="str">
        <f>IF(C343="","",IFERROR(INDEX('THAM SỐ'!$F$5:$F$7,MATCH(C343,'THAM SỐ'!$A$5:$A$7,0)),""))</f>
        <v/>
      </c>
      <c r="S343" s="22" t="str">
        <f t="shared" si="15"/>
        <v/>
      </c>
      <c r="T343" s="16" t="str">
        <f t="shared" si="16"/>
        <v/>
      </c>
      <c r="U343" s="23" t="str">
        <f t="shared" si="17"/>
        <v/>
      </c>
      <c r="V343" s="18"/>
    </row>
    <row r="344" spans="1:22" x14ac:dyDescent="0.45">
      <c r="A344" s="16" t="str">
        <f>IF(B344="","","LDX-"&amp;TEXT(B344,"yymmdd")&amp;"-"&amp;TEXT(COUNTIFS(B$5:B344,B344),"00"))</f>
        <v/>
      </c>
      <c r="B344" s="17"/>
      <c r="C344" s="18"/>
      <c r="D344" s="18"/>
      <c r="E344" s="18"/>
      <c r="F344" s="18"/>
      <c r="G344" s="18"/>
      <c r="H344" s="18"/>
      <c r="I344" s="18"/>
      <c r="J344" s="19"/>
      <c r="K344" s="20"/>
      <c r="L344" s="20"/>
      <c r="M344" s="19"/>
      <c r="N344" s="18"/>
      <c r="O344" s="18"/>
      <c r="P344" s="18"/>
      <c r="Q344" s="18"/>
      <c r="R344" s="21" t="str">
        <f>IF(C344="","",IFERROR(INDEX('THAM SỐ'!$F$5:$F$7,MATCH(C344,'THAM SỐ'!$A$5:$A$7,0)),""))</f>
        <v/>
      </c>
      <c r="S344" s="22" t="str">
        <f t="shared" si="15"/>
        <v/>
      </c>
      <c r="T344" s="16" t="str">
        <f t="shared" si="16"/>
        <v/>
      </c>
      <c r="U344" s="23" t="str">
        <f t="shared" si="17"/>
        <v/>
      </c>
      <c r="V344" s="18"/>
    </row>
    <row r="345" spans="1:22" x14ac:dyDescent="0.45">
      <c r="A345" s="16" t="str">
        <f>IF(B345="","","LDX-"&amp;TEXT(B345,"yymmdd")&amp;"-"&amp;TEXT(COUNTIFS(B$5:B345,B345),"00"))</f>
        <v/>
      </c>
      <c r="B345" s="17"/>
      <c r="C345" s="18"/>
      <c r="D345" s="18"/>
      <c r="E345" s="18"/>
      <c r="F345" s="18"/>
      <c r="G345" s="18"/>
      <c r="H345" s="18"/>
      <c r="I345" s="18"/>
      <c r="J345" s="19"/>
      <c r="K345" s="20"/>
      <c r="L345" s="20"/>
      <c r="M345" s="19"/>
      <c r="N345" s="18"/>
      <c r="O345" s="18"/>
      <c r="P345" s="18"/>
      <c r="Q345" s="18"/>
      <c r="R345" s="21" t="str">
        <f>IF(C345="","",IFERROR(INDEX('THAM SỐ'!$F$5:$F$7,MATCH(C345,'THAM SỐ'!$A$5:$A$7,0)),""))</f>
        <v/>
      </c>
      <c r="S345" s="22" t="str">
        <f t="shared" si="15"/>
        <v/>
      </c>
      <c r="T345" s="16" t="str">
        <f t="shared" si="16"/>
        <v/>
      </c>
      <c r="U345" s="23" t="str">
        <f t="shared" si="17"/>
        <v/>
      </c>
      <c r="V345" s="18"/>
    </row>
    <row r="346" spans="1:22" x14ac:dyDescent="0.45">
      <c r="A346" s="16" t="str">
        <f>IF(B346="","","LDX-"&amp;TEXT(B346,"yymmdd")&amp;"-"&amp;TEXT(COUNTIFS(B$5:B346,B346),"00"))</f>
        <v/>
      </c>
      <c r="B346" s="17"/>
      <c r="C346" s="18"/>
      <c r="D346" s="18"/>
      <c r="E346" s="18"/>
      <c r="F346" s="18"/>
      <c r="G346" s="18"/>
      <c r="H346" s="18"/>
      <c r="I346" s="18"/>
      <c r="J346" s="19"/>
      <c r="K346" s="20"/>
      <c r="L346" s="20"/>
      <c r="M346" s="19"/>
      <c r="N346" s="18"/>
      <c r="O346" s="18"/>
      <c r="P346" s="18"/>
      <c r="Q346" s="18"/>
      <c r="R346" s="21" t="str">
        <f>IF(C346="","",IFERROR(INDEX('THAM SỐ'!$F$5:$F$7,MATCH(C346,'THAM SỐ'!$A$5:$A$7,0)),""))</f>
        <v/>
      </c>
      <c r="S346" s="22" t="str">
        <f t="shared" si="15"/>
        <v/>
      </c>
      <c r="T346" s="16" t="str">
        <f t="shared" si="16"/>
        <v/>
      </c>
      <c r="U346" s="23" t="str">
        <f t="shared" si="17"/>
        <v/>
      </c>
      <c r="V346" s="18"/>
    </row>
    <row r="347" spans="1:22" x14ac:dyDescent="0.45">
      <c r="A347" s="16" t="str">
        <f>IF(B347="","","LDX-"&amp;TEXT(B347,"yymmdd")&amp;"-"&amp;TEXT(COUNTIFS(B$5:B347,B347),"00"))</f>
        <v/>
      </c>
      <c r="B347" s="17"/>
      <c r="C347" s="18"/>
      <c r="D347" s="18"/>
      <c r="E347" s="18"/>
      <c r="F347" s="18"/>
      <c r="G347" s="18"/>
      <c r="H347" s="18"/>
      <c r="I347" s="18"/>
      <c r="J347" s="19"/>
      <c r="K347" s="20"/>
      <c r="L347" s="20"/>
      <c r="M347" s="19"/>
      <c r="N347" s="18"/>
      <c r="O347" s="18"/>
      <c r="P347" s="18"/>
      <c r="Q347" s="18"/>
      <c r="R347" s="21" t="str">
        <f>IF(C347="","",IFERROR(INDEX('THAM SỐ'!$F$5:$F$7,MATCH(C347,'THAM SỐ'!$A$5:$A$7,0)),""))</f>
        <v/>
      </c>
      <c r="S347" s="22" t="str">
        <f t="shared" si="15"/>
        <v/>
      </c>
      <c r="T347" s="16" t="str">
        <f t="shared" si="16"/>
        <v/>
      </c>
      <c r="U347" s="23" t="str">
        <f t="shared" si="17"/>
        <v/>
      </c>
      <c r="V347" s="18"/>
    </row>
    <row r="348" spans="1:22" x14ac:dyDescent="0.45">
      <c r="A348" s="16" t="str">
        <f>IF(B348="","","LDX-"&amp;TEXT(B348,"yymmdd")&amp;"-"&amp;TEXT(COUNTIFS(B$5:B348,B348),"00"))</f>
        <v/>
      </c>
      <c r="B348" s="17"/>
      <c r="C348" s="18"/>
      <c r="D348" s="18"/>
      <c r="E348" s="18"/>
      <c r="F348" s="18"/>
      <c r="G348" s="18"/>
      <c r="H348" s="18"/>
      <c r="I348" s="18"/>
      <c r="J348" s="19"/>
      <c r="K348" s="20"/>
      <c r="L348" s="20"/>
      <c r="M348" s="19"/>
      <c r="N348" s="18"/>
      <c r="O348" s="18"/>
      <c r="P348" s="18"/>
      <c r="Q348" s="18"/>
      <c r="R348" s="21" t="str">
        <f>IF(C348="","",IFERROR(INDEX('THAM SỐ'!$F$5:$F$7,MATCH(C348,'THAM SỐ'!$A$5:$A$7,0)),""))</f>
        <v/>
      </c>
      <c r="S348" s="22" t="str">
        <f t="shared" si="15"/>
        <v/>
      </c>
      <c r="T348" s="16" t="str">
        <f t="shared" si="16"/>
        <v/>
      </c>
      <c r="U348" s="23" t="str">
        <f t="shared" si="17"/>
        <v/>
      </c>
      <c r="V348" s="18"/>
    </row>
    <row r="349" spans="1:22" x14ac:dyDescent="0.45">
      <c r="A349" s="16" t="str">
        <f>IF(B349="","","LDX-"&amp;TEXT(B349,"yymmdd")&amp;"-"&amp;TEXT(COUNTIFS(B$5:B349,B349),"00"))</f>
        <v/>
      </c>
      <c r="B349" s="17"/>
      <c r="C349" s="18"/>
      <c r="D349" s="18"/>
      <c r="E349" s="18"/>
      <c r="F349" s="18"/>
      <c r="G349" s="18"/>
      <c r="H349" s="18"/>
      <c r="I349" s="18"/>
      <c r="J349" s="19"/>
      <c r="K349" s="20"/>
      <c r="L349" s="20"/>
      <c r="M349" s="19"/>
      <c r="N349" s="18"/>
      <c r="O349" s="18"/>
      <c r="P349" s="18"/>
      <c r="Q349" s="18"/>
      <c r="R349" s="21" t="str">
        <f>IF(C349="","",IFERROR(INDEX('THAM SỐ'!$F$5:$F$7,MATCH(C349,'THAM SỐ'!$A$5:$A$7,0)),""))</f>
        <v/>
      </c>
      <c r="S349" s="22" t="str">
        <f t="shared" si="15"/>
        <v/>
      </c>
      <c r="T349" s="16" t="str">
        <f t="shared" si="16"/>
        <v/>
      </c>
      <c r="U349" s="23" t="str">
        <f t="shared" si="17"/>
        <v/>
      </c>
      <c r="V349" s="18"/>
    </row>
    <row r="350" spans="1:22" x14ac:dyDescent="0.45">
      <c r="A350" s="16" t="str">
        <f>IF(B350="","","LDX-"&amp;TEXT(B350,"yymmdd")&amp;"-"&amp;TEXT(COUNTIFS(B$5:B350,B350),"00"))</f>
        <v/>
      </c>
      <c r="B350" s="17"/>
      <c r="C350" s="18"/>
      <c r="D350" s="18"/>
      <c r="E350" s="18"/>
      <c r="F350" s="18"/>
      <c r="G350" s="18"/>
      <c r="H350" s="18"/>
      <c r="I350" s="18"/>
      <c r="J350" s="19"/>
      <c r="K350" s="20"/>
      <c r="L350" s="20"/>
      <c r="M350" s="19"/>
      <c r="N350" s="18"/>
      <c r="O350" s="18"/>
      <c r="P350" s="18"/>
      <c r="Q350" s="18"/>
      <c r="R350" s="21" t="str">
        <f>IF(C350="","",IFERROR(INDEX('THAM SỐ'!$F$5:$F$7,MATCH(C350,'THAM SỐ'!$A$5:$A$7,0)),""))</f>
        <v/>
      </c>
      <c r="S350" s="22" t="str">
        <f t="shared" si="15"/>
        <v/>
      </c>
      <c r="T350" s="16" t="str">
        <f t="shared" si="16"/>
        <v/>
      </c>
      <c r="U350" s="23" t="str">
        <f t="shared" si="17"/>
        <v/>
      </c>
      <c r="V350" s="18"/>
    </row>
    <row r="351" spans="1:22" x14ac:dyDescent="0.45">
      <c r="A351" s="16" t="str">
        <f>IF(B351="","","LDX-"&amp;TEXT(B351,"yymmdd")&amp;"-"&amp;TEXT(COUNTIFS(B$5:B351,B351),"00"))</f>
        <v/>
      </c>
      <c r="B351" s="17"/>
      <c r="C351" s="18"/>
      <c r="D351" s="18"/>
      <c r="E351" s="18"/>
      <c r="F351" s="18"/>
      <c r="G351" s="18"/>
      <c r="H351" s="18"/>
      <c r="I351" s="18"/>
      <c r="J351" s="19"/>
      <c r="K351" s="20"/>
      <c r="L351" s="20"/>
      <c r="M351" s="19"/>
      <c r="N351" s="18"/>
      <c r="O351" s="18"/>
      <c r="P351" s="18"/>
      <c r="Q351" s="18"/>
      <c r="R351" s="21" t="str">
        <f>IF(C351="","",IFERROR(INDEX('THAM SỐ'!$F$5:$F$7,MATCH(C351,'THAM SỐ'!$A$5:$A$7,0)),""))</f>
        <v/>
      </c>
      <c r="S351" s="22" t="str">
        <f t="shared" si="15"/>
        <v/>
      </c>
      <c r="T351" s="16" t="str">
        <f t="shared" si="16"/>
        <v/>
      </c>
      <c r="U351" s="23" t="str">
        <f t="shared" si="17"/>
        <v/>
      </c>
      <c r="V351" s="18"/>
    </row>
    <row r="352" spans="1:22" x14ac:dyDescent="0.45">
      <c r="A352" s="16" t="str">
        <f>IF(B352="","","LDX-"&amp;TEXT(B352,"yymmdd")&amp;"-"&amp;TEXT(COUNTIFS(B$5:B352,B352),"00"))</f>
        <v/>
      </c>
      <c r="B352" s="17"/>
      <c r="C352" s="18"/>
      <c r="D352" s="18"/>
      <c r="E352" s="18"/>
      <c r="F352" s="18"/>
      <c r="G352" s="18"/>
      <c r="H352" s="18"/>
      <c r="I352" s="18"/>
      <c r="J352" s="19"/>
      <c r="K352" s="20"/>
      <c r="L352" s="20"/>
      <c r="M352" s="19"/>
      <c r="N352" s="18"/>
      <c r="O352" s="18"/>
      <c r="P352" s="18"/>
      <c r="Q352" s="18"/>
      <c r="R352" s="21" t="str">
        <f>IF(C352="","",IFERROR(INDEX('THAM SỐ'!$F$5:$F$7,MATCH(C352,'THAM SỐ'!$A$5:$A$7,0)),""))</f>
        <v/>
      </c>
      <c r="S352" s="22" t="str">
        <f t="shared" si="15"/>
        <v/>
      </c>
      <c r="T352" s="16" t="str">
        <f t="shared" si="16"/>
        <v/>
      </c>
      <c r="U352" s="23" t="str">
        <f t="shared" si="17"/>
        <v/>
      </c>
      <c r="V352" s="18"/>
    </row>
    <row r="353" spans="1:22" x14ac:dyDescent="0.45">
      <c r="A353" s="16" t="str">
        <f>IF(B353="","","LDX-"&amp;TEXT(B353,"yymmdd")&amp;"-"&amp;TEXT(COUNTIFS(B$5:B353,B353),"00"))</f>
        <v/>
      </c>
      <c r="B353" s="17"/>
      <c r="C353" s="18"/>
      <c r="D353" s="18"/>
      <c r="E353" s="18"/>
      <c r="F353" s="18"/>
      <c r="G353" s="18"/>
      <c r="H353" s="18"/>
      <c r="I353" s="18"/>
      <c r="J353" s="19"/>
      <c r="K353" s="20"/>
      <c r="L353" s="20"/>
      <c r="M353" s="19"/>
      <c r="N353" s="18"/>
      <c r="O353" s="18"/>
      <c r="P353" s="18"/>
      <c r="Q353" s="18"/>
      <c r="R353" s="21" t="str">
        <f>IF(C353="","",IFERROR(INDEX('THAM SỐ'!$F$5:$F$7,MATCH(C353,'THAM SỐ'!$A$5:$A$7,0)),""))</f>
        <v/>
      </c>
      <c r="S353" s="22" t="str">
        <f t="shared" si="15"/>
        <v/>
      </c>
      <c r="T353" s="16" t="str">
        <f t="shared" si="16"/>
        <v/>
      </c>
      <c r="U353" s="23" t="str">
        <f t="shared" si="17"/>
        <v/>
      </c>
      <c r="V353" s="18"/>
    </row>
    <row r="354" spans="1:22" x14ac:dyDescent="0.45">
      <c r="A354" s="16" t="str">
        <f>IF(B354="","","LDX-"&amp;TEXT(B354,"yymmdd")&amp;"-"&amp;TEXT(COUNTIFS(B$5:B354,B354),"00"))</f>
        <v/>
      </c>
      <c r="B354" s="17"/>
      <c r="C354" s="18"/>
      <c r="D354" s="18"/>
      <c r="E354" s="18"/>
      <c r="F354" s="18"/>
      <c r="G354" s="18"/>
      <c r="H354" s="18"/>
      <c r="I354" s="18"/>
      <c r="J354" s="19"/>
      <c r="K354" s="20"/>
      <c r="L354" s="20"/>
      <c r="M354" s="19"/>
      <c r="N354" s="18"/>
      <c r="O354" s="18"/>
      <c r="P354" s="18"/>
      <c r="Q354" s="18"/>
      <c r="R354" s="21" t="str">
        <f>IF(C354="","",IFERROR(INDEX('THAM SỐ'!$F$5:$F$7,MATCH(C354,'THAM SỐ'!$A$5:$A$7,0)),""))</f>
        <v/>
      </c>
      <c r="S354" s="22" t="str">
        <f t="shared" si="15"/>
        <v/>
      </c>
      <c r="T354" s="16" t="str">
        <f t="shared" si="16"/>
        <v/>
      </c>
      <c r="U354" s="23" t="str">
        <f t="shared" si="17"/>
        <v/>
      </c>
      <c r="V354" s="18"/>
    </row>
    <row r="355" spans="1:22" x14ac:dyDescent="0.45">
      <c r="A355" s="16" t="str">
        <f>IF(B355="","","LDX-"&amp;TEXT(B355,"yymmdd")&amp;"-"&amp;TEXT(COUNTIFS(B$5:B355,B355),"00"))</f>
        <v/>
      </c>
      <c r="B355" s="17"/>
      <c r="C355" s="18"/>
      <c r="D355" s="18"/>
      <c r="E355" s="18"/>
      <c r="F355" s="18"/>
      <c r="G355" s="18"/>
      <c r="H355" s="18"/>
      <c r="I355" s="18"/>
      <c r="J355" s="19"/>
      <c r="K355" s="20"/>
      <c r="L355" s="20"/>
      <c r="M355" s="19"/>
      <c r="N355" s="18"/>
      <c r="O355" s="18"/>
      <c r="P355" s="18"/>
      <c r="Q355" s="18"/>
      <c r="R355" s="21" t="str">
        <f>IF(C355="","",IFERROR(INDEX('THAM SỐ'!$F$5:$F$7,MATCH(C355,'THAM SỐ'!$A$5:$A$7,0)),""))</f>
        <v/>
      </c>
      <c r="S355" s="22" t="str">
        <f t="shared" si="15"/>
        <v/>
      </c>
      <c r="T355" s="16" t="str">
        <f t="shared" si="16"/>
        <v/>
      </c>
      <c r="U355" s="23" t="str">
        <f t="shared" si="17"/>
        <v/>
      </c>
      <c r="V355" s="18"/>
    </row>
    <row r="356" spans="1:22" x14ac:dyDescent="0.45">
      <c r="A356" s="16" t="str">
        <f>IF(B356="","","LDX-"&amp;TEXT(B356,"yymmdd")&amp;"-"&amp;TEXT(COUNTIFS(B$5:B356,B356),"00"))</f>
        <v/>
      </c>
      <c r="B356" s="17"/>
      <c r="C356" s="18"/>
      <c r="D356" s="18"/>
      <c r="E356" s="18"/>
      <c r="F356" s="18"/>
      <c r="G356" s="18"/>
      <c r="H356" s="18"/>
      <c r="I356" s="18"/>
      <c r="J356" s="19"/>
      <c r="K356" s="20"/>
      <c r="L356" s="20"/>
      <c r="M356" s="19"/>
      <c r="N356" s="18"/>
      <c r="O356" s="18"/>
      <c r="P356" s="18"/>
      <c r="Q356" s="18"/>
      <c r="R356" s="21" t="str">
        <f>IF(C356="","",IFERROR(INDEX('THAM SỐ'!$F$5:$F$7,MATCH(C356,'THAM SỐ'!$A$5:$A$7,0)),""))</f>
        <v/>
      </c>
      <c r="S356" s="22" t="str">
        <f t="shared" si="15"/>
        <v/>
      </c>
      <c r="T356" s="16" t="str">
        <f t="shared" si="16"/>
        <v/>
      </c>
      <c r="U356" s="23" t="str">
        <f t="shared" si="17"/>
        <v/>
      </c>
      <c r="V356" s="18"/>
    </row>
    <row r="357" spans="1:22" x14ac:dyDescent="0.45">
      <c r="A357" s="16" t="str">
        <f>IF(B357="","","LDX-"&amp;TEXT(B357,"yymmdd")&amp;"-"&amp;TEXT(COUNTIFS(B$5:B357,B357),"00"))</f>
        <v/>
      </c>
      <c r="B357" s="17"/>
      <c r="C357" s="18"/>
      <c r="D357" s="18"/>
      <c r="E357" s="18"/>
      <c r="F357" s="18"/>
      <c r="G357" s="18"/>
      <c r="H357" s="18"/>
      <c r="I357" s="18"/>
      <c r="J357" s="19"/>
      <c r="K357" s="20"/>
      <c r="L357" s="20"/>
      <c r="M357" s="19"/>
      <c r="N357" s="18"/>
      <c r="O357" s="18"/>
      <c r="P357" s="18"/>
      <c r="Q357" s="18"/>
      <c r="R357" s="21" t="str">
        <f>IF(C357="","",IFERROR(INDEX('THAM SỐ'!$F$5:$F$7,MATCH(C357,'THAM SỐ'!$A$5:$A$7,0)),""))</f>
        <v/>
      </c>
      <c r="S357" s="22" t="str">
        <f t="shared" si="15"/>
        <v/>
      </c>
      <c r="T357" s="16" t="str">
        <f t="shared" si="16"/>
        <v/>
      </c>
      <c r="U357" s="23" t="str">
        <f t="shared" si="17"/>
        <v/>
      </c>
      <c r="V357" s="18"/>
    </row>
    <row r="358" spans="1:22" x14ac:dyDescent="0.45">
      <c r="A358" s="16" t="str">
        <f>IF(B358="","","LDX-"&amp;TEXT(B358,"yymmdd")&amp;"-"&amp;TEXT(COUNTIFS(B$5:B358,B358),"00"))</f>
        <v/>
      </c>
      <c r="B358" s="17"/>
      <c r="C358" s="18"/>
      <c r="D358" s="18"/>
      <c r="E358" s="18"/>
      <c r="F358" s="18"/>
      <c r="G358" s="18"/>
      <c r="H358" s="18"/>
      <c r="I358" s="18"/>
      <c r="J358" s="19"/>
      <c r="K358" s="20"/>
      <c r="L358" s="20"/>
      <c r="M358" s="19"/>
      <c r="N358" s="18"/>
      <c r="O358" s="18"/>
      <c r="P358" s="18"/>
      <c r="Q358" s="18"/>
      <c r="R358" s="21" t="str">
        <f>IF(C358="","",IFERROR(INDEX('THAM SỐ'!$F$5:$F$7,MATCH(C358,'THAM SỐ'!$A$5:$A$7,0)),""))</f>
        <v/>
      </c>
      <c r="S358" s="22" t="str">
        <f t="shared" si="15"/>
        <v/>
      </c>
      <c r="T358" s="16" t="str">
        <f t="shared" si="16"/>
        <v/>
      </c>
      <c r="U358" s="23" t="str">
        <f t="shared" si="17"/>
        <v/>
      </c>
      <c r="V358" s="18"/>
    </row>
    <row r="359" spans="1:22" x14ac:dyDescent="0.45">
      <c r="A359" s="16" t="str">
        <f>IF(B359="","","LDX-"&amp;TEXT(B359,"yymmdd")&amp;"-"&amp;TEXT(COUNTIFS(B$5:B359,B359),"00"))</f>
        <v/>
      </c>
      <c r="B359" s="17"/>
      <c r="C359" s="18"/>
      <c r="D359" s="18"/>
      <c r="E359" s="18"/>
      <c r="F359" s="18"/>
      <c r="G359" s="18"/>
      <c r="H359" s="18"/>
      <c r="I359" s="18"/>
      <c r="J359" s="19"/>
      <c r="K359" s="20"/>
      <c r="L359" s="20"/>
      <c r="M359" s="19"/>
      <c r="N359" s="18"/>
      <c r="O359" s="18"/>
      <c r="P359" s="18"/>
      <c r="Q359" s="18"/>
      <c r="R359" s="21" t="str">
        <f>IF(C359="","",IFERROR(INDEX('THAM SỐ'!$F$5:$F$7,MATCH(C359,'THAM SỐ'!$A$5:$A$7,0)),""))</f>
        <v/>
      </c>
      <c r="S359" s="22" t="str">
        <f t="shared" si="15"/>
        <v/>
      </c>
      <c r="T359" s="16" t="str">
        <f t="shared" si="16"/>
        <v/>
      </c>
      <c r="U359" s="23" t="str">
        <f t="shared" si="17"/>
        <v/>
      </c>
      <c r="V359" s="18"/>
    </row>
    <row r="360" spans="1:22" x14ac:dyDescent="0.45">
      <c r="A360" s="16" t="str">
        <f>IF(B360="","","LDX-"&amp;TEXT(B360,"yymmdd")&amp;"-"&amp;TEXT(COUNTIFS(B$5:B360,B360),"00"))</f>
        <v/>
      </c>
      <c r="B360" s="17"/>
      <c r="C360" s="18"/>
      <c r="D360" s="18"/>
      <c r="E360" s="18"/>
      <c r="F360" s="18"/>
      <c r="G360" s="18"/>
      <c r="H360" s="18"/>
      <c r="I360" s="18"/>
      <c r="J360" s="19"/>
      <c r="K360" s="20"/>
      <c r="L360" s="20"/>
      <c r="M360" s="19"/>
      <c r="N360" s="18"/>
      <c r="O360" s="18"/>
      <c r="P360" s="18"/>
      <c r="Q360" s="18"/>
      <c r="R360" s="21" t="str">
        <f>IF(C360="","",IFERROR(INDEX('THAM SỐ'!$F$5:$F$7,MATCH(C360,'THAM SỐ'!$A$5:$A$7,0)),""))</f>
        <v/>
      </c>
      <c r="S360" s="22" t="str">
        <f t="shared" si="15"/>
        <v/>
      </c>
      <c r="T360" s="16" t="str">
        <f t="shared" si="16"/>
        <v/>
      </c>
      <c r="U360" s="23" t="str">
        <f t="shared" si="17"/>
        <v/>
      </c>
      <c r="V360" s="18"/>
    </row>
    <row r="361" spans="1:22" x14ac:dyDescent="0.45">
      <c r="A361" s="16" t="str">
        <f>IF(B361="","","LDX-"&amp;TEXT(B361,"yymmdd")&amp;"-"&amp;TEXT(COUNTIFS(B$5:B361,B361),"00"))</f>
        <v/>
      </c>
      <c r="B361" s="17"/>
      <c r="C361" s="18"/>
      <c r="D361" s="18"/>
      <c r="E361" s="18"/>
      <c r="F361" s="18"/>
      <c r="G361" s="18"/>
      <c r="H361" s="18"/>
      <c r="I361" s="18"/>
      <c r="J361" s="19"/>
      <c r="K361" s="20"/>
      <c r="L361" s="20"/>
      <c r="M361" s="19"/>
      <c r="N361" s="18"/>
      <c r="O361" s="18"/>
      <c r="P361" s="18"/>
      <c r="Q361" s="18"/>
      <c r="R361" s="21" t="str">
        <f>IF(C361="","",IFERROR(INDEX('THAM SỐ'!$F$5:$F$7,MATCH(C361,'THAM SỐ'!$A$5:$A$7,0)),""))</f>
        <v/>
      </c>
      <c r="S361" s="22" t="str">
        <f t="shared" si="15"/>
        <v/>
      </c>
      <c r="T361" s="16" t="str">
        <f t="shared" si="16"/>
        <v/>
      </c>
      <c r="U361" s="23" t="str">
        <f t="shared" si="17"/>
        <v/>
      </c>
      <c r="V361" s="18"/>
    </row>
    <row r="362" spans="1:22" x14ac:dyDescent="0.45">
      <c r="A362" s="16" t="str">
        <f>IF(B362="","","LDX-"&amp;TEXT(B362,"yymmdd")&amp;"-"&amp;TEXT(COUNTIFS(B$5:B362,B362),"00"))</f>
        <v/>
      </c>
      <c r="B362" s="17"/>
      <c r="C362" s="18"/>
      <c r="D362" s="18"/>
      <c r="E362" s="18"/>
      <c r="F362" s="18"/>
      <c r="G362" s="18"/>
      <c r="H362" s="18"/>
      <c r="I362" s="18"/>
      <c r="J362" s="19"/>
      <c r="K362" s="20"/>
      <c r="L362" s="20"/>
      <c r="M362" s="19"/>
      <c r="N362" s="18"/>
      <c r="O362" s="18"/>
      <c r="P362" s="18"/>
      <c r="Q362" s="18"/>
      <c r="R362" s="21" t="str">
        <f>IF(C362="","",IFERROR(INDEX('THAM SỐ'!$F$5:$F$7,MATCH(C362,'THAM SỐ'!$A$5:$A$7,0)),""))</f>
        <v/>
      </c>
      <c r="S362" s="22" t="str">
        <f t="shared" si="15"/>
        <v/>
      </c>
      <c r="T362" s="16" t="str">
        <f t="shared" si="16"/>
        <v/>
      </c>
      <c r="U362" s="23" t="str">
        <f t="shared" si="17"/>
        <v/>
      </c>
      <c r="V362" s="18"/>
    </row>
    <row r="363" spans="1:22" x14ac:dyDescent="0.45">
      <c r="A363" s="16" t="str">
        <f>IF(B363="","","LDX-"&amp;TEXT(B363,"yymmdd")&amp;"-"&amp;TEXT(COUNTIFS(B$5:B363,B363),"00"))</f>
        <v/>
      </c>
      <c r="B363" s="17"/>
      <c r="C363" s="18"/>
      <c r="D363" s="18"/>
      <c r="E363" s="18"/>
      <c r="F363" s="18"/>
      <c r="G363" s="18"/>
      <c r="H363" s="18"/>
      <c r="I363" s="18"/>
      <c r="J363" s="19"/>
      <c r="K363" s="20"/>
      <c r="L363" s="20"/>
      <c r="M363" s="19"/>
      <c r="N363" s="18"/>
      <c r="O363" s="18"/>
      <c r="P363" s="18"/>
      <c r="Q363" s="18"/>
      <c r="R363" s="21" t="str">
        <f>IF(C363="","",IFERROR(INDEX('THAM SỐ'!$F$5:$F$7,MATCH(C363,'THAM SỐ'!$A$5:$A$7,0)),""))</f>
        <v/>
      </c>
      <c r="S363" s="22" t="str">
        <f t="shared" si="15"/>
        <v/>
      </c>
      <c r="T363" s="16" t="str">
        <f t="shared" si="16"/>
        <v/>
      </c>
      <c r="U363" s="23" t="str">
        <f t="shared" si="17"/>
        <v/>
      </c>
      <c r="V363" s="18"/>
    </row>
    <row r="364" spans="1:22" x14ac:dyDescent="0.45">
      <c r="A364" s="16" t="str">
        <f>IF(B364="","","LDX-"&amp;TEXT(B364,"yymmdd")&amp;"-"&amp;TEXT(COUNTIFS(B$5:B364,B364),"00"))</f>
        <v/>
      </c>
      <c r="B364" s="17"/>
      <c r="C364" s="18"/>
      <c r="D364" s="18"/>
      <c r="E364" s="18"/>
      <c r="F364" s="18"/>
      <c r="G364" s="18"/>
      <c r="H364" s="18"/>
      <c r="I364" s="18"/>
      <c r="J364" s="19"/>
      <c r="K364" s="20"/>
      <c r="L364" s="20"/>
      <c r="M364" s="19"/>
      <c r="N364" s="18"/>
      <c r="O364" s="18"/>
      <c r="P364" s="18"/>
      <c r="Q364" s="18"/>
      <c r="R364" s="21" t="str">
        <f>IF(C364="","",IFERROR(INDEX('THAM SỐ'!$F$5:$F$7,MATCH(C364,'THAM SỐ'!$A$5:$A$7,0)),""))</f>
        <v/>
      </c>
      <c r="S364" s="22" t="str">
        <f t="shared" si="15"/>
        <v/>
      </c>
      <c r="T364" s="16" t="str">
        <f t="shared" si="16"/>
        <v/>
      </c>
      <c r="U364" s="23" t="str">
        <f t="shared" si="17"/>
        <v/>
      </c>
      <c r="V364" s="18"/>
    </row>
    <row r="365" spans="1:22" x14ac:dyDescent="0.45">
      <c r="A365" s="16" t="str">
        <f>IF(B365="","","LDX-"&amp;TEXT(B365,"yymmdd")&amp;"-"&amp;TEXT(COUNTIFS(B$5:B365,B365),"00"))</f>
        <v/>
      </c>
      <c r="B365" s="17"/>
      <c r="C365" s="18"/>
      <c r="D365" s="18"/>
      <c r="E365" s="18"/>
      <c r="F365" s="18"/>
      <c r="G365" s="18"/>
      <c r="H365" s="18"/>
      <c r="I365" s="18"/>
      <c r="J365" s="19"/>
      <c r="K365" s="20"/>
      <c r="L365" s="20"/>
      <c r="M365" s="19"/>
      <c r="N365" s="18"/>
      <c r="O365" s="18"/>
      <c r="P365" s="18"/>
      <c r="Q365" s="18"/>
      <c r="R365" s="21" t="str">
        <f>IF(C365="","",IFERROR(INDEX('THAM SỐ'!$F$5:$F$7,MATCH(C365,'THAM SỐ'!$A$5:$A$7,0)),""))</f>
        <v/>
      </c>
      <c r="S365" s="22" t="str">
        <f t="shared" si="15"/>
        <v/>
      </c>
      <c r="T365" s="16" t="str">
        <f t="shared" si="16"/>
        <v/>
      </c>
      <c r="U365" s="23" t="str">
        <f t="shared" si="17"/>
        <v/>
      </c>
      <c r="V365" s="18"/>
    </row>
    <row r="366" spans="1:22" x14ac:dyDescent="0.45">
      <c r="A366" s="16" t="str">
        <f>IF(B366="","","LDX-"&amp;TEXT(B366,"yymmdd")&amp;"-"&amp;TEXT(COUNTIFS(B$5:B366,B366),"00"))</f>
        <v/>
      </c>
      <c r="B366" s="17"/>
      <c r="C366" s="18"/>
      <c r="D366" s="18"/>
      <c r="E366" s="18"/>
      <c r="F366" s="18"/>
      <c r="G366" s="18"/>
      <c r="H366" s="18"/>
      <c r="I366" s="18"/>
      <c r="J366" s="19"/>
      <c r="K366" s="20"/>
      <c r="L366" s="20"/>
      <c r="M366" s="19"/>
      <c r="N366" s="18"/>
      <c r="O366" s="18"/>
      <c r="P366" s="18"/>
      <c r="Q366" s="18"/>
      <c r="R366" s="21" t="str">
        <f>IF(C366="","",IFERROR(INDEX('THAM SỐ'!$F$5:$F$7,MATCH(C366,'THAM SỐ'!$A$5:$A$7,0)),""))</f>
        <v/>
      </c>
      <c r="S366" s="22" t="str">
        <f t="shared" si="15"/>
        <v/>
      </c>
      <c r="T366" s="16" t="str">
        <f t="shared" si="16"/>
        <v/>
      </c>
      <c r="U366" s="23" t="str">
        <f t="shared" si="17"/>
        <v/>
      </c>
      <c r="V366" s="18"/>
    </row>
    <row r="367" spans="1:22" x14ac:dyDescent="0.45">
      <c r="A367" s="16" t="str">
        <f>IF(B367="","","LDX-"&amp;TEXT(B367,"yymmdd")&amp;"-"&amp;TEXT(COUNTIFS(B$5:B367,B367),"00"))</f>
        <v/>
      </c>
      <c r="B367" s="17"/>
      <c r="C367" s="18"/>
      <c r="D367" s="18"/>
      <c r="E367" s="18"/>
      <c r="F367" s="18"/>
      <c r="G367" s="18"/>
      <c r="H367" s="18"/>
      <c r="I367" s="18"/>
      <c r="J367" s="19"/>
      <c r="K367" s="20"/>
      <c r="L367" s="20"/>
      <c r="M367" s="19"/>
      <c r="N367" s="18"/>
      <c r="O367" s="18"/>
      <c r="P367" s="18"/>
      <c r="Q367" s="18"/>
      <c r="R367" s="21" t="str">
        <f>IF(C367="","",IFERROR(INDEX('THAM SỐ'!$F$5:$F$7,MATCH(C367,'THAM SỐ'!$A$5:$A$7,0)),""))</f>
        <v/>
      </c>
      <c r="S367" s="22" t="str">
        <f t="shared" si="15"/>
        <v/>
      </c>
      <c r="T367" s="16" t="str">
        <f t="shared" si="16"/>
        <v/>
      </c>
      <c r="U367" s="23" t="str">
        <f t="shared" si="17"/>
        <v/>
      </c>
      <c r="V367" s="18"/>
    </row>
    <row r="368" spans="1:22" x14ac:dyDescent="0.45">
      <c r="A368" s="16" t="str">
        <f>IF(B368="","","LDX-"&amp;TEXT(B368,"yymmdd")&amp;"-"&amp;TEXT(COUNTIFS(B$5:B368,B368),"00"))</f>
        <v/>
      </c>
      <c r="B368" s="17"/>
      <c r="C368" s="18"/>
      <c r="D368" s="18"/>
      <c r="E368" s="18"/>
      <c r="F368" s="18"/>
      <c r="G368" s="18"/>
      <c r="H368" s="18"/>
      <c r="I368" s="18"/>
      <c r="J368" s="19"/>
      <c r="K368" s="20"/>
      <c r="L368" s="20"/>
      <c r="M368" s="19"/>
      <c r="N368" s="18"/>
      <c r="O368" s="18"/>
      <c r="P368" s="18"/>
      <c r="Q368" s="18"/>
      <c r="R368" s="21" t="str">
        <f>IF(C368="","",IFERROR(INDEX('THAM SỐ'!$F$5:$F$7,MATCH(C368,'THAM SỐ'!$A$5:$A$7,0)),""))</f>
        <v/>
      </c>
      <c r="S368" s="22" t="str">
        <f t="shared" si="15"/>
        <v/>
      </c>
      <c r="T368" s="16" t="str">
        <f t="shared" si="16"/>
        <v/>
      </c>
      <c r="U368" s="23" t="str">
        <f t="shared" si="17"/>
        <v/>
      </c>
      <c r="V368" s="18"/>
    </row>
    <row r="369" spans="1:22" x14ac:dyDescent="0.45">
      <c r="A369" s="16" t="str">
        <f>IF(B369="","","LDX-"&amp;TEXT(B369,"yymmdd")&amp;"-"&amp;TEXT(COUNTIFS(B$5:B369,B369),"00"))</f>
        <v/>
      </c>
      <c r="B369" s="17"/>
      <c r="C369" s="18"/>
      <c r="D369" s="18"/>
      <c r="E369" s="18"/>
      <c r="F369" s="18"/>
      <c r="G369" s="18"/>
      <c r="H369" s="18"/>
      <c r="I369" s="18"/>
      <c r="J369" s="19"/>
      <c r="K369" s="20"/>
      <c r="L369" s="20"/>
      <c r="M369" s="19"/>
      <c r="N369" s="18"/>
      <c r="O369" s="18"/>
      <c r="P369" s="18"/>
      <c r="Q369" s="18"/>
      <c r="R369" s="21" t="str">
        <f>IF(C369="","",IFERROR(INDEX('THAM SỐ'!$F$5:$F$7,MATCH(C369,'THAM SỐ'!$A$5:$A$7,0)),""))</f>
        <v/>
      </c>
      <c r="S369" s="22" t="str">
        <f t="shared" si="15"/>
        <v/>
      </c>
      <c r="T369" s="16" t="str">
        <f t="shared" si="16"/>
        <v/>
      </c>
      <c r="U369" s="23" t="str">
        <f t="shared" si="17"/>
        <v/>
      </c>
      <c r="V369" s="18"/>
    </row>
    <row r="370" spans="1:22" x14ac:dyDescent="0.45">
      <c r="A370" s="16" t="str">
        <f>IF(B370="","","LDX-"&amp;TEXT(B370,"yymmdd")&amp;"-"&amp;TEXT(COUNTIFS(B$5:B370,B370),"00"))</f>
        <v/>
      </c>
      <c r="B370" s="17"/>
      <c r="C370" s="18"/>
      <c r="D370" s="18"/>
      <c r="E370" s="18"/>
      <c r="F370" s="18"/>
      <c r="G370" s="18"/>
      <c r="H370" s="18"/>
      <c r="I370" s="18"/>
      <c r="J370" s="19"/>
      <c r="K370" s="20"/>
      <c r="L370" s="20"/>
      <c r="M370" s="19"/>
      <c r="N370" s="18"/>
      <c r="O370" s="18"/>
      <c r="P370" s="18"/>
      <c r="Q370" s="18"/>
      <c r="R370" s="21" t="str">
        <f>IF(C370="","",IFERROR(INDEX('THAM SỐ'!$F$5:$F$7,MATCH(C370,'THAM SỐ'!$A$5:$A$7,0)),""))</f>
        <v/>
      </c>
      <c r="S370" s="22" t="str">
        <f t="shared" si="15"/>
        <v/>
      </c>
      <c r="T370" s="16" t="str">
        <f t="shared" si="16"/>
        <v/>
      </c>
      <c r="U370" s="23" t="str">
        <f t="shared" si="17"/>
        <v/>
      </c>
      <c r="V370" s="18"/>
    </row>
    <row r="371" spans="1:22" x14ac:dyDescent="0.45">
      <c r="A371" s="16" t="str">
        <f>IF(B371="","","LDX-"&amp;TEXT(B371,"yymmdd")&amp;"-"&amp;TEXT(COUNTIFS(B$5:B371,B371),"00"))</f>
        <v/>
      </c>
      <c r="B371" s="17"/>
      <c r="C371" s="18"/>
      <c r="D371" s="18"/>
      <c r="E371" s="18"/>
      <c r="F371" s="18"/>
      <c r="G371" s="18"/>
      <c r="H371" s="18"/>
      <c r="I371" s="18"/>
      <c r="J371" s="19"/>
      <c r="K371" s="20"/>
      <c r="L371" s="20"/>
      <c r="M371" s="19"/>
      <c r="N371" s="18"/>
      <c r="O371" s="18"/>
      <c r="P371" s="18"/>
      <c r="Q371" s="18"/>
      <c r="R371" s="21" t="str">
        <f>IF(C371="","",IFERROR(INDEX('THAM SỐ'!$F$5:$F$7,MATCH(C371,'THAM SỐ'!$A$5:$A$7,0)),""))</f>
        <v/>
      </c>
      <c r="S371" s="22" t="str">
        <f t="shared" si="15"/>
        <v/>
      </c>
      <c r="T371" s="16" t="str">
        <f t="shared" si="16"/>
        <v/>
      </c>
      <c r="U371" s="23" t="str">
        <f t="shared" si="17"/>
        <v/>
      </c>
      <c r="V371" s="18"/>
    </row>
    <row r="372" spans="1:22" x14ac:dyDescent="0.45">
      <c r="A372" s="16" t="str">
        <f>IF(B372="","","LDX-"&amp;TEXT(B372,"yymmdd")&amp;"-"&amp;TEXT(COUNTIFS(B$5:B372,B372),"00"))</f>
        <v/>
      </c>
      <c r="B372" s="17"/>
      <c r="C372" s="18"/>
      <c r="D372" s="18"/>
      <c r="E372" s="18"/>
      <c r="F372" s="18"/>
      <c r="G372" s="18"/>
      <c r="H372" s="18"/>
      <c r="I372" s="18"/>
      <c r="J372" s="19"/>
      <c r="K372" s="20"/>
      <c r="L372" s="20"/>
      <c r="M372" s="19"/>
      <c r="N372" s="18"/>
      <c r="O372" s="18"/>
      <c r="P372" s="18"/>
      <c r="Q372" s="18"/>
      <c r="R372" s="21" t="str">
        <f>IF(C372="","",IFERROR(INDEX('THAM SỐ'!$F$5:$F$7,MATCH(C372,'THAM SỐ'!$A$5:$A$7,0)),""))</f>
        <v/>
      </c>
      <c r="S372" s="22" t="str">
        <f t="shared" si="15"/>
        <v/>
      </c>
      <c r="T372" s="16" t="str">
        <f t="shared" si="16"/>
        <v/>
      </c>
      <c r="U372" s="23" t="str">
        <f t="shared" si="17"/>
        <v/>
      </c>
      <c r="V372" s="18"/>
    </row>
    <row r="373" spans="1:22" x14ac:dyDescent="0.45">
      <c r="A373" s="16" t="str">
        <f>IF(B373="","","LDX-"&amp;TEXT(B373,"yymmdd")&amp;"-"&amp;TEXT(COUNTIFS(B$5:B373,B373),"00"))</f>
        <v/>
      </c>
      <c r="B373" s="17"/>
      <c r="C373" s="18"/>
      <c r="D373" s="18"/>
      <c r="E373" s="18"/>
      <c r="F373" s="18"/>
      <c r="G373" s="18"/>
      <c r="H373" s="18"/>
      <c r="I373" s="18"/>
      <c r="J373" s="19"/>
      <c r="K373" s="20"/>
      <c r="L373" s="20"/>
      <c r="M373" s="19"/>
      <c r="N373" s="18"/>
      <c r="O373" s="18"/>
      <c r="P373" s="18"/>
      <c r="Q373" s="18"/>
      <c r="R373" s="21" t="str">
        <f>IF(C373="","",IFERROR(INDEX('THAM SỐ'!$F$5:$F$7,MATCH(C373,'THAM SỐ'!$A$5:$A$7,0)),""))</f>
        <v/>
      </c>
      <c r="S373" s="22" t="str">
        <f t="shared" si="15"/>
        <v/>
      </c>
      <c r="T373" s="16" t="str">
        <f t="shared" si="16"/>
        <v/>
      </c>
      <c r="U373" s="23" t="str">
        <f t="shared" si="17"/>
        <v/>
      </c>
      <c r="V373" s="18"/>
    </row>
    <row r="374" spans="1:22" x14ac:dyDescent="0.45">
      <c r="A374" s="16" t="str">
        <f>IF(B374="","","LDX-"&amp;TEXT(B374,"yymmdd")&amp;"-"&amp;TEXT(COUNTIFS(B$5:B374,B374),"00"))</f>
        <v/>
      </c>
      <c r="B374" s="17"/>
      <c r="C374" s="18"/>
      <c r="D374" s="18"/>
      <c r="E374" s="18"/>
      <c r="F374" s="18"/>
      <c r="G374" s="18"/>
      <c r="H374" s="18"/>
      <c r="I374" s="18"/>
      <c r="J374" s="19"/>
      <c r="K374" s="20"/>
      <c r="L374" s="20"/>
      <c r="M374" s="19"/>
      <c r="N374" s="18"/>
      <c r="O374" s="18"/>
      <c r="P374" s="18"/>
      <c r="Q374" s="18"/>
      <c r="R374" s="21" t="str">
        <f>IF(C374="","",IFERROR(INDEX('THAM SỐ'!$F$5:$F$7,MATCH(C374,'THAM SỐ'!$A$5:$A$7,0)),""))</f>
        <v/>
      </c>
      <c r="S374" s="22" t="str">
        <f t="shared" si="15"/>
        <v/>
      </c>
      <c r="T374" s="16" t="str">
        <f t="shared" si="16"/>
        <v/>
      </c>
      <c r="U374" s="23" t="str">
        <f t="shared" si="17"/>
        <v/>
      </c>
      <c r="V374" s="18"/>
    </row>
    <row r="375" spans="1:22" x14ac:dyDescent="0.45">
      <c r="A375" s="16" t="str">
        <f>IF(B375="","","LDX-"&amp;TEXT(B375,"yymmdd")&amp;"-"&amp;TEXT(COUNTIFS(B$5:B375,B375),"00"))</f>
        <v/>
      </c>
      <c r="B375" s="17"/>
      <c r="C375" s="18"/>
      <c r="D375" s="18"/>
      <c r="E375" s="18"/>
      <c r="F375" s="18"/>
      <c r="G375" s="18"/>
      <c r="H375" s="18"/>
      <c r="I375" s="18"/>
      <c r="J375" s="19"/>
      <c r="K375" s="20"/>
      <c r="L375" s="20"/>
      <c r="M375" s="19"/>
      <c r="N375" s="18"/>
      <c r="O375" s="18"/>
      <c r="P375" s="18"/>
      <c r="Q375" s="18"/>
      <c r="R375" s="21" t="str">
        <f>IF(C375="","",IFERROR(INDEX('THAM SỐ'!$F$5:$F$7,MATCH(C375,'THAM SỐ'!$A$5:$A$7,0)),""))</f>
        <v/>
      </c>
      <c r="S375" s="22" t="str">
        <f t="shared" si="15"/>
        <v/>
      </c>
      <c r="T375" s="16" t="str">
        <f t="shared" si="16"/>
        <v/>
      </c>
      <c r="U375" s="23" t="str">
        <f t="shared" si="17"/>
        <v/>
      </c>
      <c r="V375" s="18"/>
    </row>
    <row r="376" spans="1:22" x14ac:dyDescent="0.45">
      <c r="A376" s="16" t="str">
        <f>IF(B376="","","LDX-"&amp;TEXT(B376,"yymmdd")&amp;"-"&amp;TEXT(COUNTIFS(B$5:B376,B376),"00"))</f>
        <v/>
      </c>
      <c r="B376" s="17"/>
      <c r="C376" s="18"/>
      <c r="D376" s="18"/>
      <c r="E376" s="18"/>
      <c r="F376" s="18"/>
      <c r="G376" s="18"/>
      <c r="H376" s="18"/>
      <c r="I376" s="18"/>
      <c r="J376" s="19"/>
      <c r="K376" s="20"/>
      <c r="L376" s="20"/>
      <c r="M376" s="19"/>
      <c r="N376" s="18"/>
      <c r="O376" s="18"/>
      <c r="P376" s="18"/>
      <c r="Q376" s="18"/>
      <c r="R376" s="21" t="str">
        <f>IF(C376="","",IFERROR(INDEX('THAM SỐ'!$F$5:$F$7,MATCH(C376,'THAM SỐ'!$A$5:$A$7,0)),""))</f>
        <v/>
      </c>
      <c r="S376" s="22" t="str">
        <f t="shared" si="15"/>
        <v/>
      </c>
      <c r="T376" s="16" t="str">
        <f t="shared" si="16"/>
        <v/>
      </c>
      <c r="U376" s="23" t="str">
        <f t="shared" si="17"/>
        <v/>
      </c>
      <c r="V376" s="18"/>
    </row>
    <row r="377" spans="1:22" x14ac:dyDescent="0.45">
      <c r="A377" s="16" t="str">
        <f>IF(B377="","","LDX-"&amp;TEXT(B377,"yymmdd")&amp;"-"&amp;TEXT(COUNTIFS(B$5:B377,B377),"00"))</f>
        <v/>
      </c>
      <c r="B377" s="17"/>
      <c r="C377" s="18"/>
      <c r="D377" s="18"/>
      <c r="E377" s="18"/>
      <c r="F377" s="18"/>
      <c r="G377" s="18"/>
      <c r="H377" s="18"/>
      <c r="I377" s="18"/>
      <c r="J377" s="19"/>
      <c r="K377" s="20"/>
      <c r="L377" s="20"/>
      <c r="M377" s="19"/>
      <c r="N377" s="18"/>
      <c r="O377" s="18"/>
      <c r="P377" s="18"/>
      <c r="Q377" s="18"/>
      <c r="R377" s="21" t="str">
        <f>IF(C377="","",IFERROR(INDEX('THAM SỐ'!$F$5:$F$7,MATCH(C377,'THAM SỐ'!$A$5:$A$7,0)),""))</f>
        <v/>
      </c>
      <c r="S377" s="22" t="str">
        <f t="shared" si="15"/>
        <v/>
      </c>
      <c r="T377" s="16" t="str">
        <f t="shared" si="16"/>
        <v/>
      </c>
      <c r="U377" s="23" t="str">
        <f t="shared" si="17"/>
        <v/>
      </c>
      <c r="V377" s="18"/>
    </row>
    <row r="378" spans="1:22" x14ac:dyDescent="0.45">
      <c r="A378" s="16" t="str">
        <f>IF(B378="","","LDX-"&amp;TEXT(B378,"yymmdd")&amp;"-"&amp;TEXT(COUNTIFS(B$5:B378,B378),"00"))</f>
        <v/>
      </c>
      <c r="B378" s="17"/>
      <c r="C378" s="18"/>
      <c r="D378" s="18"/>
      <c r="E378" s="18"/>
      <c r="F378" s="18"/>
      <c r="G378" s="18"/>
      <c r="H378" s="18"/>
      <c r="I378" s="18"/>
      <c r="J378" s="19"/>
      <c r="K378" s="20"/>
      <c r="L378" s="20"/>
      <c r="M378" s="19"/>
      <c r="N378" s="18"/>
      <c r="O378" s="18"/>
      <c r="P378" s="18"/>
      <c r="Q378" s="18"/>
      <c r="R378" s="21" t="str">
        <f>IF(C378="","",IFERROR(INDEX('THAM SỐ'!$F$5:$F$7,MATCH(C378,'THAM SỐ'!$A$5:$A$7,0)),""))</f>
        <v/>
      </c>
      <c r="S378" s="22" t="str">
        <f t="shared" si="15"/>
        <v/>
      </c>
      <c r="T378" s="16" t="str">
        <f t="shared" si="16"/>
        <v/>
      </c>
      <c r="U378" s="23" t="str">
        <f t="shared" si="17"/>
        <v/>
      </c>
      <c r="V378" s="18"/>
    </row>
    <row r="379" spans="1:22" x14ac:dyDescent="0.45">
      <c r="A379" s="16" t="str">
        <f>IF(B379="","","LDX-"&amp;TEXT(B379,"yymmdd")&amp;"-"&amp;TEXT(COUNTIFS(B$5:B379,B379),"00"))</f>
        <v/>
      </c>
      <c r="B379" s="17"/>
      <c r="C379" s="18"/>
      <c r="D379" s="18"/>
      <c r="E379" s="18"/>
      <c r="F379" s="18"/>
      <c r="G379" s="18"/>
      <c r="H379" s="18"/>
      <c r="I379" s="18"/>
      <c r="J379" s="19"/>
      <c r="K379" s="20"/>
      <c r="L379" s="20"/>
      <c r="M379" s="19"/>
      <c r="N379" s="18"/>
      <c r="O379" s="18"/>
      <c r="P379" s="18"/>
      <c r="Q379" s="18"/>
      <c r="R379" s="21" t="str">
        <f>IF(C379="","",IFERROR(INDEX('THAM SỐ'!$F$5:$F$7,MATCH(C379,'THAM SỐ'!$A$5:$A$7,0)),""))</f>
        <v/>
      </c>
      <c r="S379" s="22" t="str">
        <f t="shared" si="15"/>
        <v/>
      </c>
      <c r="T379" s="16" t="str">
        <f t="shared" si="16"/>
        <v/>
      </c>
      <c r="U379" s="23" t="str">
        <f t="shared" si="17"/>
        <v/>
      </c>
      <c r="V379" s="18"/>
    </row>
    <row r="380" spans="1:22" x14ac:dyDescent="0.45">
      <c r="A380" s="16" t="str">
        <f>IF(B380="","","LDX-"&amp;TEXT(B380,"yymmdd")&amp;"-"&amp;TEXT(COUNTIFS(B$5:B380,B380),"00"))</f>
        <v/>
      </c>
      <c r="B380" s="17"/>
      <c r="C380" s="18"/>
      <c r="D380" s="18"/>
      <c r="E380" s="18"/>
      <c r="F380" s="18"/>
      <c r="G380" s="18"/>
      <c r="H380" s="18"/>
      <c r="I380" s="18"/>
      <c r="J380" s="19"/>
      <c r="K380" s="20"/>
      <c r="L380" s="20"/>
      <c r="M380" s="19"/>
      <c r="N380" s="18"/>
      <c r="O380" s="18"/>
      <c r="P380" s="18"/>
      <c r="Q380" s="18"/>
      <c r="R380" s="21" t="str">
        <f>IF(C380="","",IFERROR(INDEX('THAM SỐ'!$F$5:$F$7,MATCH(C380,'THAM SỐ'!$A$5:$A$7,0)),""))</f>
        <v/>
      </c>
      <c r="S380" s="22" t="str">
        <f t="shared" si="15"/>
        <v/>
      </c>
      <c r="T380" s="16" t="str">
        <f t="shared" si="16"/>
        <v/>
      </c>
      <c r="U380" s="23" t="str">
        <f t="shared" si="17"/>
        <v/>
      </c>
      <c r="V380" s="18"/>
    </row>
    <row r="381" spans="1:22" x14ac:dyDescent="0.45">
      <c r="A381" s="16" t="str">
        <f>IF(B381="","","LDX-"&amp;TEXT(B381,"yymmdd")&amp;"-"&amp;TEXT(COUNTIFS(B$5:B381,B381),"00"))</f>
        <v/>
      </c>
      <c r="B381" s="17"/>
      <c r="C381" s="18"/>
      <c r="D381" s="18"/>
      <c r="E381" s="18"/>
      <c r="F381" s="18"/>
      <c r="G381" s="18"/>
      <c r="H381" s="18"/>
      <c r="I381" s="18"/>
      <c r="J381" s="19"/>
      <c r="K381" s="20"/>
      <c r="L381" s="20"/>
      <c r="M381" s="19"/>
      <c r="N381" s="18"/>
      <c r="O381" s="18"/>
      <c r="P381" s="18"/>
      <c r="Q381" s="18"/>
      <c r="R381" s="21" t="str">
        <f>IF(C381="","",IFERROR(INDEX('THAM SỐ'!$F$5:$F$7,MATCH(C381,'THAM SỐ'!$A$5:$A$7,0)),""))</f>
        <v/>
      </c>
      <c r="S381" s="22" t="str">
        <f t="shared" si="15"/>
        <v/>
      </c>
      <c r="T381" s="16" t="str">
        <f t="shared" si="16"/>
        <v/>
      </c>
      <c r="U381" s="23" t="str">
        <f t="shared" si="17"/>
        <v/>
      </c>
      <c r="V381" s="18"/>
    </row>
    <row r="382" spans="1:22" x14ac:dyDescent="0.45">
      <c r="A382" s="16" t="str">
        <f>IF(B382="","","LDX-"&amp;TEXT(B382,"yymmdd")&amp;"-"&amp;TEXT(COUNTIFS(B$5:B382,B382),"00"))</f>
        <v/>
      </c>
      <c r="B382" s="17"/>
      <c r="C382" s="18"/>
      <c r="D382" s="18"/>
      <c r="E382" s="18"/>
      <c r="F382" s="18"/>
      <c r="G382" s="18"/>
      <c r="H382" s="18"/>
      <c r="I382" s="18"/>
      <c r="J382" s="19"/>
      <c r="K382" s="20"/>
      <c r="L382" s="20"/>
      <c r="M382" s="19"/>
      <c r="N382" s="18"/>
      <c r="O382" s="18"/>
      <c r="P382" s="18"/>
      <c r="Q382" s="18"/>
      <c r="R382" s="21" t="str">
        <f>IF(C382="","",IFERROR(INDEX('THAM SỐ'!$F$5:$F$7,MATCH(C382,'THAM SỐ'!$A$5:$A$7,0)),""))</f>
        <v/>
      </c>
      <c r="S382" s="22" t="str">
        <f t="shared" si="15"/>
        <v/>
      </c>
      <c r="T382" s="16" t="str">
        <f t="shared" si="16"/>
        <v/>
      </c>
      <c r="U382" s="23" t="str">
        <f t="shared" si="17"/>
        <v/>
      </c>
      <c r="V382" s="18"/>
    </row>
    <row r="383" spans="1:22" x14ac:dyDescent="0.45">
      <c r="A383" s="16" t="str">
        <f>IF(B383="","","LDX-"&amp;TEXT(B383,"yymmdd")&amp;"-"&amp;TEXT(COUNTIFS(B$5:B383,B383),"00"))</f>
        <v/>
      </c>
      <c r="B383" s="17"/>
      <c r="C383" s="18"/>
      <c r="D383" s="18"/>
      <c r="E383" s="18"/>
      <c r="F383" s="18"/>
      <c r="G383" s="18"/>
      <c r="H383" s="18"/>
      <c r="I383" s="18"/>
      <c r="J383" s="19"/>
      <c r="K383" s="20"/>
      <c r="L383" s="20"/>
      <c r="M383" s="19"/>
      <c r="N383" s="18"/>
      <c r="O383" s="18"/>
      <c r="P383" s="18"/>
      <c r="Q383" s="18"/>
      <c r="R383" s="21" t="str">
        <f>IF(C383="","",IFERROR(INDEX('THAM SỐ'!$F$5:$F$7,MATCH(C383,'THAM SỐ'!$A$5:$A$7,0)),""))</f>
        <v/>
      </c>
      <c r="S383" s="22" t="str">
        <f t="shared" si="15"/>
        <v/>
      </c>
      <c r="T383" s="16" t="str">
        <f t="shared" si="16"/>
        <v/>
      </c>
      <c r="U383" s="23" t="str">
        <f t="shared" si="17"/>
        <v/>
      </c>
      <c r="V383" s="18"/>
    </row>
    <row r="384" spans="1:22" x14ac:dyDescent="0.45">
      <c r="A384" s="16" t="str">
        <f>IF(B384="","","LDX-"&amp;TEXT(B384,"yymmdd")&amp;"-"&amp;TEXT(COUNTIFS(B$5:B384,B384),"00"))</f>
        <v/>
      </c>
      <c r="B384" s="17"/>
      <c r="C384" s="18"/>
      <c r="D384" s="18"/>
      <c r="E384" s="18"/>
      <c r="F384" s="18"/>
      <c r="G384" s="18"/>
      <c r="H384" s="18"/>
      <c r="I384" s="18"/>
      <c r="J384" s="19"/>
      <c r="K384" s="20"/>
      <c r="L384" s="20"/>
      <c r="M384" s="19"/>
      <c r="N384" s="18"/>
      <c r="O384" s="18"/>
      <c r="P384" s="18"/>
      <c r="Q384" s="18"/>
      <c r="R384" s="21" t="str">
        <f>IF(C384="","",IFERROR(INDEX('THAM SỐ'!$F$5:$F$7,MATCH(C384,'THAM SỐ'!$A$5:$A$7,0)),""))</f>
        <v/>
      </c>
      <c r="S384" s="22" t="str">
        <f t="shared" si="15"/>
        <v/>
      </c>
      <c r="T384" s="16" t="str">
        <f t="shared" si="16"/>
        <v/>
      </c>
      <c r="U384" s="23" t="str">
        <f t="shared" si="17"/>
        <v/>
      </c>
      <c r="V384" s="18"/>
    </row>
    <row r="385" spans="1:22" x14ac:dyDescent="0.45">
      <c r="A385" s="16" t="str">
        <f>IF(B385="","","LDX-"&amp;TEXT(B385,"yymmdd")&amp;"-"&amp;TEXT(COUNTIFS(B$5:B385,B385),"00"))</f>
        <v/>
      </c>
      <c r="B385" s="17"/>
      <c r="C385" s="18"/>
      <c r="D385" s="18"/>
      <c r="E385" s="18"/>
      <c r="F385" s="18"/>
      <c r="G385" s="18"/>
      <c r="H385" s="18"/>
      <c r="I385" s="18"/>
      <c r="J385" s="19"/>
      <c r="K385" s="20"/>
      <c r="L385" s="20"/>
      <c r="M385" s="19"/>
      <c r="N385" s="18"/>
      <c r="O385" s="18"/>
      <c r="P385" s="18"/>
      <c r="Q385" s="18"/>
      <c r="R385" s="21" t="str">
        <f>IF(C385="","",IFERROR(INDEX('THAM SỐ'!$F$5:$F$7,MATCH(C385,'THAM SỐ'!$A$5:$A$7,0)),""))</f>
        <v/>
      </c>
      <c r="S385" s="22" t="str">
        <f t="shared" si="15"/>
        <v/>
      </c>
      <c r="T385" s="16" t="str">
        <f t="shared" si="16"/>
        <v/>
      </c>
      <c r="U385" s="23" t="str">
        <f t="shared" si="17"/>
        <v/>
      </c>
      <c r="V385" s="18"/>
    </row>
    <row r="386" spans="1:22" x14ac:dyDescent="0.45">
      <c r="A386" s="16" t="str">
        <f>IF(B386="","","LDX-"&amp;TEXT(B386,"yymmdd")&amp;"-"&amp;TEXT(COUNTIFS(B$5:B386,B386),"00"))</f>
        <v/>
      </c>
      <c r="B386" s="17"/>
      <c r="C386" s="18"/>
      <c r="D386" s="18"/>
      <c r="E386" s="18"/>
      <c r="F386" s="18"/>
      <c r="G386" s="18"/>
      <c r="H386" s="18"/>
      <c r="I386" s="18"/>
      <c r="J386" s="19"/>
      <c r="K386" s="20"/>
      <c r="L386" s="20"/>
      <c r="M386" s="19"/>
      <c r="N386" s="18"/>
      <c r="O386" s="18"/>
      <c r="P386" s="18"/>
      <c r="Q386" s="18"/>
      <c r="R386" s="21" t="str">
        <f>IF(C386="","",IFERROR(INDEX('THAM SỐ'!$F$5:$F$7,MATCH(C386,'THAM SỐ'!$A$5:$A$7,0)),""))</f>
        <v/>
      </c>
      <c r="S386" s="22" t="str">
        <f t="shared" si="15"/>
        <v/>
      </c>
      <c r="T386" s="16" t="str">
        <f t="shared" si="16"/>
        <v/>
      </c>
      <c r="U386" s="23" t="str">
        <f t="shared" si="17"/>
        <v/>
      </c>
      <c r="V386" s="18"/>
    </row>
    <row r="387" spans="1:22" x14ac:dyDescent="0.45">
      <c r="A387" s="16" t="str">
        <f>IF(B387="","","LDX-"&amp;TEXT(B387,"yymmdd")&amp;"-"&amp;TEXT(COUNTIFS(B$5:B387,B387),"00"))</f>
        <v/>
      </c>
      <c r="B387" s="17"/>
      <c r="C387" s="18"/>
      <c r="D387" s="18"/>
      <c r="E387" s="18"/>
      <c r="F387" s="18"/>
      <c r="G387" s="18"/>
      <c r="H387" s="18"/>
      <c r="I387" s="18"/>
      <c r="J387" s="19"/>
      <c r="K387" s="20"/>
      <c r="L387" s="20"/>
      <c r="M387" s="19"/>
      <c r="N387" s="18"/>
      <c r="O387" s="18"/>
      <c r="P387" s="18"/>
      <c r="Q387" s="18"/>
      <c r="R387" s="21" t="str">
        <f>IF(C387="","",IFERROR(INDEX('THAM SỐ'!$F$5:$F$7,MATCH(C387,'THAM SỐ'!$A$5:$A$7,0)),""))</f>
        <v/>
      </c>
      <c r="S387" s="22" t="str">
        <f t="shared" si="15"/>
        <v/>
      </c>
      <c r="T387" s="16" t="str">
        <f t="shared" si="16"/>
        <v/>
      </c>
      <c r="U387" s="23" t="str">
        <f t="shared" si="17"/>
        <v/>
      </c>
      <c r="V387" s="18"/>
    </row>
    <row r="388" spans="1:22" x14ac:dyDescent="0.45">
      <c r="A388" s="16" t="str">
        <f>IF(B388="","","LDX-"&amp;TEXT(B388,"yymmdd")&amp;"-"&amp;TEXT(COUNTIFS(B$5:B388,B388),"00"))</f>
        <v/>
      </c>
      <c r="B388" s="17"/>
      <c r="C388" s="18"/>
      <c r="D388" s="18"/>
      <c r="E388" s="18"/>
      <c r="F388" s="18"/>
      <c r="G388" s="18"/>
      <c r="H388" s="18"/>
      <c r="I388" s="18"/>
      <c r="J388" s="19"/>
      <c r="K388" s="20"/>
      <c r="L388" s="20"/>
      <c r="M388" s="19"/>
      <c r="N388" s="18"/>
      <c r="O388" s="18"/>
      <c r="P388" s="18"/>
      <c r="Q388" s="18"/>
      <c r="R388" s="21" t="str">
        <f>IF(C388="","",IFERROR(INDEX('THAM SỐ'!$F$5:$F$7,MATCH(C388,'THAM SỐ'!$A$5:$A$7,0)),""))</f>
        <v/>
      </c>
      <c r="S388" s="22" t="str">
        <f t="shared" si="15"/>
        <v/>
      </c>
      <c r="T388" s="16" t="str">
        <f t="shared" si="16"/>
        <v/>
      </c>
      <c r="U388" s="23" t="str">
        <f t="shared" si="17"/>
        <v/>
      </c>
      <c r="V388" s="18"/>
    </row>
    <row r="389" spans="1:22" x14ac:dyDescent="0.45">
      <c r="A389" s="16" t="str">
        <f>IF(B389="","","LDX-"&amp;TEXT(B389,"yymmdd")&amp;"-"&amp;TEXT(COUNTIFS(B$5:B389,B389),"00"))</f>
        <v/>
      </c>
      <c r="B389" s="17"/>
      <c r="C389" s="18"/>
      <c r="D389" s="18"/>
      <c r="E389" s="18"/>
      <c r="F389" s="18"/>
      <c r="G389" s="18"/>
      <c r="H389" s="18"/>
      <c r="I389" s="18"/>
      <c r="J389" s="19"/>
      <c r="K389" s="20"/>
      <c r="L389" s="20"/>
      <c r="M389" s="19"/>
      <c r="N389" s="18"/>
      <c r="O389" s="18"/>
      <c r="P389" s="18"/>
      <c r="Q389" s="18"/>
      <c r="R389" s="21" t="str">
        <f>IF(C389="","",IFERROR(INDEX('THAM SỐ'!$F$5:$F$7,MATCH(C389,'THAM SỐ'!$A$5:$A$7,0)),""))</f>
        <v/>
      </c>
      <c r="S389" s="22" t="str">
        <f t="shared" ref="S389:S452" si="18">IF(OR(M389="",R389="",R389=0),"",M389/R389)</f>
        <v/>
      </c>
      <c r="T389" s="16" t="str">
        <f t="shared" ref="T389:T452" si="19">IF(S389="","",IF(S389&gt;1,"QUÁ TẢI",IF(S389&gt;0.9,"Sát tải","Đạt")))</f>
        <v/>
      </c>
      <c r="U389" s="23" t="str">
        <f t="shared" ref="U389:U452" si="20">IF(L389="","",L389+(L389&lt;4/24))</f>
        <v/>
      </c>
      <c r="V389" s="18"/>
    </row>
    <row r="390" spans="1:22" x14ac:dyDescent="0.45">
      <c r="A390" s="16" t="str">
        <f>IF(B390="","","LDX-"&amp;TEXT(B390,"yymmdd")&amp;"-"&amp;TEXT(COUNTIFS(B$5:B390,B390),"00"))</f>
        <v/>
      </c>
      <c r="B390" s="17"/>
      <c r="C390" s="18"/>
      <c r="D390" s="18"/>
      <c r="E390" s="18"/>
      <c r="F390" s="18"/>
      <c r="G390" s="18"/>
      <c r="H390" s="18"/>
      <c r="I390" s="18"/>
      <c r="J390" s="19"/>
      <c r="K390" s="20"/>
      <c r="L390" s="20"/>
      <c r="M390" s="19"/>
      <c r="N390" s="18"/>
      <c r="O390" s="18"/>
      <c r="P390" s="18"/>
      <c r="Q390" s="18"/>
      <c r="R390" s="21" t="str">
        <f>IF(C390="","",IFERROR(INDEX('THAM SỐ'!$F$5:$F$7,MATCH(C390,'THAM SỐ'!$A$5:$A$7,0)),""))</f>
        <v/>
      </c>
      <c r="S390" s="22" t="str">
        <f t="shared" si="18"/>
        <v/>
      </c>
      <c r="T390" s="16" t="str">
        <f t="shared" si="19"/>
        <v/>
      </c>
      <c r="U390" s="23" t="str">
        <f t="shared" si="20"/>
        <v/>
      </c>
      <c r="V390" s="18"/>
    </row>
    <row r="391" spans="1:22" x14ac:dyDescent="0.45">
      <c r="A391" s="16" t="str">
        <f>IF(B391="","","LDX-"&amp;TEXT(B391,"yymmdd")&amp;"-"&amp;TEXT(COUNTIFS(B$5:B391,B391),"00"))</f>
        <v/>
      </c>
      <c r="B391" s="17"/>
      <c r="C391" s="18"/>
      <c r="D391" s="18"/>
      <c r="E391" s="18"/>
      <c r="F391" s="18"/>
      <c r="G391" s="18"/>
      <c r="H391" s="18"/>
      <c r="I391" s="18"/>
      <c r="J391" s="19"/>
      <c r="K391" s="20"/>
      <c r="L391" s="20"/>
      <c r="M391" s="19"/>
      <c r="N391" s="18"/>
      <c r="O391" s="18"/>
      <c r="P391" s="18"/>
      <c r="Q391" s="18"/>
      <c r="R391" s="21" t="str">
        <f>IF(C391="","",IFERROR(INDEX('THAM SỐ'!$F$5:$F$7,MATCH(C391,'THAM SỐ'!$A$5:$A$7,0)),""))</f>
        <v/>
      </c>
      <c r="S391" s="22" t="str">
        <f t="shared" si="18"/>
        <v/>
      </c>
      <c r="T391" s="16" t="str">
        <f t="shared" si="19"/>
        <v/>
      </c>
      <c r="U391" s="23" t="str">
        <f t="shared" si="20"/>
        <v/>
      </c>
      <c r="V391" s="18"/>
    </row>
    <row r="392" spans="1:22" x14ac:dyDescent="0.45">
      <c r="A392" s="16" t="str">
        <f>IF(B392="","","LDX-"&amp;TEXT(B392,"yymmdd")&amp;"-"&amp;TEXT(COUNTIFS(B$5:B392,B392),"00"))</f>
        <v/>
      </c>
      <c r="B392" s="17"/>
      <c r="C392" s="18"/>
      <c r="D392" s="18"/>
      <c r="E392" s="18"/>
      <c r="F392" s="18"/>
      <c r="G392" s="18"/>
      <c r="H392" s="18"/>
      <c r="I392" s="18"/>
      <c r="J392" s="19"/>
      <c r="K392" s="20"/>
      <c r="L392" s="20"/>
      <c r="M392" s="19"/>
      <c r="N392" s="18"/>
      <c r="O392" s="18"/>
      <c r="P392" s="18"/>
      <c r="Q392" s="18"/>
      <c r="R392" s="21" t="str">
        <f>IF(C392="","",IFERROR(INDEX('THAM SỐ'!$F$5:$F$7,MATCH(C392,'THAM SỐ'!$A$5:$A$7,0)),""))</f>
        <v/>
      </c>
      <c r="S392" s="22" t="str">
        <f t="shared" si="18"/>
        <v/>
      </c>
      <c r="T392" s="16" t="str">
        <f t="shared" si="19"/>
        <v/>
      </c>
      <c r="U392" s="23" t="str">
        <f t="shared" si="20"/>
        <v/>
      </c>
      <c r="V392" s="18"/>
    </row>
    <row r="393" spans="1:22" x14ac:dyDescent="0.45">
      <c r="A393" s="16" t="str">
        <f>IF(B393="","","LDX-"&amp;TEXT(B393,"yymmdd")&amp;"-"&amp;TEXT(COUNTIFS(B$5:B393,B393),"00"))</f>
        <v/>
      </c>
      <c r="B393" s="17"/>
      <c r="C393" s="18"/>
      <c r="D393" s="18"/>
      <c r="E393" s="18"/>
      <c r="F393" s="18"/>
      <c r="G393" s="18"/>
      <c r="H393" s="18"/>
      <c r="I393" s="18"/>
      <c r="J393" s="19"/>
      <c r="K393" s="20"/>
      <c r="L393" s="20"/>
      <c r="M393" s="19"/>
      <c r="N393" s="18"/>
      <c r="O393" s="18"/>
      <c r="P393" s="18"/>
      <c r="Q393" s="18"/>
      <c r="R393" s="21" t="str">
        <f>IF(C393="","",IFERROR(INDEX('THAM SỐ'!$F$5:$F$7,MATCH(C393,'THAM SỐ'!$A$5:$A$7,0)),""))</f>
        <v/>
      </c>
      <c r="S393" s="22" t="str">
        <f t="shared" si="18"/>
        <v/>
      </c>
      <c r="T393" s="16" t="str">
        <f t="shared" si="19"/>
        <v/>
      </c>
      <c r="U393" s="23" t="str">
        <f t="shared" si="20"/>
        <v/>
      </c>
      <c r="V393" s="18"/>
    </row>
    <row r="394" spans="1:22" x14ac:dyDescent="0.45">
      <c r="A394" s="16" t="str">
        <f>IF(B394="","","LDX-"&amp;TEXT(B394,"yymmdd")&amp;"-"&amp;TEXT(COUNTIFS(B$5:B394,B394),"00"))</f>
        <v/>
      </c>
      <c r="B394" s="17"/>
      <c r="C394" s="18"/>
      <c r="D394" s="18"/>
      <c r="E394" s="18"/>
      <c r="F394" s="18"/>
      <c r="G394" s="18"/>
      <c r="H394" s="18"/>
      <c r="I394" s="18"/>
      <c r="J394" s="19"/>
      <c r="K394" s="20"/>
      <c r="L394" s="20"/>
      <c r="M394" s="19"/>
      <c r="N394" s="18"/>
      <c r="O394" s="18"/>
      <c r="P394" s="18"/>
      <c r="Q394" s="18"/>
      <c r="R394" s="21" t="str">
        <f>IF(C394="","",IFERROR(INDEX('THAM SỐ'!$F$5:$F$7,MATCH(C394,'THAM SỐ'!$A$5:$A$7,0)),""))</f>
        <v/>
      </c>
      <c r="S394" s="22" t="str">
        <f t="shared" si="18"/>
        <v/>
      </c>
      <c r="T394" s="16" t="str">
        <f t="shared" si="19"/>
        <v/>
      </c>
      <c r="U394" s="23" t="str">
        <f t="shared" si="20"/>
        <v/>
      </c>
      <c r="V394" s="18"/>
    </row>
    <row r="395" spans="1:22" x14ac:dyDescent="0.45">
      <c r="A395" s="16" t="str">
        <f>IF(B395="","","LDX-"&amp;TEXT(B395,"yymmdd")&amp;"-"&amp;TEXT(COUNTIFS(B$5:B395,B395),"00"))</f>
        <v/>
      </c>
      <c r="B395" s="17"/>
      <c r="C395" s="18"/>
      <c r="D395" s="18"/>
      <c r="E395" s="18"/>
      <c r="F395" s="18"/>
      <c r="G395" s="18"/>
      <c r="H395" s="18"/>
      <c r="I395" s="18"/>
      <c r="J395" s="19"/>
      <c r="K395" s="20"/>
      <c r="L395" s="20"/>
      <c r="M395" s="19"/>
      <c r="N395" s="18"/>
      <c r="O395" s="18"/>
      <c r="P395" s="18"/>
      <c r="Q395" s="18"/>
      <c r="R395" s="21" t="str">
        <f>IF(C395="","",IFERROR(INDEX('THAM SỐ'!$F$5:$F$7,MATCH(C395,'THAM SỐ'!$A$5:$A$7,0)),""))</f>
        <v/>
      </c>
      <c r="S395" s="22" t="str">
        <f t="shared" si="18"/>
        <v/>
      </c>
      <c r="T395" s="16" t="str">
        <f t="shared" si="19"/>
        <v/>
      </c>
      <c r="U395" s="23" t="str">
        <f t="shared" si="20"/>
        <v/>
      </c>
      <c r="V395" s="18"/>
    </row>
    <row r="396" spans="1:22" x14ac:dyDescent="0.45">
      <c r="A396" s="16" t="str">
        <f>IF(B396="","","LDX-"&amp;TEXT(B396,"yymmdd")&amp;"-"&amp;TEXT(COUNTIFS(B$5:B396,B396),"00"))</f>
        <v/>
      </c>
      <c r="B396" s="17"/>
      <c r="C396" s="18"/>
      <c r="D396" s="18"/>
      <c r="E396" s="18"/>
      <c r="F396" s="18"/>
      <c r="G396" s="18"/>
      <c r="H396" s="18"/>
      <c r="I396" s="18"/>
      <c r="J396" s="19"/>
      <c r="K396" s="20"/>
      <c r="L396" s="20"/>
      <c r="M396" s="19"/>
      <c r="N396" s="18"/>
      <c r="O396" s="18"/>
      <c r="P396" s="18"/>
      <c r="Q396" s="18"/>
      <c r="R396" s="21" t="str">
        <f>IF(C396="","",IFERROR(INDEX('THAM SỐ'!$F$5:$F$7,MATCH(C396,'THAM SỐ'!$A$5:$A$7,0)),""))</f>
        <v/>
      </c>
      <c r="S396" s="22" t="str">
        <f t="shared" si="18"/>
        <v/>
      </c>
      <c r="T396" s="16" t="str">
        <f t="shared" si="19"/>
        <v/>
      </c>
      <c r="U396" s="23" t="str">
        <f t="shared" si="20"/>
        <v/>
      </c>
      <c r="V396" s="18"/>
    </row>
    <row r="397" spans="1:22" x14ac:dyDescent="0.45">
      <c r="A397" s="16" t="str">
        <f>IF(B397="","","LDX-"&amp;TEXT(B397,"yymmdd")&amp;"-"&amp;TEXT(COUNTIFS(B$5:B397,B397),"00"))</f>
        <v/>
      </c>
      <c r="B397" s="17"/>
      <c r="C397" s="18"/>
      <c r="D397" s="18"/>
      <c r="E397" s="18"/>
      <c r="F397" s="18"/>
      <c r="G397" s="18"/>
      <c r="H397" s="18"/>
      <c r="I397" s="18"/>
      <c r="J397" s="19"/>
      <c r="K397" s="20"/>
      <c r="L397" s="20"/>
      <c r="M397" s="19"/>
      <c r="N397" s="18"/>
      <c r="O397" s="18"/>
      <c r="P397" s="18"/>
      <c r="Q397" s="18"/>
      <c r="R397" s="21" t="str">
        <f>IF(C397="","",IFERROR(INDEX('THAM SỐ'!$F$5:$F$7,MATCH(C397,'THAM SỐ'!$A$5:$A$7,0)),""))</f>
        <v/>
      </c>
      <c r="S397" s="22" t="str">
        <f t="shared" si="18"/>
        <v/>
      </c>
      <c r="T397" s="16" t="str">
        <f t="shared" si="19"/>
        <v/>
      </c>
      <c r="U397" s="23" t="str">
        <f t="shared" si="20"/>
        <v/>
      </c>
      <c r="V397" s="18"/>
    </row>
    <row r="398" spans="1:22" x14ac:dyDescent="0.45">
      <c r="A398" s="16" t="str">
        <f>IF(B398="","","LDX-"&amp;TEXT(B398,"yymmdd")&amp;"-"&amp;TEXT(COUNTIFS(B$5:B398,B398),"00"))</f>
        <v/>
      </c>
      <c r="B398" s="17"/>
      <c r="C398" s="18"/>
      <c r="D398" s="18"/>
      <c r="E398" s="18"/>
      <c r="F398" s="18"/>
      <c r="G398" s="18"/>
      <c r="H398" s="18"/>
      <c r="I398" s="18"/>
      <c r="J398" s="19"/>
      <c r="K398" s="20"/>
      <c r="L398" s="20"/>
      <c r="M398" s="19"/>
      <c r="N398" s="18"/>
      <c r="O398" s="18"/>
      <c r="P398" s="18"/>
      <c r="Q398" s="18"/>
      <c r="R398" s="21" t="str">
        <f>IF(C398="","",IFERROR(INDEX('THAM SỐ'!$F$5:$F$7,MATCH(C398,'THAM SỐ'!$A$5:$A$7,0)),""))</f>
        <v/>
      </c>
      <c r="S398" s="22" t="str">
        <f t="shared" si="18"/>
        <v/>
      </c>
      <c r="T398" s="16" t="str">
        <f t="shared" si="19"/>
        <v/>
      </c>
      <c r="U398" s="23" t="str">
        <f t="shared" si="20"/>
        <v/>
      </c>
      <c r="V398" s="18"/>
    </row>
    <row r="399" spans="1:22" x14ac:dyDescent="0.45">
      <c r="A399" s="16" t="str">
        <f>IF(B399="","","LDX-"&amp;TEXT(B399,"yymmdd")&amp;"-"&amp;TEXT(COUNTIFS(B$5:B399,B399),"00"))</f>
        <v/>
      </c>
      <c r="B399" s="17"/>
      <c r="C399" s="18"/>
      <c r="D399" s="18"/>
      <c r="E399" s="18"/>
      <c r="F399" s="18"/>
      <c r="G399" s="18"/>
      <c r="H399" s="18"/>
      <c r="I399" s="18"/>
      <c r="J399" s="19"/>
      <c r="K399" s="20"/>
      <c r="L399" s="20"/>
      <c r="M399" s="19"/>
      <c r="N399" s="18"/>
      <c r="O399" s="18"/>
      <c r="P399" s="18"/>
      <c r="Q399" s="18"/>
      <c r="R399" s="21" t="str">
        <f>IF(C399="","",IFERROR(INDEX('THAM SỐ'!$F$5:$F$7,MATCH(C399,'THAM SỐ'!$A$5:$A$7,0)),""))</f>
        <v/>
      </c>
      <c r="S399" s="22" t="str">
        <f t="shared" si="18"/>
        <v/>
      </c>
      <c r="T399" s="16" t="str">
        <f t="shared" si="19"/>
        <v/>
      </c>
      <c r="U399" s="23" t="str">
        <f t="shared" si="20"/>
        <v/>
      </c>
      <c r="V399" s="18"/>
    </row>
    <row r="400" spans="1:22" x14ac:dyDescent="0.45">
      <c r="A400" s="16" t="str">
        <f>IF(B400="","","LDX-"&amp;TEXT(B400,"yymmdd")&amp;"-"&amp;TEXT(COUNTIFS(B$5:B400,B400),"00"))</f>
        <v/>
      </c>
      <c r="B400" s="17"/>
      <c r="C400" s="18"/>
      <c r="D400" s="18"/>
      <c r="E400" s="18"/>
      <c r="F400" s="18"/>
      <c r="G400" s="18"/>
      <c r="H400" s="18"/>
      <c r="I400" s="18"/>
      <c r="J400" s="19"/>
      <c r="K400" s="20"/>
      <c r="L400" s="20"/>
      <c r="M400" s="19"/>
      <c r="N400" s="18"/>
      <c r="O400" s="18"/>
      <c r="P400" s="18"/>
      <c r="Q400" s="18"/>
      <c r="R400" s="21" t="str">
        <f>IF(C400="","",IFERROR(INDEX('THAM SỐ'!$F$5:$F$7,MATCH(C400,'THAM SỐ'!$A$5:$A$7,0)),""))</f>
        <v/>
      </c>
      <c r="S400" s="22" t="str">
        <f t="shared" si="18"/>
        <v/>
      </c>
      <c r="T400" s="16" t="str">
        <f t="shared" si="19"/>
        <v/>
      </c>
      <c r="U400" s="23" t="str">
        <f t="shared" si="20"/>
        <v/>
      </c>
      <c r="V400" s="18"/>
    </row>
    <row r="401" spans="1:22" x14ac:dyDescent="0.45">
      <c r="A401" s="16" t="str">
        <f>IF(B401="","","LDX-"&amp;TEXT(B401,"yymmdd")&amp;"-"&amp;TEXT(COUNTIFS(B$5:B401,B401),"00"))</f>
        <v/>
      </c>
      <c r="B401" s="17"/>
      <c r="C401" s="18"/>
      <c r="D401" s="18"/>
      <c r="E401" s="18"/>
      <c r="F401" s="18"/>
      <c r="G401" s="18"/>
      <c r="H401" s="18"/>
      <c r="I401" s="18"/>
      <c r="J401" s="19"/>
      <c r="K401" s="20"/>
      <c r="L401" s="20"/>
      <c r="M401" s="19"/>
      <c r="N401" s="18"/>
      <c r="O401" s="18"/>
      <c r="P401" s="18"/>
      <c r="Q401" s="18"/>
      <c r="R401" s="21" t="str">
        <f>IF(C401="","",IFERROR(INDEX('THAM SỐ'!$F$5:$F$7,MATCH(C401,'THAM SỐ'!$A$5:$A$7,0)),""))</f>
        <v/>
      </c>
      <c r="S401" s="22" t="str">
        <f t="shared" si="18"/>
        <v/>
      </c>
      <c r="T401" s="16" t="str">
        <f t="shared" si="19"/>
        <v/>
      </c>
      <c r="U401" s="23" t="str">
        <f t="shared" si="20"/>
        <v/>
      </c>
      <c r="V401" s="18"/>
    </row>
    <row r="402" spans="1:22" x14ac:dyDescent="0.45">
      <c r="A402" s="16" t="str">
        <f>IF(B402="","","LDX-"&amp;TEXT(B402,"yymmdd")&amp;"-"&amp;TEXT(COUNTIFS(B$5:B402,B402),"00"))</f>
        <v/>
      </c>
      <c r="B402" s="17"/>
      <c r="C402" s="18"/>
      <c r="D402" s="18"/>
      <c r="E402" s="18"/>
      <c r="F402" s="18"/>
      <c r="G402" s="18"/>
      <c r="H402" s="18"/>
      <c r="I402" s="18"/>
      <c r="J402" s="19"/>
      <c r="K402" s="20"/>
      <c r="L402" s="20"/>
      <c r="M402" s="19"/>
      <c r="N402" s="18"/>
      <c r="O402" s="18"/>
      <c r="P402" s="18"/>
      <c r="Q402" s="18"/>
      <c r="R402" s="21" t="str">
        <f>IF(C402="","",IFERROR(INDEX('THAM SỐ'!$F$5:$F$7,MATCH(C402,'THAM SỐ'!$A$5:$A$7,0)),""))</f>
        <v/>
      </c>
      <c r="S402" s="22" t="str">
        <f t="shared" si="18"/>
        <v/>
      </c>
      <c r="T402" s="16" t="str">
        <f t="shared" si="19"/>
        <v/>
      </c>
      <c r="U402" s="23" t="str">
        <f t="shared" si="20"/>
        <v/>
      </c>
      <c r="V402" s="18"/>
    </row>
    <row r="403" spans="1:22" x14ac:dyDescent="0.45">
      <c r="A403" s="16" t="str">
        <f>IF(B403="","","LDX-"&amp;TEXT(B403,"yymmdd")&amp;"-"&amp;TEXT(COUNTIFS(B$5:B403,B403),"00"))</f>
        <v/>
      </c>
      <c r="B403" s="17"/>
      <c r="C403" s="18"/>
      <c r="D403" s="18"/>
      <c r="E403" s="18"/>
      <c r="F403" s="18"/>
      <c r="G403" s="18"/>
      <c r="H403" s="18"/>
      <c r="I403" s="18"/>
      <c r="J403" s="19"/>
      <c r="K403" s="20"/>
      <c r="L403" s="20"/>
      <c r="M403" s="19"/>
      <c r="N403" s="18"/>
      <c r="O403" s="18"/>
      <c r="P403" s="18"/>
      <c r="Q403" s="18"/>
      <c r="R403" s="21" t="str">
        <f>IF(C403="","",IFERROR(INDEX('THAM SỐ'!$F$5:$F$7,MATCH(C403,'THAM SỐ'!$A$5:$A$7,0)),""))</f>
        <v/>
      </c>
      <c r="S403" s="22" t="str">
        <f t="shared" si="18"/>
        <v/>
      </c>
      <c r="T403" s="16" t="str">
        <f t="shared" si="19"/>
        <v/>
      </c>
      <c r="U403" s="23" t="str">
        <f t="shared" si="20"/>
        <v/>
      </c>
      <c r="V403" s="18"/>
    </row>
    <row r="404" spans="1:22" x14ac:dyDescent="0.45">
      <c r="A404" s="16" t="str">
        <f>IF(B404="","","LDX-"&amp;TEXT(B404,"yymmdd")&amp;"-"&amp;TEXT(COUNTIFS(B$5:B404,B404),"00"))</f>
        <v/>
      </c>
      <c r="B404" s="17"/>
      <c r="C404" s="18"/>
      <c r="D404" s="18"/>
      <c r="E404" s="18"/>
      <c r="F404" s="18"/>
      <c r="G404" s="18"/>
      <c r="H404" s="18"/>
      <c r="I404" s="18"/>
      <c r="J404" s="19"/>
      <c r="K404" s="20"/>
      <c r="L404" s="20"/>
      <c r="M404" s="19"/>
      <c r="N404" s="18"/>
      <c r="O404" s="18"/>
      <c r="P404" s="18"/>
      <c r="Q404" s="18"/>
      <c r="R404" s="21" t="str">
        <f>IF(C404="","",IFERROR(INDEX('THAM SỐ'!$F$5:$F$7,MATCH(C404,'THAM SỐ'!$A$5:$A$7,0)),""))</f>
        <v/>
      </c>
      <c r="S404" s="22" t="str">
        <f t="shared" si="18"/>
        <v/>
      </c>
      <c r="T404" s="16" t="str">
        <f t="shared" si="19"/>
        <v/>
      </c>
      <c r="U404" s="23" t="str">
        <f t="shared" si="20"/>
        <v/>
      </c>
      <c r="V404" s="18"/>
    </row>
    <row r="405" spans="1:22" x14ac:dyDescent="0.45">
      <c r="A405" s="16" t="str">
        <f>IF(B405="","","LDX-"&amp;TEXT(B405,"yymmdd")&amp;"-"&amp;TEXT(COUNTIFS(B$5:B405,B405),"00"))</f>
        <v/>
      </c>
      <c r="B405" s="17"/>
      <c r="C405" s="18"/>
      <c r="D405" s="18"/>
      <c r="E405" s="18"/>
      <c r="F405" s="18"/>
      <c r="G405" s="18"/>
      <c r="H405" s="18"/>
      <c r="I405" s="18"/>
      <c r="J405" s="19"/>
      <c r="K405" s="20"/>
      <c r="L405" s="20"/>
      <c r="M405" s="19"/>
      <c r="N405" s="18"/>
      <c r="O405" s="18"/>
      <c r="P405" s="18"/>
      <c r="Q405" s="18"/>
      <c r="R405" s="21" t="str">
        <f>IF(C405="","",IFERROR(INDEX('THAM SỐ'!$F$5:$F$7,MATCH(C405,'THAM SỐ'!$A$5:$A$7,0)),""))</f>
        <v/>
      </c>
      <c r="S405" s="22" t="str">
        <f t="shared" si="18"/>
        <v/>
      </c>
      <c r="T405" s="16" t="str">
        <f t="shared" si="19"/>
        <v/>
      </c>
      <c r="U405" s="23" t="str">
        <f t="shared" si="20"/>
        <v/>
      </c>
      <c r="V405" s="18"/>
    </row>
    <row r="406" spans="1:22" x14ac:dyDescent="0.45">
      <c r="A406" s="16" t="str">
        <f>IF(B406="","","LDX-"&amp;TEXT(B406,"yymmdd")&amp;"-"&amp;TEXT(COUNTIFS(B$5:B406,B406),"00"))</f>
        <v/>
      </c>
      <c r="B406" s="17"/>
      <c r="C406" s="18"/>
      <c r="D406" s="18"/>
      <c r="E406" s="18"/>
      <c r="F406" s="18"/>
      <c r="G406" s="18"/>
      <c r="H406" s="18"/>
      <c r="I406" s="18"/>
      <c r="J406" s="19"/>
      <c r="K406" s="20"/>
      <c r="L406" s="20"/>
      <c r="M406" s="19"/>
      <c r="N406" s="18"/>
      <c r="O406" s="18"/>
      <c r="P406" s="18"/>
      <c r="Q406" s="18"/>
      <c r="R406" s="21" t="str">
        <f>IF(C406="","",IFERROR(INDEX('THAM SỐ'!$F$5:$F$7,MATCH(C406,'THAM SỐ'!$A$5:$A$7,0)),""))</f>
        <v/>
      </c>
      <c r="S406" s="22" t="str">
        <f t="shared" si="18"/>
        <v/>
      </c>
      <c r="T406" s="16" t="str">
        <f t="shared" si="19"/>
        <v/>
      </c>
      <c r="U406" s="23" t="str">
        <f t="shared" si="20"/>
        <v/>
      </c>
      <c r="V406" s="18"/>
    </row>
    <row r="407" spans="1:22" x14ac:dyDescent="0.45">
      <c r="A407" s="16" t="str">
        <f>IF(B407="","","LDX-"&amp;TEXT(B407,"yymmdd")&amp;"-"&amp;TEXT(COUNTIFS(B$5:B407,B407),"00"))</f>
        <v/>
      </c>
      <c r="B407" s="17"/>
      <c r="C407" s="18"/>
      <c r="D407" s="18"/>
      <c r="E407" s="18"/>
      <c r="F407" s="18"/>
      <c r="G407" s="18"/>
      <c r="H407" s="18"/>
      <c r="I407" s="18"/>
      <c r="J407" s="19"/>
      <c r="K407" s="20"/>
      <c r="L407" s="20"/>
      <c r="M407" s="19"/>
      <c r="N407" s="18"/>
      <c r="O407" s="18"/>
      <c r="P407" s="18"/>
      <c r="Q407" s="18"/>
      <c r="R407" s="21" t="str">
        <f>IF(C407="","",IFERROR(INDEX('THAM SỐ'!$F$5:$F$7,MATCH(C407,'THAM SỐ'!$A$5:$A$7,0)),""))</f>
        <v/>
      </c>
      <c r="S407" s="22" t="str">
        <f t="shared" si="18"/>
        <v/>
      </c>
      <c r="T407" s="16" t="str">
        <f t="shared" si="19"/>
        <v/>
      </c>
      <c r="U407" s="23" t="str">
        <f t="shared" si="20"/>
        <v/>
      </c>
      <c r="V407" s="18"/>
    </row>
    <row r="408" spans="1:22" x14ac:dyDescent="0.45">
      <c r="A408" s="16" t="str">
        <f>IF(B408="","","LDX-"&amp;TEXT(B408,"yymmdd")&amp;"-"&amp;TEXT(COUNTIFS(B$5:B408,B408),"00"))</f>
        <v/>
      </c>
      <c r="B408" s="17"/>
      <c r="C408" s="18"/>
      <c r="D408" s="18"/>
      <c r="E408" s="18"/>
      <c r="F408" s="18"/>
      <c r="G408" s="18"/>
      <c r="H408" s="18"/>
      <c r="I408" s="18"/>
      <c r="J408" s="19"/>
      <c r="K408" s="20"/>
      <c r="L408" s="20"/>
      <c r="M408" s="19"/>
      <c r="N408" s="18"/>
      <c r="O408" s="18"/>
      <c r="P408" s="18"/>
      <c r="Q408" s="18"/>
      <c r="R408" s="21" t="str">
        <f>IF(C408="","",IFERROR(INDEX('THAM SỐ'!$F$5:$F$7,MATCH(C408,'THAM SỐ'!$A$5:$A$7,0)),""))</f>
        <v/>
      </c>
      <c r="S408" s="22" t="str">
        <f t="shared" si="18"/>
        <v/>
      </c>
      <c r="T408" s="16" t="str">
        <f t="shared" si="19"/>
        <v/>
      </c>
      <c r="U408" s="23" t="str">
        <f t="shared" si="20"/>
        <v/>
      </c>
      <c r="V408" s="18"/>
    </row>
    <row r="409" spans="1:22" x14ac:dyDescent="0.45">
      <c r="A409" s="16" t="str">
        <f>IF(B409="","","LDX-"&amp;TEXT(B409,"yymmdd")&amp;"-"&amp;TEXT(COUNTIFS(B$5:B409,B409),"00"))</f>
        <v/>
      </c>
      <c r="B409" s="17"/>
      <c r="C409" s="18"/>
      <c r="D409" s="18"/>
      <c r="E409" s="18"/>
      <c r="F409" s="18"/>
      <c r="G409" s="18"/>
      <c r="H409" s="18"/>
      <c r="I409" s="18"/>
      <c r="J409" s="19"/>
      <c r="K409" s="20"/>
      <c r="L409" s="20"/>
      <c r="M409" s="19"/>
      <c r="N409" s="18"/>
      <c r="O409" s="18"/>
      <c r="P409" s="18"/>
      <c r="Q409" s="18"/>
      <c r="R409" s="21" t="str">
        <f>IF(C409="","",IFERROR(INDEX('THAM SỐ'!$F$5:$F$7,MATCH(C409,'THAM SỐ'!$A$5:$A$7,0)),""))</f>
        <v/>
      </c>
      <c r="S409" s="22" t="str">
        <f t="shared" si="18"/>
        <v/>
      </c>
      <c r="T409" s="16" t="str">
        <f t="shared" si="19"/>
        <v/>
      </c>
      <c r="U409" s="23" t="str">
        <f t="shared" si="20"/>
        <v/>
      </c>
      <c r="V409" s="18"/>
    </row>
    <row r="410" spans="1:22" x14ac:dyDescent="0.45">
      <c r="A410" s="16" t="str">
        <f>IF(B410="","","LDX-"&amp;TEXT(B410,"yymmdd")&amp;"-"&amp;TEXT(COUNTIFS(B$5:B410,B410),"00"))</f>
        <v/>
      </c>
      <c r="B410" s="17"/>
      <c r="C410" s="18"/>
      <c r="D410" s="18"/>
      <c r="E410" s="18"/>
      <c r="F410" s="18"/>
      <c r="G410" s="18"/>
      <c r="H410" s="18"/>
      <c r="I410" s="18"/>
      <c r="J410" s="19"/>
      <c r="K410" s="20"/>
      <c r="L410" s="20"/>
      <c r="M410" s="19"/>
      <c r="N410" s="18"/>
      <c r="O410" s="18"/>
      <c r="P410" s="18"/>
      <c r="Q410" s="18"/>
      <c r="R410" s="21" t="str">
        <f>IF(C410="","",IFERROR(INDEX('THAM SỐ'!$F$5:$F$7,MATCH(C410,'THAM SỐ'!$A$5:$A$7,0)),""))</f>
        <v/>
      </c>
      <c r="S410" s="22" t="str">
        <f t="shared" si="18"/>
        <v/>
      </c>
      <c r="T410" s="16" t="str">
        <f t="shared" si="19"/>
        <v/>
      </c>
      <c r="U410" s="23" t="str">
        <f t="shared" si="20"/>
        <v/>
      </c>
      <c r="V410" s="18"/>
    </row>
    <row r="411" spans="1:22" x14ac:dyDescent="0.45">
      <c r="A411" s="16" t="str">
        <f>IF(B411="","","LDX-"&amp;TEXT(B411,"yymmdd")&amp;"-"&amp;TEXT(COUNTIFS(B$5:B411,B411),"00"))</f>
        <v/>
      </c>
      <c r="B411" s="17"/>
      <c r="C411" s="18"/>
      <c r="D411" s="18"/>
      <c r="E411" s="18"/>
      <c r="F411" s="18"/>
      <c r="G411" s="18"/>
      <c r="H411" s="18"/>
      <c r="I411" s="18"/>
      <c r="J411" s="19"/>
      <c r="K411" s="20"/>
      <c r="L411" s="20"/>
      <c r="M411" s="19"/>
      <c r="N411" s="18"/>
      <c r="O411" s="18"/>
      <c r="P411" s="18"/>
      <c r="Q411" s="18"/>
      <c r="R411" s="21" t="str">
        <f>IF(C411="","",IFERROR(INDEX('THAM SỐ'!$F$5:$F$7,MATCH(C411,'THAM SỐ'!$A$5:$A$7,0)),""))</f>
        <v/>
      </c>
      <c r="S411" s="22" t="str">
        <f t="shared" si="18"/>
        <v/>
      </c>
      <c r="T411" s="16" t="str">
        <f t="shared" si="19"/>
        <v/>
      </c>
      <c r="U411" s="23" t="str">
        <f t="shared" si="20"/>
        <v/>
      </c>
      <c r="V411" s="18"/>
    </row>
    <row r="412" spans="1:22" x14ac:dyDescent="0.45">
      <c r="A412" s="16" t="str">
        <f>IF(B412="","","LDX-"&amp;TEXT(B412,"yymmdd")&amp;"-"&amp;TEXT(COUNTIFS(B$5:B412,B412),"00"))</f>
        <v/>
      </c>
      <c r="B412" s="17"/>
      <c r="C412" s="18"/>
      <c r="D412" s="18"/>
      <c r="E412" s="18"/>
      <c r="F412" s="18"/>
      <c r="G412" s="18"/>
      <c r="H412" s="18"/>
      <c r="I412" s="18"/>
      <c r="J412" s="19"/>
      <c r="K412" s="20"/>
      <c r="L412" s="20"/>
      <c r="M412" s="19"/>
      <c r="N412" s="18"/>
      <c r="O412" s="18"/>
      <c r="P412" s="18"/>
      <c r="Q412" s="18"/>
      <c r="R412" s="21" t="str">
        <f>IF(C412="","",IFERROR(INDEX('THAM SỐ'!$F$5:$F$7,MATCH(C412,'THAM SỐ'!$A$5:$A$7,0)),""))</f>
        <v/>
      </c>
      <c r="S412" s="22" t="str">
        <f t="shared" si="18"/>
        <v/>
      </c>
      <c r="T412" s="16" t="str">
        <f t="shared" si="19"/>
        <v/>
      </c>
      <c r="U412" s="23" t="str">
        <f t="shared" si="20"/>
        <v/>
      </c>
      <c r="V412" s="18"/>
    </row>
    <row r="413" spans="1:22" x14ac:dyDescent="0.45">
      <c r="A413" s="16" t="str">
        <f>IF(B413="","","LDX-"&amp;TEXT(B413,"yymmdd")&amp;"-"&amp;TEXT(COUNTIFS(B$5:B413,B413),"00"))</f>
        <v/>
      </c>
      <c r="B413" s="17"/>
      <c r="C413" s="18"/>
      <c r="D413" s="18"/>
      <c r="E413" s="18"/>
      <c r="F413" s="18"/>
      <c r="G413" s="18"/>
      <c r="H413" s="18"/>
      <c r="I413" s="18"/>
      <c r="J413" s="19"/>
      <c r="K413" s="20"/>
      <c r="L413" s="20"/>
      <c r="M413" s="19"/>
      <c r="N413" s="18"/>
      <c r="O413" s="18"/>
      <c r="P413" s="18"/>
      <c r="Q413" s="18"/>
      <c r="R413" s="21" t="str">
        <f>IF(C413="","",IFERROR(INDEX('THAM SỐ'!$F$5:$F$7,MATCH(C413,'THAM SỐ'!$A$5:$A$7,0)),""))</f>
        <v/>
      </c>
      <c r="S413" s="22" t="str">
        <f t="shared" si="18"/>
        <v/>
      </c>
      <c r="T413" s="16" t="str">
        <f t="shared" si="19"/>
        <v/>
      </c>
      <c r="U413" s="23" t="str">
        <f t="shared" si="20"/>
        <v/>
      </c>
      <c r="V413" s="18"/>
    </row>
    <row r="414" spans="1:22" x14ac:dyDescent="0.45">
      <c r="A414" s="16" t="str">
        <f>IF(B414="","","LDX-"&amp;TEXT(B414,"yymmdd")&amp;"-"&amp;TEXT(COUNTIFS(B$5:B414,B414),"00"))</f>
        <v/>
      </c>
      <c r="B414" s="17"/>
      <c r="C414" s="18"/>
      <c r="D414" s="18"/>
      <c r="E414" s="18"/>
      <c r="F414" s="18"/>
      <c r="G414" s="18"/>
      <c r="H414" s="18"/>
      <c r="I414" s="18"/>
      <c r="J414" s="19"/>
      <c r="K414" s="20"/>
      <c r="L414" s="20"/>
      <c r="M414" s="19"/>
      <c r="N414" s="18"/>
      <c r="O414" s="18"/>
      <c r="P414" s="18"/>
      <c r="Q414" s="18"/>
      <c r="R414" s="21" t="str">
        <f>IF(C414="","",IFERROR(INDEX('THAM SỐ'!$F$5:$F$7,MATCH(C414,'THAM SỐ'!$A$5:$A$7,0)),""))</f>
        <v/>
      </c>
      <c r="S414" s="22" t="str">
        <f t="shared" si="18"/>
        <v/>
      </c>
      <c r="T414" s="16" t="str">
        <f t="shared" si="19"/>
        <v/>
      </c>
      <c r="U414" s="23" t="str">
        <f t="shared" si="20"/>
        <v/>
      </c>
      <c r="V414" s="18"/>
    </row>
    <row r="415" spans="1:22" x14ac:dyDescent="0.45">
      <c r="A415" s="16" t="str">
        <f>IF(B415="","","LDX-"&amp;TEXT(B415,"yymmdd")&amp;"-"&amp;TEXT(COUNTIFS(B$5:B415,B415),"00"))</f>
        <v/>
      </c>
      <c r="B415" s="17"/>
      <c r="C415" s="18"/>
      <c r="D415" s="18"/>
      <c r="E415" s="18"/>
      <c r="F415" s="18"/>
      <c r="G415" s="18"/>
      <c r="H415" s="18"/>
      <c r="I415" s="18"/>
      <c r="J415" s="19"/>
      <c r="K415" s="20"/>
      <c r="L415" s="20"/>
      <c r="M415" s="19"/>
      <c r="N415" s="18"/>
      <c r="O415" s="18"/>
      <c r="P415" s="18"/>
      <c r="Q415" s="18"/>
      <c r="R415" s="21" t="str">
        <f>IF(C415="","",IFERROR(INDEX('THAM SỐ'!$F$5:$F$7,MATCH(C415,'THAM SỐ'!$A$5:$A$7,0)),""))</f>
        <v/>
      </c>
      <c r="S415" s="22" t="str">
        <f t="shared" si="18"/>
        <v/>
      </c>
      <c r="T415" s="16" t="str">
        <f t="shared" si="19"/>
        <v/>
      </c>
      <c r="U415" s="23" t="str">
        <f t="shared" si="20"/>
        <v/>
      </c>
      <c r="V415" s="18"/>
    </row>
    <row r="416" spans="1:22" x14ac:dyDescent="0.45">
      <c r="A416" s="16" t="str">
        <f>IF(B416="","","LDX-"&amp;TEXT(B416,"yymmdd")&amp;"-"&amp;TEXT(COUNTIFS(B$5:B416,B416),"00"))</f>
        <v/>
      </c>
      <c r="B416" s="17"/>
      <c r="C416" s="18"/>
      <c r="D416" s="18"/>
      <c r="E416" s="18"/>
      <c r="F416" s="18"/>
      <c r="G416" s="18"/>
      <c r="H416" s="18"/>
      <c r="I416" s="18"/>
      <c r="J416" s="19"/>
      <c r="K416" s="20"/>
      <c r="L416" s="20"/>
      <c r="M416" s="19"/>
      <c r="N416" s="18"/>
      <c r="O416" s="18"/>
      <c r="P416" s="18"/>
      <c r="Q416" s="18"/>
      <c r="R416" s="21" t="str">
        <f>IF(C416="","",IFERROR(INDEX('THAM SỐ'!$F$5:$F$7,MATCH(C416,'THAM SỐ'!$A$5:$A$7,0)),""))</f>
        <v/>
      </c>
      <c r="S416" s="22" t="str">
        <f t="shared" si="18"/>
        <v/>
      </c>
      <c r="T416" s="16" t="str">
        <f t="shared" si="19"/>
        <v/>
      </c>
      <c r="U416" s="23" t="str">
        <f t="shared" si="20"/>
        <v/>
      </c>
      <c r="V416" s="18"/>
    </row>
    <row r="417" spans="1:22" x14ac:dyDescent="0.45">
      <c r="A417" s="16" t="str">
        <f>IF(B417="","","LDX-"&amp;TEXT(B417,"yymmdd")&amp;"-"&amp;TEXT(COUNTIFS(B$5:B417,B417),"00"))</f>
        <v/>
      </c>
      <c r="B417" s="17"/>
      <c r="C417" s="18"/>
      <c r="D417" s="18"/>
      <c r="E417" s="18"/>
      <c r="F417" s="18"/>
      <c r="G417" s="18"/>
      <c r="H417" s="18"/>
      <c r="I417" s="18"/>
      <c r="J417" s="19"/>
      <c r="K417" s="20"/>
      <c r="L417" s="20"/>
      <c r="M417" s="19"/>
      <c r="N417" s="18"/>
      <c r="O417" s="18"/>
      <c r="P417" s="18"/>
      <c r="Q417" s="18"/>
      <c r="R417" s="21" t="str">
        <f>IF(C417="","",IFERROR(INDEX('THAM SỐ'!$F$5:$F$7,MATCH(C417,'THAM SỐ'!$A$5:$A$7,0)),""))</f>
        <v/>
      </c>
      <c r="S417" s="22" t="str">
        <f t="shared" si="18"/>
        <v/>
      </c>
      <c r="T417" s="16" t="str">
        <f t="shared" si="19"/>
        <v/>
      </c>
      <c r="U417" s="23" t="str">
        <f t="shared" si="20"/>
        <v/>
      </c>
      <c r="V417" s="18"/>
    </row>
    <row r="418" spans="1:22" x14ac:dyDescent="0.45">
      <c r="A418" s="16" t="str">
        <f>IF(B418="","","LDX-"&amp;TEXT(B418,"yymmdd")&amp;"-"&amp;TEXT(COUNTIFS(B$5:B418,B418),"00"))</f>
        <v/>
      </c>
      <c r="B418" s="17"/>
      <c r="C418" s="18"/>
      <c r="D418" s="18"/>
      <c r="E418" s="18"/>
      <c r="F418" s="18"/>
      <c r="G418" s="18"/>
      <c r="H418" s="18"/>
      <c r="I418" s="18"/>
      <c r="J418" s="19"/>
      <c r="K418" s="20"/>
      <c r="L418" s="20"/>
      <c r="M418" s="19"/>
      <c r="N418" s="18"/>
      <c r="O418" s="18"/>
      <c r="P418" s="18"/>
      <c r="Q418" s="18"/>
      <c r="R418" s="21" t="str">
        <f>IF(C418="","",IFERROR(INDEX('THAM SỐ'!$F$5:$F$7,MATCH(C418,'THAM SỐ'!$A$5:$A$7,0)),""))</f>
        <v/>
      </c>
      <c r="S418" s="22" t="str">
        <f t="shared" si="18"/>
        <v/>
      </c>
      <c r="T418" s="16" t="str">
        <f t="shared" si="19"/>
        <v/>
      </c>
      <c r="U418" s="23" t="str">
        <f t="shared" si="20"/>
        <v/>
      </c>
      <c r="V418" s="18"/>
    </row>
    <row r="419" spans="1:22" x14ac:dyDescent="0.45">
      <c r="A419" s="16" t="str">
        <f>IF(B419="","","LDX-"&amp;TEXT(B419,"yymmdd")&amp;"-"&amp;TEXT(COUNTIFS(B$5:B419,B419),"00"))</f>
        <v/>
      </c>
      <c r="B419" s="17"/>
      <c r="C419" s="18"/>
      <c r="D419" s="18"/>
      <c r="E419" s="18"/>
      <c r="F419" s="18"/>
      <c r="G419" s="18"/>
      <c r="H419" s="18"/>
      <c r="I419" s="18"/>
      <c r="J419" s="19"/>
      <c r="K419" s="20"/>
      <c r="L419" s="20"/>
      <c r="M419" s="19"/>
      <c r="N419" s="18"/>
      <c r="O419" s="18"/>
      <c r="P419" s="18"/>
      <c r="Q419" s="18"/>
      <c r="R419" s="21" t="str">
        <f>IF(C419="","",IFERROR(INDEX('THAM SỐ'!$F$5:$F$7,MATCH(C419,'THAM SỐ'!$A$5:$A$7,0)),""))</f>
        <v/>
      </c>
      <c r="S419" s="22" t="str">
        <f t="shared" si="18"/>
        <v/>
      </c>
      <c r="T419" s="16" t="str">
        <f t="shared" si="19"/>
        <v/>
      </c>
      <c r="U419" s="23" t="str">
        <f t="shared" si="20"/>
        <v/>
      </c>
      <c r="V419" s="18"/>
    </row>
    <row r="420" spans="1:22" x14ac:dyDescent="0.45">
      <c r="A420" s="16" t="str">
        <f>IF(B420="","","LDX-"&amp;TEXT(B420,"yymmdd")&amp;"-"&amp;TEXT(COUNTIFS(B$5:B420,B420),"00"))</f>
        <v/>
      </c>
      <c r="B420" s="17"/>
      <c r="C420" s="18"/>
      <c r="D420" s="18"/>
      <c r="E420" s="18"/>
      <c r="F420" s="18"/>
      <c r="G420" s="18"/>
      <c r="H420" s="18"/>
      <c r="I420" s="18"/>
      <c r="J420" s="19"/>
      <c r="K420" s="20"/>
      <c r="L420" s="20"/>
      <c r="M420" s="19"/>
      <c r="N420" s="18"/>
      <c r="O420" s="18"/>
      <c r="P420" s="18"/>
      <c r="Q420" s="18"/>
      <c r="R420" s="21" t="str">
        <f>IF(C420="","",IFERROR(INDEX('THAM SỐ'!$F$5:$F$7,MATCH(C420,'THAM SỐ'!$A$5:$A$7,0)),""))</f>
        <v/>
      </c>
      <c r="S420" s="22" t="str">
        <f t="shared" si="18"/>
        <v/>
      </c>
      <c r="T420" s="16" t="str">
        <f t="shared" si="19"/>
        <v/>
      </c>
      <c r="U420" s="23" t="str">
        <f t="shared" si="20"/>
        <v/>
      </c>
      <c r="V420" s="18"/>
    </row>
    <row r="421" spans="1:22" x14ac:dyDescent="0.45">
      <c r="A421" s="16" t="str">
        <f>IF(B421="","","LDX-"&amp;TEXT(B421,"yymmdd")&amp;"-"&amp;TEXT(COUNTIFS(B$5:B421,B421),"00"))</f>
        <v/>
      </c>
      <c r="B421" s="17"/>
      <c r="C421" s="18"/>
      <c r="D421" s="18"/>
      <c r="E421" s="18"/>
      <c r="F421" s="18"/>
      <c r="G421" s="18"/>
      <c r="H421" s="18"/>
      <c r="I421" s="18"/>
      <c r="J421" s="19"/>
      <c r="K421" s="20"/>
      <c r="L421" s="20"/>
      <c r="M421" s="19"/>
      <c r="N421" s="18"/>
      <c r="O421" s="18"/>
      <c r="P421" s="18"/>
      <c r="Q421" s="18"/>
      <c r="R421" s="21" t="str">
        <f>IF(C421="","",IFERROR(INDEX('THAM SỐ'!$F$5:$F$7,MATCH(C421,'THAM SỐ'!$A$5:$A$7,0)),""))</f>
        <v/>
      </c>
      <c r="S421" s="22" t="str">
        <f t="shared" si="18"/>
        <v/>
      </c>
      <c r="T421" s="16" t="str">
        <f t="shared" si="19"/>
        <v/>
      </c>
      <c r="U421" s="23" t="str">
        <f t="shared" si="20"/>
        <v/>
      </c>
      <c r="V421" s="18"/>
    </row>
    <row r="422" spans="1:22" x14ac:dyDescent="0.45">
      <c r="A422" s="16" t="str">
        <f>IF(B422="","","LDX-"&amp;TEXT(B422,"yymmdd")&amp;"-"&amp;TEXT(COUNTIFS(B$5:B422,B422),"00"))</f>
        <v/>
      </c>
      <c r="B422" s="17"/>
      <c r="C422" s="18"/>
      <c r="D422" s="18"/>
      <c r="E422" s="18"/>
      <c r="F422" s="18"/>
      <c r="G422" s="18"/>
      <c r="H422" s="18"/>
      <c r="I422" s="18"/>
      <c r="J422" s="19"/>
      <c r="K422" s="20"/>
      <c r="L422" s="20"/>
      <c r="M422" s="19"/>
      <c r="N422" s="18"/>
      <c r="O422" s="18"/>
      <c r="P422" s="18"/>
      <c r="Q422" s="18"/>
      <c r="R422" s="21" t="str">
        <f>IF(C422="","",IFERROR(INDEX('THAM SỐ'!$F$5:$F$7,MATCH(C422,'THAM SỐ'!$A$5:$A$7,0)),""))</f>
        <v/>
      </c>
      <c r="S422" s="22" t="str">
        <f t="shared" si="18"/>
        <v/>
      </c>
      <c r="T422" s="16" t="str">
        <f t="shared" si="19"/>
        <v/>
      </c>
      <c r="U422" s="23" t="str">
        <f t="shared" si="20"/>
        <v/>
      </c>
      <c r="V422" s="18"/>
    </row>
    <row r="423" spans="1:22" x14ac:dyDescent="0.45">
      <c r="A423" s="16" t="str">
        <f>IF(B423="","","LDX-"&amp;TEXT(B423,"yymmdd")&amp;"-"&amp;TEXT(COUNTIFS(B$5:B423,B423),"00"))</f>
        <v/>
      </c>
      <c r="B423" s="17"/>
      <c r="C423" s="18"/>
      <c r="D423" s="18"/>
      <c r="E423" s="18"/>
      <c r="F423" s="18"/>
      <c r="G423" s="18"/>
      <c r="H423" s="18"/>
      <c r="I423" s="18"/>
      <c r="J423" s="19"/>
      <c r="K423" s="20"/>
      <c r="L423" s="20"/>
      <c r="M423" s="19"/>
      <c r="N423" s="18"/>
      <c r="O423" s="18"/>
      <c r="P423" s="18"/>
      <c r="Q423" s="18"/>
      <c r="R423" s="21" t="str">
        <f>IF(C423="","",IFERROR(INDEX('THAM SỐ'!$F$5:$F$7,MATCH(C423,'THAM SỐ'!$A$5:$A$7,0)),""))</f>
        <v/>
      </c>
      <c r="S423" s="22" t="str">
        <f t="shared" si="18"/>
        <v/>
      </c>
      <c r="T423" s="16" t="str">
        <f t="shared" si="19"/>
        <v/>
      </c>
      <c r="U423" s="23" t="str">
        <f t="shared" si="20"/>
        <v/>
      </c>
      <c r="V423" s="18"/>
    </row>
    <row r="424" spans="1:22" x14ac:dyDescent="0.45">
      <c r="A424" s="16" t="str">
        <f>IF(B424="","","LDX-"&amp;TEXT(B424,"yymmdd")&amp;"-"&amp;TEXT(COUNTIFS(B$5:B424,B424),"00"))</f>
        <v/>
      </c>
      <c r="B424" s="17"/>
      <c r="C424" s="18"/>
      <c r="D424" s="18"/>
      <c r="E424" s="18"/>
      <c r="F424" s="18"/>
      <c r="G424" s="18"/>
      <c r="H424" s="18"/>
      <c r="I424" s="18"/>
      <c r="J424" s="19"/>
      <c r="K424" s="20"/>
      <c r="L424" s="20"/>
      <c r="M424" s="19"/>
      <c r="N424" s="18"/>
      <c r="O424" s="18"/>
      <c r="P424" s="18"/>
      <c r="Q424" s="18"/>
      <c r="R424" s="21" t="str">
        <f>IF(C424="","",IFERROR(INDEX('THAM SỐ'!$F$5:$F$7,MATCH(C424,'THAM SỐ'!$A$5:$A$7,0)),""))</f>
        <v/>
      </c>
      <c r="S424" s="22" t="str">
        <f t="shared" si="18"/>
        <v/>
      </c>
      <c r="T424" s="16" t="str">
        <f t="shared" si="19"/>
        <v/>
      </c>
      <c r="U424" s="23" t="str">
        <f t="shared" si="20"/>
        <v/>
      </c>
      <c r="V424" s="18"/>
    </row>
    <row r="425" spans="1:22" x14ac:dyDescent="0.45">
      <c r="A425" s="16" t="str">
        <f>IF(B425="","","LDX-"&amp;TEXT(B425,"yymmdd")&amp;"-"&amp;TEXT(COUNTIFS(B$5:B425,B425),"00"))</f>
        <v/>
      </c>
      <c r="B425" s="17"/>
      <c r="C425" s="18"/>
      <c r="D425" s="18"/>
      <c r="E425" s="18"/>
      <c r="F425" s="18"/>
      <c r="G425" s="18"/>
      <c r="H425" s="18"/>
      <c r="I425" s="18"/>
      <c r="J425" s="19"/>
      <c r="K425" s="20"/>
      <c r="L425" s="20"/>
      <c r="M425" s="19"/>
      <c r="N425" s="18"/>
      <c r="O425" s="18"/>
      <c r="P425" s="18"/>
      <c r="Q425" s="18"/>
      <c r="R425" s="21" t="str">
        <f>IF(C425="","",IFERROR(INDEX('THAM SỐ'!$F$5:$F$7,MATCH(C425,'THAM SỐ'!$A$5:$A$7,0)),""))</f>
        <v/>
      </c>
      <c r="S425" s="22" t="str">
        <f t="shared" si="18"/>
        <v/>
      </c>
      <c r="T425" s="16" t="str">
        <f t="shared" si="19"/>
        <v/>
      </c>
      <c r="U425" s="23" t="str">
        <f t="shared" si="20"/>
        <v/>
      </c>
      <c r="V425" s="18"/>
    </row>
    <row r="426" spans="1:22" x14ac:dyDescent="0.45">
      <c r="A426" s="16" t="str">
        <f>IF(B426="","","LDX-"&amp;TEXT(B426,"yymmdd")&amp;"-"&amp;TEXT(COUNTIFS(B$5:B426,B426),"00"))</f>
        <v/>
      </c>
      <c r="B426" s="17"/>
      <c r="C426" s="18"/>
      <c r="D426" s="18"/>
      <c r="E426" s="18"/>
      <c r="F426" s="18"/>
      <c r="G426" s="18"/>
      <c r="H426" s="18"/>
      <c r="I426" s="18"/>
      <c r="J426" s="19"/>
      <c r="K426" s="20"/>
      <c r="L426" s="20"/>
      <c r="M426" s="19"/>
      <c r="N426" s="18"/>
      <c r="O426" s="18"/>
      <c r="P426" s="18"/>
      <c r="Q426" s="18"/>
      <c r="R426" s="21" t="str">
        <f>IF(C426="","",IFERROR(INDEX('THAM SỐ'!$F$5:$F$7,MATCH(C426,'THAM SỐ'!$A$5:$A$7,0)),""))</f>
        <v/>
      </c>
      <c r="S426" s="22" t="str">
        <f t="shared" si="18"/>
        <v/>
      </c>
      <c r="T426" s="16" t="str">
        <f t="shared" si="19"/>
        <v/>
      </c>
      <c r="U426" s="23" t="str">
        <f t="shared" si="20"/>
        <v/>
      </c>
      <c r="V426" s="18"/>
    </row>
    <row r="427" spans="1:22" x14ac:dyDescent="0.45">
      <c r="A427" s="16" t="str">
        <f>IF(B427="","","LDX-"&amp;TEXT(B427,"yymmdd")&amp;"-"&amp;TEXT(COUNTIFS(B$5:B427,B427),"00"))</f>
        <v/>
      </c>
      <c r="B427" s="17"/>
      <c r="C427" s="18"/>
      <c r="D427" s="18"/>
      <c r="E427" s="18"/>
      <c r="F427" s="18"/>
      <c r="G427" s="18"/>
      <c r="H427" s="18"/>
      <c r="I427" s="18"/>
      <c r="J427" s="19"/>
      <c r="K427" s="20"/>
      <c r="L427" s="20"/>
      <c r="M427" s="19"/>
      <c r="N427" s="18"/>
      <c r="O427" s="18"/>
      <c r="P427" s="18"/>
      <c r="Q427" s="18"/>
      <c r="R427" s="21" t="str">
        <f>IF(C427="","",IFERROR(INDEX('THAM SỐ'!$F$5:$F$7,MATCH(C427,'THAM SỐ'!$A$5:$A$7,0)),""))</f>
        <v/>
      </c>
      <c r="S427" s="22" t="str">
        <f t="shared" si="18"/>
        <v/>
      </c>
      <c r="T427" s="16" t="str">
        <f t="shared" si="19"/>
        <v/>
      </c>
      <c r="U427" s="23" t="str">
        <f t="shared" si="20"/>
        <v/>
      </c>
      <c r="V427" s="18"/>
    </row>
    <row r="428" spans="1:22" x14ac:dyDescent="0.45">
      <c r="A428" s="16" t="str">
        <f>IF(B428="","","LDX-"&amp;TEXT(B428,"yymmdd")&amp;"-"&amp;TEXT(COUNTIFS(B$5:B428,B428),"00"))</f>
        <v/>
      </c>
      <c r="B428" s="17"/>
      <c r="C428" s="18"/>
      <c r="D428" s="18"/>
      <c r="E428" s="18"/>
      <c r="F428" s="18"/>
      <c r="G428" s="18"/>
      <c r="H428" s="18"/>
      <c r="I428" s="18"/>
      <c r="J428" s="19"/>
      <c r="K428" s="20"/>
      <c r="L428" s="20"/>
      <c r="M428" s="19"/>
      <c r="N428" s="18"/>
      <c r="O428" s="18"/>
      <c r="P428" s="18"/>
      <c r="Q428" s="18"/>
      <c r="R428" s="21" t="str">
        <f>IF(C428="","",IFERROR(INDEX('THAM SỐ'!$F$5:$F$7,MATCH(C428,'THAM SỐ'!$A$5:$A$7,0)),""))</f>
        <v/>
      </c>
      <c r="S428" s="22" t="str">
        <f t="shared" si="18"/>
        <v/>
      </c>
      <c r="T428" s="16" t="str">
        <f t="shared" si="19"/>
        <v/>
      </c>
      <c r="U428" s="23" t="str">
        <f t="shared" si="20"/>
        <v/>
      </c>
      <c r="V428" s="18"/>
    </row>
    <row r="429" spans="1:22" x14ac:dyDescent="0.45">
      <c r="A429" s="16" t="str">
        <f>IF(B429="","","LDX-"&amp;TEXT(B429,"yymmdd")&amp;"-"&amp;TEXT(COUNTIFS(B$5:B429,B429),"00"))</f>
        <v/>
      </c>
      <c r="B429" s="17"/>
      <c r="C429" s="18"/>
      <c r="D429" s="18"/>
      <c r="E429" s="18"/>
      <c r="F429" s="18"/>
      <c r="G429" s="18"/>
      <c r="H429" s="18"/>
      <c r="I429" s="18"/>
      <c r="J429" s="19"/>
      <c r="K429" s="20"/>
      <c r="L429" s="20"/>
      <c r="M429" s="19"/>
      <c r="N429" s="18"/>
      <c r="O429" s="18"/>
      <c r="P429" s="18"/>
      <c r="Q429" s="18"/>
      <c r="R429" s="21" t="str">
        <f>IF(C429="","",IFERROR(INDEX('THAM SỐ'!$F$5:$F$7,MATCH(C429,'THAM SỐ'!$A$5:$A$7,0)),""))</f>
        <v/>
      </c>
      <c r="S429" s="22" t="str">
        <f t="shared" si="18"/>
        <v/>
      </c>
      <c r="T429" s="16" t="str">
        <f t="shared" si="19"/>
        <v/>
      </c>
      <c r="U429" s="23" t="str">
        <f t="shared" si="20"/>
        <v/>
      </c>
      <c r="V429" s="18"/>
    </row>
    <row r="430" spans="1:22" x14ac:dyDescent="0.45">
      <c r="A430" s="16" t="str">
        <f>IF(B430="","","LDX-"&amp;TEXT(B430,"yymmdd")&amp;"-"&amp;TEXT(COUNTIFS(B$5:B430,B430),"00"))</f>
        <v/>
      </c>
      <c r="B430" s="17"/>
      <c r="C430" s="18"/>
      <c r="D430" s="18"/>
      <c r="E430" s="18"/>
      <c r="F430" s="18"/>
      <c r="G430" s="18"/>
      <c r="H430" s="18"/>
      <c r="I430" s="18"/>
      <c r="J430" s="19"/>
      <c r="K430" s="20"/>
      <c r="L430" s="20"/>
      <c r="M430" s="19"/>
      <c r="N430" s="18"/>
      <c r="O430" s="18"/>
      <c r="P430" s="18"/>
      <c r="Q430" s="18"/>
      <c r="R430" s="21" t="str">
        <f>IF(C430="","",IFERROR(INDEX('THAM SỐ'!$F$5:$F$7,MATCH(C430,'THAM SỐ'!$A$5:$A$7,0)),""))</f>
        <v/>
      </c>
      <c r="S430" s="22" t="str">
        <f t="shared" si="18"/>
        <v/>
      </c>
      <c r="T430" s="16" t="str">
        <f t="shared" si="19"/>
        <v/>
      </c>
      <c r="U430" s="23" t="str">
        <f t="shared" si="20"/>
        <v/>
      </c>
      <c r="V430" s="18"/>
    </row>
    <row r="431" spans="1:22" x14ac:dyDescent="0.45">
      <c r="A431" s="16" t="str">
        <f>IF(B431="","","LDX-"&amp;TEXT(B431,"yymmdd")&amp;"-"&amp;TEXT(COUNTIFS(B$5:B431,B431),"00"))</f>
        <v/>
      </c>
      <c r="B431" s="17"/>
      <c r="C431" s="18"/>
      <c r="D431" s="18"/>
      <c r="E431" s="18"/>
      <c r="F431" s="18"/>
      <c r="G431" s="18"/>
      <c r="H431" s="18"/>
      <c r="I431" s="18"/>
      <c r="J431" s="19"/>
      <c r="K431" s="20"/>
      <c r="L431" s="20"/>
      <c r="M431" s="19"/>
      <c r="N431" s="18"/>
      <c r="O431" s="18"/>
      <c r="P431" s="18"/>
      <c r="Q431" s="18"/>
      <c r="R431" s="21" t="str">
        <f>IF(C431="","",IFERROR(INDEX('THAM SỐ'!$F$5:$F$7,MATCH(C431,'THAM SỐ'!$A$5:$A$7,0)),""))</f>
        <v/>
      </c>
      <c r="S431" s="22" t="str">
        <f t="shared" si="18"/>
        <v/>
      </c>
      <c r="T431" s="16" t="str">
        <f t="shared" si="19"/>
        <v/>
      </c>
      <c r="U431" s="23" t="str">
        <f t="shared" si="20"/>
        <v/>
      </c>
      <c r="V431" s="18"/>
    </row>
    <row r="432" spans="1:22" x14ac:dyDescent="0.45">
      <c r="A432" s="16" t="str">
        <f>IF(B432="","","LDX-"&amp;TEXT(B432,"yymmdd")&amp;"-"&amp;TEXT(COUNTIFS(B$5:B432,B432),"00"))</f>
        <v/>
      </c>
      <c r="B432" s="17"/>
      <c r="C432" s="18"/>
      <c r="D432" s="18"/>
      <c r="E432" s="18"/>
      <c r="F432" s="18"/>
      <c r="G432" s="18"/>
      <c r="H432" s="18"/>
      <c r="I432" s="18"/>
      <c r="J432" s="19"/>
      <c r="K432" s="20"/>
      <c r="L432" s="20"/>
      <c r="M432" s="19"/>
      <c r="N432" s="18"/>
      <c r="O432" s="18"/>
      <c r="P432" s="18"/>
      <c r="Q432" s="18"/>
      <c r="R432" s="21" t="str">
        <f>IF(C432="","",IFERROR(INDEX('THAM SỐ'!$F$5:$F$7,MATCH(C432,'THAM SỐ'!$A$5:$A$7,0)),""))</f>
        <v/>
      </c>
      <c r="S432" s="22" t="str">
        <f t="shared" si="18"/>
        <v/>
      </c>
      <c r="T432" s="16" t="str">
        <f t="shared" si="19"/>
        <v/>
      </c>
      <c r="U432" s="23" t="str">
        <f t="shared" si="20"/>
        <v/>
      </c>
      <c r="V432" s="18"/>
    </row>
    <row r="433" spans="1:22" x14ac:dyDescent="0.45">
      <c r="A433" s="16" t="str">
        <f>IF(B433="","","LDX-"&amp;TEXT(B433,"yymmdd")&amp;"-"&amp;TEXT(COUNTIFS(B$5:B433,B433),"00"))</f>
        <v/>
      </c>
      <c r="B433" s="17"/>
      <c r="C433" s="18"/>
      <c r="D433" s="18"/>
      <c r="E433" s="18"/>
      <c r="F433" s="18"/>
      <c r="G433" s="18"/>
      <c r="H433" s="18"/>
      <c r="I433" s="18"/>
      <c r="J433" s="19"/>
      <c r="K433" s="20"/>
      <c r="L433" s="20"/>
      <c r="M433" s="19"/>
      <c r="N433" s="18"/>
      <c r="O433" s="18"/>
      <c r="P433" s="18"/>
      <c r="Q433" s="18"/>
      <c r="R433" s="21" t="str">
        <f>IF(C433="","",IFERROR(INDEX('THAM SỐ'!$F$5:$F$7,MATCH(C433,'THAM SỐ'!$A$5:$A$7,0)),""))</f>
        <v/>
      </c>
      <c r="S433" s="22" t="str">
        <f t="shared" si="18"/>
        <v/>
      </c>
      <c r="T433" s="16" t="str">
        <f t="shared" si="19"/>
        <v/>
      </c>
      <c r="U433" s="23" t="str">
        <f t="shared" si="20"/>
        <v/>
      </c>
      <c r="V433" s="18"/>
    </row>
    <row r="434" spans="1:22" x14ac:dyDescent="0.45">
      <c r="A434" s="16" t="str">
        <f>IF(B434="","","LDX-"&amp;TEXT(B434,"yymmdd")&amp;"-"&amp;TEXT(COUNTIFS(B$5:B434,B434),"00"))</f>
        <v/>
      </c>
      <c r="B434" s="17"/>
      <c r="C434" s="18"/>
      <c r="D434" s="18"/>
      <c r="E434" s="18"/>
      <c r="F434" s="18"/>
      <c r="G434" s="18"/>
      <c r="H434" s="18"/>
      <c r="I434" s="18"/>
      <c r="J434" s="19"/>
      <c r="K434" s="20"/>
      <c r="L434" s="20"/>
      <c r="M434" s="19"/>
      <c r="N434" s="18"/>
      <c r="O434" s="18"/>
      <c r="P434" s="18"/>
      <c r="Q434" s="18"/>
      <c r="R434" s="21" t="str">
        <f>IF(C434="","",IFERROR(INDEX('THAM SỐ'!$F$5:$F$7,MATCH(C434,'THAM SỐ'!$A$5:$A$7,0)),""))</f>
        <v/>
      </c>
      <c r="S434" s="22" t="str">
        <f t="shared" si="18"/>
        <v/>
      </c>
      <c r="T434" s="16" t="str">
        <f t="shared" si="19"/>
        <v/>
      </c>
      <c r="U434" s="23" t="str">
        <f t="shared" si="20"/>
        <v/>
      </c>
      <c r="V434" s="18"/>
    </row>
    <row r="435" spans="1:22" x14ac:dyDescent="0.45">
      <c r="A435" s="16" t="str">
        <f>IF(B435="","","LDX-"&amp;TEXT(B435,"yymmdd")&amp;"-"&amp;TEXT(COUNTIFS(B$5:B435,B435),"00"))</f>
        <v/>
      </c>
      <c r="B435" s="17"/>
      <c r="C435" s="18"/>
      <c r="D435" s="18"/>
      <c r="E435" s="18"/>
      <c r="F435" s="18"/>
      <c r="G435" s="18"/>
      <c r="H435" s="18"/>
      <c r="I435" s="18"/>
      <c r="J435" s="19"/>
      <c r="K435" s="20"/>
      <c r="L435" s="20"/>
      <c r="M435" s="19"/>
      <c r="N435" s="18"/>
      <c r="O435" s="18"/>
      <c r="P435" s="18"/>
      <c r="Q435" s="18"/>
      <c r="R435" s="21" t="str">
        <f>IF(C435="","",IFERROR(INDEX('THAM SỐ'!$F$5:$F$7,MATCH(C435,'THAM SỐ'!$A$5:$A$7,0)),""))</f>
        <v/>
      </c>
      <c r="S435" s="22" t="str">
        <f t="shared" si="18"/>
        <v/>
      </c>
      <c r="T435" s="16" t="str">
        <f t="shared" si="19"/>
        <v/>
      </c>
      <c r="U435" s="23" t="str">
        <f t="shared" si="20"/>
        <v/>
      </c>
      <c r="V435" s="18"/>
    </row>
    <row r="436" spans="1:22" x14ac:dyDescent="0.45">
      <c r="A436" s="16" t="str">
        <f>IF(B436="","","LDX-"&amp;TEXT(B436,"yymmdd")&amp;"-"&amp;TEXT(COUNTIFS(B$5:B436,B436),"00"))</f>
        <v/>
      </c>
      <c r="B436" s="17"/>
      <c r="C436" s="18"/>
      <c r="D436" s="18"/>
      <c r="E436" s="18"/>
      <c r="F436" s="18"/>
      <c r="G436" s="18"/>
      <c r="H436" s="18"/>
      <c r="I436" s="18"/>
      <c r="J436" s="19"/>
      <c r="K436" s="20"/>
      <c r="L436" s="20"/>
      <c r="M436" s="19"/>
      <c r="N436" s="18"/>
      <c r="O436" s="18"/>
      <c r="P436" s="18"/>
      <c r="Q436" s="18"/>
      <c r="R436" s="21" t="str">
        <f>IF(C436="","",IFERROR(INDEX('THAM SỐ'!$F$5:$F$7,MATCH(C436,'THAM SỐ'!$A$5:$A$7,0)),""))</f>
        <v/>
      </c>
      <c r="S436" s="22" t="str">
        <f t="shared" si="18"/>
        <v/>
      </c>
      <c r="T436" s="16" t="str">
        <f t="shared" si="19"/>
        <v/>
      </c>
      <c r="U436" s="23" t="str">
        <f t="shared" si="20"/>
        <v/>
      </c>
      <c r="V436" s="18"/>
    </row>
    <row r="437" spans="1:22" x14ac:dyDescent="0.45">
      <c r="A437" s="16" t="str">
        <f>IF(B437="","","LDX-"&amp;TEXT(B437,"yymmdd")&amp;"-"&amp;TEXT(COUNTIFS(B$5:B437,B437),"00"))</f>
        <v/>
      </c>
      <c r="B437" s="17"/>
      <c r="C437" s="18"/>
      <c r="D437" s="18"/>
      <c r="E437" s="18"/>
      <c r="F437" s="18"/>
      <c r="G437" s="18"/>
      <c r="H437" s="18"/>
      <c r="I437" s="18"/>
      <c r="J437" s="19"/>
      <c r="K437" s="20"/>
      <c r="L437" s="20"/>
      <c r="M437" s="19"/>
      <c r="N437" s="18"/>
      <c r="O437" s="18"/>
      <c r="P437" s="18"/>
      <c r="Q437" s="18"/>
      <c r="R437" s="21" t="str">
        <f>IF(C437="","",IFERROR(INDEX('THAM SỐ'!$F$5:$F$7,MATCH(C437,'THAM SỐ'!$A$5:$A$7,0)),""))</f>
        <v/>
      </c>
      <c r="S437" s="22" t="str">
        <f t="shared" si="18"/>
        <v/>
      </c>
      <c r="T437" s="16" t="str">
        <f t="shared" si="19"/>
        <v/>
      </c>
      <c r="U437" s="23" t="str">
        <f t="shared" si="20"/>
        <v/>
      </c>
      <c r="V437" s="18"/>
    </row>
    <row r="438" spans="1:22" x14ac:dyDescent="0.45">
      <c r="A438" s="16" t="str">
        <f>IF(B438="","","LDX-"&amp;TEXT(B438,"yymmdd")&amp;"-"&amp;TEXT(COUNTIFS(B$5:B438,B438),"00"))</f>
        <v/>
      </c>
      <c r="B438" s="17"/>
      <c r="C438" s="18"/>
      <c r="D438" s="18"/>
      <c r="E438" s="18"/>
      <c r="F438" s="18"/>
      <c r="G438" s="18"/>
      <c r="H438" s="18"/>
      <c r="I438" s="18"/>
      <c r="J438" s="19"/>
      <c r="K438" s="20"/>
      <c r="L438" s="20"/>
      <c r="M438" s="19"/>
      <c r="N438" s="18"/>
      <c r="O438" s="18"/>
      <c r="P438" s="18"/>
      <c r="Q438" s="18"/>
      <c r="R438" s="21" t="str">
        <f>IF(C438="","",IFERROR(INDEX('THAM SỐ'!$F$5:$F$7,MATCH(C438,'THAM SỐ'!$A$5:$A$7,0)),""))</f>
        <v/>
      </c>
      <c r="S438" s="22" t="str">
        <f t="shared" si="18"/>
        <v/>
      </c>
      <c r="T438" s="16" t="str">
        <f t="shared" si="19"/>
        <v/>
      </c>
      <c r="U438" s="23" t="str">
        <f t="shared" si="20"/>
        <v/>
      </c>
      <c r="V438" s="18"/>
    </row>
    <row r="439" spans="1:22" x14ac:dyDescent="0.45">
      <c r="A439" s="16" t="str">
        <f>IF(B439="","","LDX-"&amp;TEXT(B439,"yymmdd")&amp;"-"&amp;TEXT(COUNTIFS(B$5:B439,B439),"00"))</f>
        <v/>
      </c>
      <c r="B439" s="17"/>
      <c r="C439" s="18"/>
      <c r="D439" s="18"/>
      <c r="E439" s="18"/>
      <c r="F439" s="18"/>
      <c r="G439" s="18"/>
      <c r="H439" s="18"/>
      <c r="I439" s="18"/>
      <c r="J439" s="19"/>
      <c r="K439" s="20"/>
      <c r="L439" s="20"/>
      <c r="M439" s="19"/>
      <c r="N439" s="18"/>
      <c r="O439" s="18"/>
      <c r="P439" s="18"/>
      <c r="Q439" s="18"/>
      <c r="R439" s="21" t="str">
        <f>IF(C439="","",IFERROR(INDEX('THAM SỐ'!$F$5:$F$7,MATCH(C439,'THAM SỐ'!$A$5:$A$7,0)),""))</f>
        <v/>
      </c>
      <c r="S439" s="22" t="str">
        <f t="shared" si="18"/>
        <v/>
      </c>
      <c r="T439" s="16" t="str">
        <f t="shared" si="19"/>
        <v/>
      </c>
      <c r="U439" s="23" t="str">
        <f t="shared" si="20"/>
        <v/>
      </c>
      <c r="V439" s="18"/>
    </row>
    <row r="440" spans="1:22" x14ac:dyDescent="0.45">
      <c r="A440" s="16" t="str">
        <f>IF(B440="","","LDX-"&amp;TEXT(B440,"yymmdd")&amp;"-"&amp;TEXT(COUNTIFS(B$5:B440,B440),"00"))</f>
        <v/>
      </c>
      <c r="B440" s="17"/>
      <c r="C440" s="18"/>
      <c r="D440" s="18"/>
      <c r="E440" s="18"/>
      <c r="F440" s="18"/>
      <c r="G440" s="18"/>
      <c r="H440" s="18"/>
      <c r="I440" s="18"/>
      <c r="J440" s="19"/>
      <c r="K440" s="20"/>
      <c r="L440" s="20"/>
      <c r="M440" s="19"/>
      <c r="N440" s="18"/>
      <c r="O440" s="18"/>
      <c r="P440" s="18"/>
      <c r="Q440" s="18"/>
      <c r="R440" s="21" t="str">
        <f>IF(C440="","",IFERROR(INDEX('THAM SỐ'!$F$5:$F$7,MATCH(C440,'THAM SỐ'!$A$5:$A$7,0)),""))</f>
        <v/>
      </c>
      <c r="S440" s="22" t="str">
        <f t="shared" si="18"/>
        <v/>
      </c>
      <c r="T440" s="16" t="str">
        <f t="shared" si="19"/>
        <v/>
      </c>
      <c r="U440" s="23" t="str">
        <f t="shared" si="20"/>
        <v/>
      </c>
      <c r="V440" s="18"/>
    </row>
    <row r="441" spans="1:22" x14ac:dyDescent="0.45">
      <c r="A441" s="16" t="str">
        <f>IF(B441="","","LDX-"&amp;TEXT(B441,"yymmdd")&amp;"-"&amp;TEXT(COUNTIFS(B$5:B441,B441),"00"))</f>
        <v/>
      </c>
      <c r="B441" s="17"/>
      <c r="C441" s="18"/>
      <c r="D441" s="18"/>
      <c r="E441" s="18"/>
      <c r="F441" s="18"/>
      <c r="G441" s="18"/>
      <c r="H441" s="18"/>
      <c r="I441" s="18"/>
      <c r="J441" s="19"/>
      <c r="K441" s="20"/>
      <c r="L441" s="20"/>
      <c r="M441" s="19"/>
      <c r="N441" s="18"/>
      <c r="O441" s="18"/>
      <c r="P441" s="18"/>
      <c r="Q441" s="18"/>
      <c r="R441" s="21" t="str">
        <f>IF(C441="","",IFERROR(INDEX('THAM SỐ'!$F$5:$F$7,MATCH(C441,'THAM SỐ'!$A$5:$A$7,0)),""))</f>
        <v/>
      </c>
      <c r="S441" s="22" t="str">
        <f t="shared" si="18"/>
        <v/>
      </c>
      <c r="T441" s="16" t="str">
        <f t="shared" si="19"/>
        <v/>
      </c>
      <c r="U441" s="23" t="str">
        <f t="shared" si="20"/>
        <v/>
      </c>
      <c r="V441" s="18"/>
    </row>
    <row r="442" spans="1:22" x14ac:dyDescent="0.45">
      <c r="A442" s="16" t="str">
        <f>IF(B442="","","LDX-"&amp;TEXT(B442,"yymmdd")&amp;"-"&amp;TEXT(COUNTIFS(B$5:B442,B442),"00"))</f>
        <v/>
      </c>
      <c r="B442" s="17"/>
      <c r="C442" s="18"/>
      <c r="D442" s="18"/>
      <c r="E442" s="18"/>
      <c r="F442" s="18"/>
      <c r="G442" s="18"/>
      <c r="H442" s="18"/>
      <c r="I442" s="18"/>
      <c r="J442" s="19"/>
      <c r="K442" s="20"/>
      <c r="L442" s="20"/>
      <c r="M442" s="19"/>
      <c r="N442" s="18"/>
      <c r="O442" s="18"/>
      <c r="P442" s="18"/>
      <c r="Q442" s="18"/>
      <c r="R442" s="21" t="str">
        <f>IF(C442="","",IFERROR(INDEX('THAM SỐ'!$F$5:$F$7,MATCH(C442,'THAM SỐ'!$A$5:$A$7,0)),""))</f>
        <v/>
      </c>
      <c r="S442" s="22" t="str">
        <f t="shared" si="18"/>
        <v/>
      </c>
      <c r="T442" s="16" t="str">
        <f t="shared" si="19"/>
        <v/>
      </c>
      <c r="U442" s="23" t="str">
        <f t="shared" si="20"/>
        <v/>
      </c>
      <c r="V442" s="18"/>
    </row>
    <row r="443" spans="1:22" x14ac:dyDescent="0.45">
      <c r="A443" s="16" t="str">
        <f>IF(B443="","","LDX-"&amp;TEXT(B443,"yymmdd")&amp;"-"&amp;TEXT(COUNTIFS(B$5:B443,B443),"00"))</f>
        <v/>
      </c>
      <c r="B443" s="17"/>
      <c r="C443" s="18"/>
      <c r="D443" s="18"/>
      <c r="E443" s="18"/>
      <c r="F443" s="18"/>
      <c r="G443" s="18"/>
      <c r="H443" s="18"/>
      <c r="I443" s="18"/>
      <c r="J443" s="19"/>
      <c r="K443" s="20"/>
      <c r="L443" s="20"/>
      <c r="M443" s="19"/>
      <c r="N443" s="18"/>
      <c r="O443" s="18"/>
      <c r="P443" s="18"/>
      <c r="Q443" s="18"/>
      <c r="R443" s="21" t="str">
        <f>IF(C443="","",IFERROR(INDEX('THAM SỐ'!$F$5:$F$7,MATCH(C443,'THAM SỐ'!$A$5:$A$7,0)),""))</f>
        <v/>
      </c>
      <c r="S443" s="22" t="str">
        <f t="shared" si="18"/>
        <v/>
      </c>
      <c r="T443" s="16" t="str">
        <f t="shared" si="19"/>
        <v/>
      </c>
      <c r="U443" s="23" t="str">
        <f t="shared" si="20"/>
        <v/>
      </c>
      <c r="V443" s="18"/>
    </row>
    <row r="444" spans="1:22" x14ac:dyDescent="0.45">
      <c r="A444" s="16" t="str">
        <f>IF(B444="","","LDX-"&amp;TEXT(B444,"yymmdd")&amp;"-"&amp;TEXT(COUNTIFS(B$5:B444,B444),"00"))</f>
        <v/>
      </c>
      <c r="B444" s="17"/>
      <c r="C444" s="18"/>
      <c r="D444" s="18"/>
      <c r="E444" s="18"/>
      <c r="F444" s="18"/>
      <c r="G444" s="18"/>
      <c r="H444" s="18"/>
      <c r="I444" s="18"/>
      <c r="J444" s="19"/>
      <c r="K444" s="20"/>
      <c r="L444" s="20"/>
      <c r="M444" s="19"/>
      <c r="N444" s="18"/>
      <c r="O444" s="18"/>
      <c r="P444" s="18"/>
      <c r="Q444" s="18"/>
      <c r="R444" s="21" t="str">
        <f>IF(C444="","",IFERROR(INDEX('THAM SỐ'!$F$5:$F$7,MATCH(C444,'THAM SỐ'!$A$5:$A$7,0)),""))</f>
        <v/>
      </c>
      <c r="S444" s="22" t="str">
        <f t="shared" si="18"/>
        <v/>
      </c>
      <c r="T444" s="16" t="str">
        <f t="shared" si="19"/>
        <v/>
      </c>
      <c r="U444" s="23" t="str">
        <f t="shared" si="20"/>
        <v/>
      </c>
      <c r="V444" s="18"/>
    </row>
    <row r="445" spans="1:22" x14ac:dyDescent="0.45">
      <c r="A445" s="16" t="str">
        <f>IF(B445="","","LDX-"&amp;TEXT(B445,"yymmdd")&amp;"-"&amp;TEXT(COUNTIFS(B$5:B445,B445),"00"))</f>
        <v/>
      </c>
      <c r="B445" s="17"/>
      <c r="C445" s="18"/>
      <c r="D445" s="18"/>
      <c r="E445" s="18"/>
      <c r="F445" s="18"/>
      <c r="G445" s="18"/>
      <c r="H445" s="18"/>
      <c r="I445" s="18"/>
      <c r="J445" s="19"/>
      <c r="K445" s="20"/>
      <c r="L445" s="20"/>
      <c r="M445" s="19"/>
      <c r="N445" s="18"/>
      <c r="O445" s="18"/>
      <c r="P445" s="18"/>
      <c r="Q445" s="18"/>
      <c r="R445" s="21" t="str">
        <f>IF(C445="","",IFERROR(INDEX('THAM SỐ'!$F$5:$F$7,MATCH(C445,'THAM SỐ'!$A$5:$A$7,0)),""))</f>
        <v/>
      </c>
      <c r="S445" s="22" t="str">
        <f t="shared" si="18"/>
        <v/>
      </c>
      <c r="T445" s="16" t="str">
        <f t="shared" si="19"/>
        <v/>
      </c>
      <c r="U445" s="23" t="str">
        <f t="shared" si="20"/>
        <v/>
      </c>
      <c r="V445" s="18"/>
    </row>
    <row r="446" spans="1:22" x14ac:dyDescent="0.45">
      <c r="A446" s="16" t="str">
        <f>IF(B446="","","LDX-"&amp;TEXT(B446,"yymmdd")&amp;"-"&amp;TEXT(COUNTIFS(B$5:B446,B446),"00"))</f>
        <v/>
      </c>
      <c r="B446" s="17"/>
      <c r="C446" s="18"/>
      <c r="D446" s="18"/>
      <c r="E446" s="18"/>
      <c r="F446" s="18"/>
      <c r="G446" s="18"/>
      <c r="H446" s="18"/>
      <c r="I446" s="18"/>
      <c r="J446" s="19"/>
      <c r="K446" s="20"/>
      <c r="L446" s="20"/>
      <c r="M446" s="19"/>
      <c r="N446" s="18"/>
      <c r="O446" s="18"/>
      <c r="P446" s="18"/>
      <c r="Q446" s="18"/>
      <c r="R446" s="21" t="str">
        <f>IF(C446="","",IFERROR(INDEX('THAM SỐ'!$F$5:$F$7,MATCH(C446,'THAM SỐ'!$A$5:$A$7,0)),""))</f>
        <v/>
      </c>
      <c r="S446" s="22" t="str">
        <f t="shared" si="18"/>
        <v/>
      </c>
      <c r="T446" s="16" t="str">
        <f t="shared" si="19"/>
        <v/>
      </c>
      <c r="U446" s="23" t="str">
        <f t="shared" si="20"/>
        <v/>
      </c>
      <c r="V446" s="18"/>
    </row>
    <row r="447" spans="1:22" x14ac:dyDescent="0.45">
      <c r="A447" s="16" t="str">
        <f>IF(B447="","","LDX-"&amp;TEXT(B447,"yymmdd")&amp;"-"&amp;TEXT(COUNTIFS(B$5:B447,B447),"00"))</f>
        <v/>
      </c>
      <c r="B447" s="17"/>
      <c r="C447" s="18"/>
      <c r="D447" s="18"/>
      <c r="E447" s="18"/>
      <c r="F447" s="18"/>
      <c r="G447" s="18"/>
      <c r="H447" s="18"/>
      <c r="I447" s="18"/>
      <c r="J447" s="19"/>
      <c r="K447" s="20"/>
      <c r="L447" s="20"/>
      <c r="M447" s="19"/>
      <c r="N447" s="18"/>
      <c r="O447" s="18"/>
      <c r="P447" s="18"/>
      <c r="Q447" s="18"/>
      <c r="R447" s="21" t="str">
        <f>IF(C447="","",IFERROR(INDEX('THAM SỐ'!$F$5:$F$7,MATCH(C447,'THAM SỐ'!$A$5:$A$7,0)),""))</f>
        <v/>
      </c>
      <c r="S447" s="22" t="str">
        <f t="shared" si="18"/>
        <v/>
      </c>
      <c r="T447" s="16" t="str">
        <f t="shared" si="19"/>
        <v/>
      </c>
      <c r="U447" s="23" t="str">
        <f t="shared" si="20"/>
        <v/>
      </c>
      <c r="V447" s="18"/>
    </row>
    <row r="448" spans="1:22" x14ac:dyDescent="0.45">
      <c r="A448" s="16" t="str">
        <f>IF(B448="","","LDX-"&amp;TEXT(B448,"yymmdd")&amp;"-"&amp;TEXT(COUNTIFS(B$5:B448,B448),"00"))</f>
        <v/>
      </c>
      <c r="B448" s="17"/>
      <c r="C448" s="18"/>
      <c r="D448" s="18"/>
      <c r="E448" s="18"/>
      <c r="F448" s="18"/>
      <c r="G448" s="18"/>
      <c r="H448" s="18"/>
      <c r="I448" s="18"/>
      <c r="J448" s="19"/>
      <c r="K448" s="20"/>
      <c r="L448" s="20"/>
      <c r="M448" s="19"/>
      <c r="N448" s="18"/>
      <c r="O448" s="18"/>
      <c r="P448" s="18"/>
      <c r="Q448" s="18"/>
      <c r="R448" s="21" t="str">
        <f>IF(C448="","",IFERROR(INDEX('THAM SỐ'!$F$5:$F$7,MATCH(C448,'THAM SỐ'!$A$5:$A$7,0)),""))</f>
        <v/>
      </c>
      <c r="S448" s="22" t="str">
        <f t="shared" si="18"/>
        <v/>
      </c>
      <c r="T448" s="16" t="str">
        <f t="shared" si="19"/>
        <v/>
      </c>
      <c r="U448" s="23" t="str">
        <f t="shared" si="20"/>
        <v/>
      </c>
      <c r="V448" s="18"/>
    </row>
    <row r="449" spans="1:22" x14ac:dyDescent="0.45">
      <c r="A449" s="16" t="str">
        <f>IF(B449="","","LDX-"&amp;TEXT(B449,"yymmdd")&amp;"-"&amp;TEXT(COUNTIFS(B$5:B449,B449),"00"))</f>
        <v/>
      </c>
      <c r="B449" s="17"/>
      <c r="C449" s="18"/>
      <c r="D449" s="18"/>
      <c r="E449" s="18"/>
      <c r="F449" s="18"/>
      <c r="G449" s="18"/>
      <c r="H449" s="18"/>
      <c r="I449" s="18"/>
      <c r="J449" s="19"/>
      <c r="K449" s="20"/>
      <c r="L449" s="20"/>
      <c r="M449" s="19"/>
      <c r="N449" s="18"/>
      <c r="O449" s="18"/>
      <c r="P449" s="18"/>
      <c r="Q449" s="18"/>
      <c r="R449" s="21" t="str">
        <f>IF(C449="","",IFERROR(INDEX('THAM SỐ'!$F$5:$F$7,MATCH(C449,'THAM SỐ'!$A$5:$A$7,0)),""))</f>
        <v/>
      </c>
      <c r="S449" s="22" t="str">
        <f t="shared" si="18"/>
        <v/>
      </c>
      <c r="T449" s="16" t="str">
        <f t="shared" si="19"/>
        <v/>
      </c>
      <c r="U449" s="23" t="str">
        <f t="shared" si="20"/>
        <v/>
      </c>
      <c r="V449" s="18"/>
    </row>
    <row r="450" spans="1:22" x14ac:dyDescent="0.45">
      <c r="A450" s="16" t="str">
        <f>IF(B450="","","LDX-"&amp;TEXT(B450,"yymmdd")&amp;"-"&amp;TEXT(COUNTIFS(B$5:B450,B450),"00"))</f>
        <v/>
      </c>
      <c r="B450" s="17"/>
      <c r="C450" s="18"/>
      <c r="D450" s="18"/>
      <c r="E450" s="18"/>
      <c r="F450" s="18"/>
      <c r="G450" s="18"/>
      <c r="H450" s="18"/>
      <c r="I450" s="18"/>
      <c r="J450" s="19"/>
      <c r="K450" s="20"/>
      <c r="L450" s="20"/>
      <c r="M450" s="19"/>
      <c r="N450" s="18"/>
      <c r="O450" s="18"/>
      <c r="P450" s="18"/>
      <c r="Q450" s="18"/>
      <c r="R450" s="21" t="str">
        <f>IF(C450="","",IFERROR(INDEX('THAM SỐ'!$F$5:$F$7,MATCH(C450,'THAM SỐ'!$A$5:$A$7,0)),""))</f>
        <v/>
      </c>
      <c r="S450" s="22" t="str">
        <f t="shared" si="18"/>
        <v/>
      </c>
      <c r="T450" s="16" t="str">
        <f t="shared" si="19"/>
        <v/>
      </c>
      <c r="U450" s="23" t="str">
        <f t="shared" si="20"/>
        <v/>
      </c>
      <c r="V450" s="18"/>
    </row>
    <row r="451" spans="1:22" x14ac:dyDescent="0.45">
      <c r="A451" s="16" t="str">
        <f>IF(B451="","","LDX-"&amp;TEXT(B451,"yymmdd")&amp;"-"&amp;TEXT(COUNTIFS(B$5:B451,B451),"00"))</f>
        <v/>
      </c>
      <c r="B451" s="17"/>
      <c r="C451" s="18"/>
      <c r="D451" s="18"/>
      <c r="E451" s="18"/>
      <c r="F451" s="18"/>
      <c r="G451" s="18"/>
      <c r="H451" s="18"/>
      <c r="I451" s="18"/>
      <c r="J451" s="19"/>
      <c r="K451" s="20"/>
      <c r="L451" s="20"/>
      <c r="M451" s="19"/>
      <c r="N451" s="18"/>
      <c r="O451" s="18"/>
      <c r="P451" s="18"/>
      <c r="Q451" s="18"/>
      <c r="R451" s="21" t="str">
        <f>IF(C451="","",IFERROR(INDEX('THAM SỐ'!$F$5:$F$7,MATCH(C451,'THAM SỐ'!$A$5:$A$7,0)),""))</f>
        <v/>
      </c>
      <c r="S451" s="22" t="str">
        <f t="shared" si="18"/>
        <v/>
      </c>
      <c r="T451" s="16" t="str">
        <f t="shared" si="19"/>
        <v/>
      </c>
      <c r="U451" s="23" t="str">
        <f t="shared" si="20"/>
        <v/>
      </c>
      <c r="V451" s="18"/>
    </row>
    <row r="452" spans="1:22" x14ac:dyDescent="0.45">
      <c r="A452" s="16" t="str">
        <f>IF(B452="","","LDX-"&amp;TEXT(B452,"yymmdd")&amp;"-"&amp;TEXT(COUNTIFS(B$5:B452,B452),"00"))</f>
        <v/>
      </c>
      <c r="B452" s="17"/>
      <c r="C452" s="18"/>
      <c r="D452" s="18"/>
      <c r="E452" s="18"/>
      <c r="F452" s="18"/>
      <c r="G452" s="18"/>
      <c r="H452" s="18"/>
      <c r="I452" s="18"/>
      <c r="J452" s="19"/>
      <c r="K452" s="20"/>
      <c r="L452" s="20"/>
      <c r="M452" s="19"/>
      <c r="N452" s="18"/>
      <c r="O452" s="18"/>
      <c r="P452" s="18"/>
      <c r="Q452" s="18"/>
      <c r="R452" s="21" t="str">
        <f>IF(C452="","",IFERROR(INDEX('THAM SỐ'!$F$5:$F$7,MATCH(C452,'THAM SỐ'!$A$5:$A$7,0)),""))</f>
        <v/>
      </c>
      <c r="S452" s="22" t="str">
        <f t="shared" si="18"/>
        <v/>
      </c>
      <c r="T452" s="16" t="str">
        <f t="shared" si="19"/>
        <v/>
      </c>
      <c r="U452" s="23" t="str">
        <f t="shared" si="20"/>
        <v/>
      </c>
      <c r="V452" s="18"/>
    </row>
    <row r="453" spans="1:22" x14ac:dyDescent="0.45">
      <c r="A453" s="16" t="str">
        <f>IF(B453="","","LDX-"&amp;TEXT(B453,"yymmdd")&amp;"-"&amp;TEXT(COUNTIFS(B$5:B453,B453),"00"))</f>
        <v/>
      </c>
      <c r="B453" s="17"/>
      <c r="C453" s="18"/>
      <c r="D453" s="18"/>
      <c r="E453" s="18"/>
      <c r="F453" s="18"/>
      <c r="G453" s="18"/>
      <c r="H453" s="18"/>
      <c r="I453" s="18"/>
      <c r="J453" s="19"/>
      <c r="K453" s="20"/>
      <c r="L453" s="20"/>
      <c r="M453" s="19"/>
      <c r="N453" s="18"/>
      <c r="O453" s="18"/>
      <c r="P453" s="18"/>
      <c r="Q453" s="18"/>
      <c r="R453" s="21" t="str">
        <f>IF(C453="","",IFERROR(INDEX('THAM SỐ'!$F$5:$F$7,MATCH(C453,'THAM SỐ'!$A$5:$A$7,0)),""))</f>
        <v/>
      </c>
      <c r="S453" s="22" t="str">
        <f t="shared" ref="S453:S516" si="21">IF(OR(M453="",R453="",R453=0),"",M453/R453)</f>
        <v/>
      </c>
      <c r="T453" s="16" t="str">
        <f t="shared" ref="T453:T516" si="22">IF(S453="","",IF(S453&gt;1,"QUÁ TẢI",IF(S453&gt;0.9,"Sát tải","Đạt")))</f>
        <v/>
      </c>
      <c r="U453" s="23" t="str">
        <f t="shared" ref="U453:U516" si="23">IF(L453="","",L453+(L453&lt;4/24))</f>
        <v/>
      </c>
      <c r="V453" s="18"/>
    </row>
    <row r="454" spans="1:22" x14ac:dyDescent="0.45">
      <c r="A454" s="16" t="str">
        <f>IF(B454="","","LDX-"&amp;TEXT(B454,"yymmdd")&amp;"-"&amp;TEXT(COUNTIFS(B$5:B454,B454),"00"))</f>
        <v/>
      </c>
      <c r="B454" s="17"/>
      <c r="C454" s="18"/>
      <c r="D454" s="18"/>
      <c r="E454" s="18"/>
      <c r="F454" s="18"/>
      <c r="G454" s="18"/>
      <c r="H454" s="18"/>
      <c r="I454" s="18"/>
      <c r="J454" s="19"/>
      <c r="K454" s="20"/>
      <c r="L454" s="20"/>
      <c r="M454" s="19"/>
      <c r="N454" s="18"/>
      <c r="O454" s="18"/>
      <c r="P454" s="18"/>
      <c r="Q454" s="18"/>
      <c r="R454" s="21" t="str">
        <f>IF(C454="","",IFERROR(INDEX('THAM SỐ'!$F$5:$F$7,MATCH(C454,'THAM SỐ'!$A$5:$A$7,0)),""))</f>
        <v/>
      </c>
      <c r="S454" s="22" t="str">
        <f t="shared" si="21"/>
        <v/>
      </c>
      <c r="T454" s="16" t="str">
        <f t="shared" si="22"/>
        <v/>
      </c>
      <c r="U454" s="23" t="str">
        <f t="shared" si="23"/>
        <v/>
      </c>
      <c r="V454" s="18"/>
    </row>
    <row r="455" spans="1:22" x14ac:dyDescent="0.45">
      <c r="A455" s="16" t="str">
        <f>IF(B455="","","LDX-"&amp;TEXT(B455,"yymmdd")&amp;"-"&amp;TEXT(COUNTIFS(B$5:B455,B455),"00"))</f>
        <v/>
      </c>
      <c r="B455" s="17"/>
      <c r="C455" s="18"/>
      <c r="D455" s="18"/>
      <c r="E455" s="18"/>
      <c r="F455" s="18"/>
      <c r="G455" s="18"/>
      <c r="H455" s="18"/>
      <c r="I455" s="18"/>
      <c r="J455" s="19"/>
      <c r="K455" s="20"/>
      <c r="L455" s="20"/>
      <c r="M455" s="19"/>
      <c r="N455" s="18"/>
      <c r="O455" s="18"/>
      <c r="P455" s="18"/>
      <c r="Q455" s="18"/>
      <c r="R455" s="21" t="str">
        <f>IF(C455="","",IFERROR(INDEX('THAM SỐ'!$F$5:$F$7,MATCH(C455,'THAM SỐ'!$A$5:$A$7,0)),""))</f>
        <v/>
      </c>
      <c r="S455" s="22" t="str">
        <f t="shared" si="21"/>
        <v/>
      </c>
      <c r="T455" s="16" t="str">
        <f t="shared" si="22"/>
        <v/>
      </c>
      <c r="U455" s="23" t="str">
        <f t="shared" si="23"/>
        <v/>
      </c>
      <c r="V455" s="18"/>
    </row>
    <row r="456" spans="1:22" x14ac:dyDescent="0.45">
      <c r="A456" s="16" t="str">
        <f>IF(B456="","","LDX-"&amp;TEXT(B456,"yymmdd")&amp;"-"&amp;TEXT(COUNTIFS(B$5:B456,B456),"00"))</f>
        <v/>
      </c>
      <c r="B456" s="17"/>
      <c r="C456" s="18"/>
      <c r="D456" s="18"/>
      <c r="E456" s="18"/>
      <c r="F456" s="18"/>
      <c r="G456" s="18"/>
      <c r="H456" s="18"/>
      <c r="I456" s="18"/>
      <c r="J456" s="19"/>
      <c r="K456" s="20"/>
      <c r="L456" s="20"/>
      <c r="M456" s="19"/>
      <c r="N456" s="18"/>
      <c r="O456" s="18"/>
      <c r="P456" s="18"/>
      <c r="Q456" s="18"/>
      <c r="R456" s="21" t="str">
        <f>IF(C456="","",IFERROR(INDEX('THAM SỐ'!$F$5:$F$7,MATCH(C456,'THAM SỐ'!$A$5:$A$7,0)),""))</f>
        <v/>
      </c>
      <c r="S456" s="22" t="str">
        <f t="shared" si="21"/>
        <v/>
      </c>
      <c r="T456" s="16" t="str">
        <f t="shared" si="22"/>
        <v/>
      </c>
      <c r="U456" s="23" t="str">
        <f t="shared" si="23"/>
        <v/>
      </c>
      <c r="V456" s="18"/>
    </row>
    <row r="457" spans="1:22" x14ac:dyDescent="0.45">
      <c r="A457" s="16" t="str">
        <f>IF(B457="","","LDX-"&amp;TEXT(B457,"yymmdd")&amp;"-"&amp;TEXT(COUNTIFS(B$5:B457,B457),"00"))</f>
        <v/>
      </c>
      <c r="B457" s="17"/>
      <c r="C457" s="18"/>
      <c r="D457" s="18"/>
      <c r="E457" s="18"/>
      <c r="F457" s="18"/>
      <c r="G457" s="18"/>
      <c r="H457" s="18"/>
      <c r="I457" s="18"/>
      <c r="J457" s="19"/>
      <c r="K457" s="20"/>
      <c r="L457" s="20"/>
      <c r="M457" s="19"/>
      <c r="N457" s="18"/>
      <c r="O457" s="18"/>
      <c r="P457" s="18"/>
      <c r="Q457" s="18"/>
      <c r="R457" s="21" t="str">
        <f>IF(C457="","",IFERROR(INDEX('THAM SỐ'!$F$5:$F$7,MATCH(C457,'THAM SỐ'!$A$5:$A$7,0)),""))</f>
        <v/>
      </c>
      <c r="S457" s="22" t="str">
        <f t="shared" si="21"/>
        <v/>
      </c>
      <c r="T457" s="16" t="str">
        <f t="shared" si="22"/>
        <v/>
      </c>
      <c r="U457" s="23" t="str">
        <f t="shared" si="23"/>
        <v/>
      </c>
      <c r="V457" s="18"/>
    </row>
    <row r="458" spans="1:22" x14ac:dyDescent="0.45">
      <c r="A458" s="16" t="str">
        <f>IF(B458="","","LDX-"&amp;TEXT(B458,"yymmdd")&amp;"-"&amp;TEXT(COUNTIFS(B$5:B458,B458),"00"))</f>
        <v/>
      </c>
      <c r="B458" s="17"/>
      <c r="C458" s="18"/>
      <c r="D458" s="18"/>
      <c r="E458" s="18"/>
      <c r="F458" s="18"/>
      <c r="G458" s="18"/>
      <c r="H458" s="18"/>
      <c r="I458" s="18"/>
      <c r="J458" s="19"/>
      <c r="K458" s="20"/>
      <c r="L458" s="20"/>
      <c r="M458" s="19"/>
      <c r="N458" s="18"/>
      <c r="O458" s="18"/>
      <c r="P458" s="18"/>
      <c r="Q458" s="18"/>
      <c r="R458" s="21" t="str">
        <f>IF(C458="","",IFERROR(INDEX('THAM SỐ'!$F$5:$F$7,MATCH(C458,'THAM SỐ'!$A$5:$A$7,0)),""))</f>
        <v/>
      </c>
      <c r="S458" s="22" t="str">
        <f t="shared" si="21"/>
        <v/>
      </c>
      <c r="T458" s="16" t="str">
        <f t="shared" si="22"/>
        <v/>
      </c>
      <c r="U458" s="23" t="str">
        <f t="shared" si="23"/>
        <v/>
      </c>
      <c r="V458" s="18"/>
    </row>
    <row r="459" spans="1:22" x14ac:dyDescent="0.45">
      <c r="A459" s="16" t="str">
        <f>IF(B459="","","LDX-"&amp;TEXT(B459,"yymmdd")&amp;"-"&amp;TEXT(COUNTIFS(B$5:B459,B459),"00"))</f>
        <v/>
      </c>
      <c r="B459" s="17"/>
      <c r="C459" s="18"/>
      <c r="D459" s="18"/>
      <c r="E459" s="18"/>
      <c r="F459" s="18"/>
      <c r="G459" s="18"/>
      <c r="H459" s="18"/>
      <c r="I459" s="18"/>
      <c r="J459" s="19"/>
      <c r="K459" s="20"/>
      <c r="L459" s="20"/>
      <c r="M459" s="19"/>
      <c r="N459" s="18"/>
      <c r="O459" s="18"/>
      <c r="P459" s="18"/>
      <c r="Q459" s="18"/>
      <c r="R459" s="21" t="str">
        <f>IF(C459="","",IFERROR(INDEX('THAM SỐ'!$F$5:$F$7,MATCH(C459,'THAM SỐ'!$A$5:$A$7,0)),""))</f>
        <v/>
      </c>
      <c r="S459" s="22" t="str">
        <f t="shared" si="21"/>
        <v/>
      </c>
      <c r="T459" s="16" t="str">
        <f t="shared" si="22"/>
        <v/>
      </c>
      <c r="U459" s="23" t="str">
        <f t="shared" si="23"/>
        <v/>
      </c>
      <c r="V459" s="18"/>
    </row>
    <row r="460" spans="1:22" x14ac:dyDescent="0.45">
      <c r="A460" s="16" t="str">
        <f>IF(B460="","","LDX-"&amp;TEXT(B460,"yymmdd")&amp;"-"&amp;TEXT(COUNTIFS(B$5:B460,B460),"00"))</f>
        <v/>
      </c>
      <c r="B460" s="17"/>
      <c r="C460" s="18"/>
      <c r="D460" s="18"/>
      <c r="E460" s="18"/>
      <c r="F460" s="18"/>
      <c r="G460" s="18"/>
      <c r="H460" s="18"/>
      <c r="I460" s="18"/>
      <c r="J460" s="19"/>
      <c r="K460" s="20"/>
      <c r="L460" s="20"/>
      <c r="M460" s="19"/>
      <c r="N460" s="18"/>
      <c r="O460" s="18"/>
      <c r="P460" s="18"/>
      <c r="Q460" s="18"/>
      <c r="R460" s="21" t="str">
        <f>IF(C460="","",IFERROR(INDEX('THAM SỐ'!$F$5:$F$7,MATCH(C460,'THAM SỐ'!$A$5:$A$7,0)),""))</f>
        <v/>
      </c>
      <c r="S460" s="22" t="str">
        <f t="shared" si="21"/>
        <v/>
      </c>
      <c r="T460" s="16" t="str">
        <f t="shared" si="22"/>
        <v/>
      </c>
      <c r="U460" s="23" t="str">
        <f t="shared" si="23"/>
        <v/>
      </c>
      <c r="V460" s="18"/>
    </row>
    <row r="461" spans="1:22" x14ac:dyDescent="0.45">
      <c r="A461" s="16" t="str">
        <f>IF(B461="","","LDX-"&amp;TEXT(B461,"yymmdd")&amp;"-"&amp;TEXT(COUNTIFS(B$5:B461,B461),"00"))</f>
        <v/>
      </c>
      <c r="B461" s="17"/>
      <c r="C461" s="18"/>
      <c r="D461" s="18"/>
      <c r="E461" s="18"/>
      <c r="F461" s="18"/>
      <c r="G461" s="18"/>
      <c r="H461" s="18"/>
      <c r="I461" s="18"/>
      <c r="J461" s="19"/>
      <c r="K461" s="20"/>
      <c r="L461" s="20"/>
      <c r="M461" s="19"/>
      <c r="N461" s="18"/>
      <c r="O461" s="18"/>
      <c r="P461" s="18"/>
      <c r="Q461" s="18"/>
      <c r="R461" s="21" t="str">
        <f>IF(C461="","",IFERROR(INDEX('THAM SỐ'!$F$5:$F$7,MATCH(C461,'THAM SỐ'!$A$5:$A$7,0)),""))</f>
        <v/>
      </c>
      <c r="S461" s="22" t="str">
        <f t="shared" si="21"/>
        <v/>
      </c>
      <c r="T461" s="16" t="str">
        <f t="shared" si="22"/>
        <v/>
      </c>
      <c r="U461" s="23" t="str">
        <f t="shared" si="23"/>
        <v/>
      </c>
      <c r="V461" s="18"/>
    </row>
    <row r="462" spans="1:22" x14ac:dyDescent="0.45">
      <c r="A462" s="16" t="str">
        <f>IF(B462="","","LDX-"&amp;TEXT(B462,"yymmdd")&amp;"-"&amp;TEXT(COUNTIFS(B$5:B462,B462),"00"))</f>
        <v/>
      </c>
      <c r="B462" s="17"/>
      <c r="C462" s="18"/>
      <c r="D462" s="18"/>
      <c r="E462" s="18"/>
      <c r="F462" s="18"/>
      <c r="G462" s="18"/>
      <c r="H462" s="18"/>
      <c r="I462" s="18"/>
      <c r="J462" s="19"/>
      <c r="K462" s="20"/>
      <c r="L462" s="20"/>
      <c r="M462" s="19"/>
      <c r="N462" s="18"/>
      <c r="O462" s="18"/>
      <c r="P462" s="18"/>
      <c r="Q462" s="18"/>
      <c r="R462" s="21" t="str">
        <f>IF(C462="","",IFERROR(INDEX('THAM SỐ'!$F$5:$F$7,MATCH(C462,'THAM SỐ'!$A$5:$A$7,0)),""))</f>
        <v/>
      </c>
      <c r="S462" s="22" t="str">
        <f t="shared" si="21"/>
        <v/>
      </c>
      <c r="T462" s="16" t="str">
        <f t="shared" si="22"/>
        <v/>
      </c>
      <c r="U462" s="23" t="str">
        <f t="shared" si="23"/>
        <v/>
      </c>
      <c r="V462" s="18"/>
    </row>
    <row r="463" spans="1:22" x14ac:dyDescent="0.45">
      <c r="A463" s="16" t="str">
        <f>IF(B463="","","LDX-"&amp;TEXT(B463,"yymmdd")&amp;"-"&amp;TEXT(COUNTIFS(B$5:B463,B463),"00"))</f>
        <v/>
      </c>
      <c r="B463" s="17"/>
      <c r="C463" s="18"/>
      <c r="D463" s="18"/>
      <c r="E463" s="18"/>
      <c r="F463" s="18"/>
      <c r="G463" s="18"/>
      <c r="H463" s="18"/>
      <c r="I463" s="18"/>
      <c r="J463" s="19"/>
      <c r="K463" s="20"/>
      <c r="L463" s="20"/>
      <c r="M463" s="19"/>
      <c r="N463" s="18"/>
      <c r="O463" s="18"/>
      <c r="P463" s="18"/>
      <c r="Q463" s="18"/>
      <c r="R463" s="21" t="str">
        <f>IF(C463="","",IFERROR(INDEX('THAM SỐ'!$F$5:$F$7,MATCH(C463,'THAM SỐ'!$A$5:$A$7,0)),""))</f>
        <v/>
      </c>
      <c r="S463" s="22" t="str">
        <f t="shared" si="21"/>
        <v/>
      </c>
      <c r="T463" s="16" t="str">
        <f t="shared" si="22"/>
        <v/>
      </c>
      <c r="U463" s="23" t="str">
        <f t="shared" si="23"/>
        <v/>
      </c>
      <c r="V463" s="18"/>
    </row>
    <row r="464" spans="1:22" x14ac:dyDescent="0.45">
      <c r="A464" s="16" t="str">
        <f>IF(B464="","","LDX-"&amp;TEXT(B464,"yymmdd")&amp;"-"&amp;TEXT(COUNTIFS(B$5:B464,B464),"00"))</f>
        <v/>
      </c>
      <c r="B464" s="17"/>
      <c r="C464" s="18"/>
      <c r="D464" s="18"/>
      <c r="E464" s="18"/>
      <c r="F464" s="18"/>
      <c r="G464" s="18"/>
      <c r="H464" s="18"/>
      <c r="I464" s="18"/>
      <c r="J464" s="19"/>
      <c r="K464" s="20"/>
      <c r="L464" s="20"/>
      <c r="M464" s="19"/>
      <c r="N464" s="18"/>
      <c r="O464" s="18"/>
      <c r="P464" s="18"/>
      <c r="Q464" s="18"/>
      <c r="R464" s="21" t="str">
        <f>IF(C464="","",IFERROR(INDEX('THAM SỐ'!$F$5:$F$7,MATCH(C464,'THAM SỐ'!$A$5:$A$7,0)),""))</f>
        <v/>
      </c>
      <c r="S464" s="22" t="str">
        <f t="shared" si="21"/>
        <v/>
      </c>
      <c r="T464" s="16" t="str">
        <f t="shared" si="22"/>
        <v/>
      </c>
      <c r="U464" s="23" t="str">
        <f t="shared" si="23"/>
        <v/>
      </c>
      <c r="V464" s="18"/>
    </row>
    <row r="465" spans="1:22" x14ac:dyDescent="0.45">
      <c r="A465" s="16" t="str">
        <f>IF(B465="","","LDX-"&amp;TEXT(B465,"yymmdd")&amp;"-"&amp;TEXT(COUNTIFS(B$5:B465,B465),"00"))</f>
        <v/>
      </c>
      <c r="B465" s="17"/>
      <c r="C465" s="18"/>
      <c r="D465" s="18"/>
      <c r="E465" s="18"/>
      <c r="F465" s="18"/>
      <c r="G465" s="18"/>
      <c r="H465" s="18"/>
      <c r="I465" s="18"/>
      <c r="J465" s="19"/>
      <c r="K465" s="20"/>
      <c r="L465" s="20"/>
      <c r="M465" s="19"/>
      <c r="N465" s="18"/>
      <c r="O465" s="18"/>
      <c r="P465" s="18"/>
      <c r="Q465" s="18"/>
      <c r="R465" s="21" t="str">
        <f>IF(C465="","",IFERROR(INDEX('THAM SỐ'!$F$5:$F$7,MATCH(C465,'THAM SỐ'!$A$5:$A$7,0)),""))</f>
        <v/>
      </c>
      <c r="S465" s="22" t="str">
        <f t="shared" si="21"/>
        <v/>
      </c>
      <c r="T465" s="16" t="str">
        <f t="shared" si="22"/>
        <v/>
      </c>
      <c r="U465" s="23" t="str">
        <f t="shared" si="23"/>
        <v/>
      </c>
      <c r="V465" s="18"/>
    </row>
    <row r="466" spans="1:22" x14ac:dyDescent="0.45">
      <c r="A466" s="16" t="str">
        <f>IF(B466="","","LDX-"&amp;TEXT(B466,"yymmdd")&amp;"-"&amp;TEXT(COUNTIFS(B$5:B466,B466),"00"))</f>
        <v/>
      </c>
      <c r="B466" s="17"/>
      <c r="C466" s="18"/>
      <c r="D466" s="18"/>
      <c r="E466" s="18"/>
      <c r="F466" s="18"/>
      <c r="G466" s="18"/>
      <c r="H466" s="18"/>
      <c r="I466" s="18"/>
      <c r="J466" s="19"/>
      <c r="K466" s="20"/>
      <c r="L466" s="20"/>
      <c r="M466" s="19"/>
      <c r="N466" s="18"/>
      <c r="O466" s="18"/>
      <c r="P466" s="18"/>
      <c r="Q466" s="18"/>
      <c r="R466" s="21" t="str">
        <f>IF(C466="","",IFERROR(INDEX('THAM SỐ'!$F$5:$F$7,MATCH(C466,'THAM SỐ'!$A$5:$A$7,0)),""))</f>
        <v/>
      </c>
      <c r="S466" s="22" t="str">
        <f t="shared" si="21"/>
        <v/>
      </c>
      <c r="T466" s="16" t="str">
        <f t="shared" si="22"/>
        <v/>
      </c>
      <c r="U466" s="23" t="str">
        <f t="shared" si="23"/>
        <v/>
      </c>
      <c r="V466" s="18"/>
    </row>
    <row r="467" spans="1:22" x14ac:dyDescent="0.45">
      <c r="A467" s="16" t="str">
        <f>IF(B467="","","LDX-"&amp;TEXT(B467,"yymmdd")&amp;"-"&amp;TEXT(COUNTIFS(B$5:B467,B467),"00"))</f>
        <v/>
      </c>
      <c r="B467" s="17"/>
      <c r="C467" s="18"/>
      <c r="D467" s="18"/>
      <c r="E467" s="18"/>
      <c r="F467" s="18"/>
      <c r="G467" s="18"/>
      <c r="H467" s="18"/>
      <c r="I467" s="18"/>
      <c r="J467" s="19"/>
      <c r="K467" s="20"/>
      <c r="L467" s="20"/>
      <c r="M467" s="19"/>
      <c r="N467" s="18"/>
      <c r="O467" s="18"/>
      <c r="P467" s="18"/>
      <c r="Q467" s="18"/>
      <c r="R467" s="21" t="str">
        <f>IF(C467="","",IFERROR(INDEX('THAM SỐ'!$F$5:$F$7,MATCH(C467,'THAM SỐ'!$A$5:$A$7,0)),""))</f>
        <v/>
      </c>
      <c r="S467" s="22" t="str">
        <f t="shared" si="21"/>
        <v/>
      </c>
      <c r="T467" s="16" t="str">
        <f t="shared" si="22"/>
        <v/>
      </c>
      <c r="U467" s="23" t="str">
        <f t="shared" si="23"/>
        <v/>
      </c>
      <c r="V467" s="18"/>
    </row>
    <row r="468" spans="1:22" x14ac:dyDescent="0.45">
      <c r="A468" s="16" t="str">
        <f>IF(B468="","","LDX-"&amp;TEXT(B468,"yymmdd")&amp;"-"&amp;TEXT(COUNTIFS(B$5:B468,B468),"00"))</f>
        <v/>
      </c>
      <c r="B468" s="17"/>
      <c r="C468" s="18"/>
      <c r="D468" s="18"/>
      <c r="E468" s="18"/>
      <c r="F468" s="18"/>
      <c r="G468" s="18"/>
      <c r="H468" s="18"/>
      <c r="I468" s="18"/>
      <c r="J468" s="19"/>
      <c r="K468" s="20"/>
      <c r="L468" s="20"/>
      <c r="M468" s="19"/>
      <c r="N468" s="18"/>
      <c r="O468" s="18"/>
      <c r="P468" s="18"/>
      <c r="Q468" s="18"/>
      <c r="R468" s="21" t="str">
        <f>IF(C468="","",IFERROR(INDEX('THAM SỐ'!$F$5:$F$7,MATCH(C468,'THAM SỐ'!$A$5:$A$7,0)),""))</f>
        <v/>
      </c>
      <c r="S468" s="22" t="str">
        <f t="shared" si="21"/>
        <v/>
      </c>
      <c r="T468" s="16" t="str">
        <f t="shared" si="22"/>
        <v/>
      </c>
      <c r="U468" s="23" t="str">
        <f t="shared" si="23"/>
        <v/>
      </c>
      <c r="V468" s="18"/>
    </row>
    <row r="469" spans="1:22" x14ac:dyDescent="0.45">
      <c r="A469" s="16" t="str">
        <f>IF(B469="","","LDX-"&amp;TEXT(B469,"yymmdd")&amp;"-"&amp;TEXT(COUNTIFS(B$5:B469,B469),"00"))</f>
        <v/>
      </c>
      <c r="B469" s="17"/>
      <c r="C469" s="18"/>
      <c r="D469" s="18"/>
      <c r="E469" s="18"/>
      <c r="F469" s="18"/>
      <c r="G469" s="18"/>
      <c r="H469" s="18"/>
      <c r="I469" s="18"/>
      <c r="J469" s="19"/>
      <c r="K469" s="20"/>
      <c r="L469" s="20"/>
      <c r="M469" s="19"/>
      <c r="N469" s="18"/>
      <c r="O469" s="18"/>
      <c r="P469" s="18"/>
      <c r="Q469" s="18"/>
      <c r="R469" s="21" t="str">
        <f>IF(C469="","",IFERROR(INDEX('THAM SỐ'!$F$5:$F$7,MATCH(C469,'THAM SỐ'!$A$5:$A$7,0)),""))</f>
        <v/>
      </c>
      <c r="S469" s="22" t="str">
        <f t="shared" si="21"/>
        <v/>
      </c>
      <c r="T469" s="16" t="str">
        <f t="shared" si="22"/>
        <v/>
      </c>
      <c r="U469" s="23" t="str">
        <f t="shared" si="23"/>
        <v/>
      </c>
      <c r="V469" s="18"/>
    </row>
    <row r="470" spans="1:22" x14ac:dyDescent="0.45">
      <c r="A470" s="16" t="str">
        <f>IF(B470="","","LDX-"&amp;TEXT(B470,"yymmdd")&amp;"-"&amp;TEXT(COUNTIFS(B$5:B470,B470),"00"))</f>
        <v/>
      </c>
      <c r="B470" s="17"/>
      <c r="C470" s="18"/>
      <c r="D470" s="18"/>
      <c r="E470" s="18"/>
      <c r="F470" s="18"/>
      <c r="G470" s="18"/>
      <c r="H470" s="18"/>
      <c r="I470" s="18"/>
      <c r="J470" s="19"/>
      <c r="K470" s="20"/>
      <c r="L470" s="20"/>
      <c r="M470" s="19"/>
      <c r="N470" s="18"/>
      <c r="O470" s="18"/>
      <c r="P470" s="18"/>
      <c r="Q470" s="18"/>
      <c r="R470" s="21" t="str">
        <f>IF(C470="","",IFERROR(INDEX('THAM SỐ'!$F$5:$F$7,MATCH(C470,'THAM SỐ'!$A$5:$A$7,0)),""))</f>
        <v/>
      </c>
      <c r="S470" s="22" t="str">
        <f t="shared" si="21"/>
        <v/>
      </c>
      <c r="T470" s="16" t="str">
        <f t="shared" si="22"/>
        <v/>
      </c>
      <c r="U470" s="23" t="str">
        <f t="shared" si="23"/>
        <v/>
      </c>
      <c r="V470" s="18"/>
    </row>
    <row r="471" spans="1:22" x14ac:dyDescent="0.45">
      <c r="A471" s="16" t="str">
        <f>IF(B471="","","LDX-"&amp;TEXT(B471,"yymmdd")&amp;"-"&amp;TEXT(COUNTIFS(B$5:B471,B471),"00"))</f>
        <v/>
      </c>
      <c r="B471" s="17"/>
      <c r="C471" s="18"/>
      <c r="D471" s="18"/>
      <c r="E471" s="18"/>
      <c r="F471" s="18"/>
      <c r="G471" s="18"/>
      <c r="H471" s="18"/>
      <c r="I471" s="18"/>
      <c r="J471" s="19"/>
      <c r="K471" s="20"/>
      <c r="L471" s="20"/>
      <c r="M471" s="19"/>
      <c r="N471" s="18"/>
      <c r="O471" s="18"/>
      <c r="P471" s="18"/>
      <c r="Q471" s="18"/>
      <c r="R471" s="21" t="str">
        <f>IF(C471="","",IFERROR(INDEX('THAM SỐ'!$F$5:$F$7,MATCH(C471,'THAM SỐ'!$A$5:$A$7,0)),""))</f>
        <v/>
      </c>
      <c r="S471" s="22" t="str">
        <f t="shared" si="21"/>
        <v/>
      </c>
      <c r="T471" s="16" t="str">
        <f t="shared" si="22"/>
        <v/>
      </c>
      <c r="U471" s="23" t="str">
        <f t="shared" si="23"/>
        <v/>
      </c>
      <c r="V471" s="18"/>
    </row>
    <row r="472" spans="1:22" x14ac:dyDescent="0.45">
      <c r="A472" s="16" t="str">
        <f>IF(B472="","","LDX-"&amp;TEXT(B472,"yymmdd")&amp;"-"&amp;TEXT(COUNTIFS(B$5:B472,B472),"00"))</f>
        <v/>
      </c>
      <c r="B472" s="17"/>
      <c r="C472" s="18"/>
      <c r="D472" s="18"/>
      <c r="E472" s="18"/>
      <c r="F472" s="18"/>
      <c r="G472" s="18"/>
      <c r="H472" s="18"/>
      <c r="I472" s="18"/>
      <c r="J472" s="19"/>
      <c r="K472" s="20"/>
      <c r="L472" s="20"/>
      <c r="M472" s="19"/>
      <c r="N472" s="18"/>
      <c r="O472" s="18"/>
      <c r="P472" s="18"/>
      <c r="Q472" s="18"/>
      <c r="R472" s="21" t="str">
        <f>IF(C472="","",IFERROR(INDEX('THAM SỐ'!$F$5:$F$7,MATCH(C472,'THAM SỐ'!$A$5:$A$7,0)),""))</f>
        <v/>
      </c>
      <c r="S472" s="22" t="str">
        <f t="shared" si="21"/>
        <v/>
      </c>
      <c r="T472" s="16" t="str">
        <f t="shared" si="22"/>
        <v/>
      </c>
      <c r="U472" s="23" t="str">
        <f t="shared" si="23"/>
        <v/>
      </c>
      <c r="V472" s="18"/>
    </row>
    <row r="473" spans="1:22" x14ac:dyDescent="0.45">
      <c r="A473" s="16" t="str">
        <f>IF(B473="","","LDX-"&amp;TEXT(B473,"yymmdd")&amp;"-"&amp;TEXT(COUNTIFS(B$5:B473,B473),"00"))</f>
        <v/>
      </c>
      <c r="B473" s="17"/>
      <c r="C473" s="18"/>
      <c r="D473" s="18"/>
      <c r="E473" s="18"/>
      <c r="F473" s="18"/>
      <c r="G473" s="18"/>
      <c r="H473" s="18"/>
      <c r="I473" s="18"/>
      <c r="J473" s="19"/>
      <c r="K473" s="20"/>
      <c r="L473" s="20"/>
      <c r="M473" s="19"/>
      <c r="N473" s="18"/>
      <c r="O473" s="18"/>
      <c r="P473" s="18"/>
      <c r="Q473" s="18"/>
      <c r="R473" s="21" t="str">
        <f>IF(C473="","",IFERROR(INDEX('THAM SỐ'!$F$5:$F$7,MATCH(C473,'THAM SỐ'!$A$5:$A$7,0)),""))</f>
        <v/>
      </c>
      <c r="S473" s="22" t="str">
        <f t="shared" si="21"/>
        <v/>
      </c>
      <c r="T473" s="16" t="str">
        <f t="shared" si="22"/>
        <v/>
      </c>
      <c r="U473" s="23" t="str">
        <f t="shared" si="23"/>
        <v/>
      </c>
      <c r="V473" s="18"/>
    </row>
    <row r="474" spans="1:22" x14ac:dyDescent="0.45">
      <c r="A474" s="16" t="str">
        <f>IF(B474="","","LDX-"&amp;TEXT(B474,"yymmdd")&amp;"-"&amp;TEXT(COUNTIFS(B$5:B474,B474),"00"))</f>
        <v/>
      </c>
      <c r="B474" s="17"/>
      <c r="C474" s="18"/>
      <c r="D474" s="18"/>
      <c r="E474" s="18"/>
      <c r="F474" s="18"/>
      <c r="G474" s="18"/>
      <c r="H474" s="18"/>
      <c r="I474" s="18"/>
      <c r="J474" s="19"/>
      <c r="K474" s="20"/>
      <c r="L474" s="20"/>
      <c r="M474" s="19"/>
      <c r="N474" s="18"/>
      <c r="O474" s="18"/>
      <c r="P474" s="18"/>
      <c r="Q474" s="18"/>
      <c r="R474" s="21" t="str">
        <f>IF(C474="","",IFERROR(INDEX('THAM SỐ'!$F$5:$F$7,MATCH(C474,'THAM SỐ'!$A$5:$A$7,0)),""))</f>
        <v/>
      </c>
      <c r="S474" s="22" t="str">
        <f t="shared" si="21"/>
        <v/>
      </c>
      <c r="T474" s="16" t="str">
        <f t="shared" si="22"/>
        <v/>
      </c>
      <c r="U474" s="23" t="str">
        <f t="shared" si="23"/>
        <v/>
      </c>
      <c r="V474" s="18"/>
    </row>
    <row r="475" spans="1:22" x14ac:dyDescent="0.45">
      <c r="A475" s="16" t="str">
        <f>IF(B475="","","LDX-"&amp;TEXT(B475,"yymmdd")&amp;"-"&amp;TEXT(COUNTIFS(B$5:B475,B475),"00"))</f>
        <v/>
      </c>
      <c r="B475" s="17"/>
      <c r="C475" s="18"/>
      <c r="D475" s="18"/>
      <c r="E475" s="18"/>
      <c r="F475" s="18"/>
      <c r="G475" s="18"/>
      <c r="H475" s="18"/>
      <c r="I475" s="18"/>
      <c r="J475" s="19"/>
      <c r="K475" s="20"/>
      <c r="L475" s="20"/>
      <c r="M475" s="19"/>
      <c r="N475" s="18"/>
      <c r="O475" s="18"/>
      <c r="P475" s="18"/>
      <c r="Q475" s="18"/>
      <c r="R475" s="21" t="str">
        <f>IF(C475="","",IFERROR(INDEX('THAM SỐ'!$F$5:$F$7,MATCH(C475,'THAM SỐ'!$A$5:$A$7,0)),""))</f>
        <v/>
      </c>
      <c r="S475" s="22" t="str">
        <f t="shared" si="21"/>
        <v/>
      </c>
      <c r="T475" s="16" t="str">
        <f t="shared" si="22"/>
        <v/>
      </c>
      <c r="U475" s="23" t="str">
        <f t="shared" si="23"/>
        <v/>
      </c>
      <c r="V475" s="18"/>
    </row>
    <row r="476" spans="1:22" x14ac:dyDescent="0.45">
      <c r="A476" s="16" t="str">
        <f>IF(B476="","","LDX-"&amp;TEXT(B476,"yymmdd")&amp;"-"&amp;TEXT(COUNTIFS(B$5:B476,B476),"00"))</f>
        <v/>
      </c>
      <c r="B476" s="17"/>
      <c r="C476" s="18"/>
      <c r="D476" s="18"/>
      <c r="E476" s="18"/>
      <c r="F476" s="18"/>
      <c r="G476" s="18"/>
      <c r="H476" s="18"/>
      <c r="I476" s="18"/>
      <c r="J476" s="19"/>
      <c r="K476" s="20"/>
      <c r="L476" s="20"/>
      <c r="M476" s="19"/>
      <c r="N476" s="18"/>
      <c r="O476" s="18"/>
      <c r="P476" s="18"/>
      <c r="Q476" s="18"/>
      <c r="R476" s="21" t="str">
        <f>IF(C476="","",IFERROR(INDEX('THAM SỐ'!$F$5:$F$7,MATCH(C476,'THAM SỐ'!$A$5:$A$7,0)),""))</f>
        <v/>
      </c>
      <c r="S476" s="22" t="str">
        <f t="shared" si="21"/>
        <v/>
      </c>
      <c r="T476" s="16" t="str">
        <f t="shared" si="22"/>
        <v/>
      </c>
      <c r="U476" s="23" t="str">
        <f t="shared" si="23"/>
        <v/>
      </c>
      <c r="V476" s="18"/>
    </row>
    <row r="477" spans="1:22" x14ac:dyDescent="0.45">
      <c r="A477" s="16" t="str">
        <f>IF(B477="","","LDX-"&amp;TEXT(B477,"yymmdd")&amp;"-"&amp;TEXT(COUNTIFS(B$5:B477,B477),"00"))</f>
        <v/>
      </c>
      <c r="B477" s="17"/>
      <c r="C477" s="18"/>
      <c r="D477" s="18"/>
      <c r="E477" s="18"/>
      <c r="F477" s="18"/>
      <c r="G477" s="18"/>
      <c r="H477" s="18"/>
      <c r="I477" s="18"/>
      <c r="J477" s="19"/>
      <c r="K477" s="20"/>
      <c r="L477" s="20"/>
      <c r="M477" s="19"/>
      <c r="N477" s="18"/>
      <c r="O477" s="18"/>
      <c r="P477" s="18"/>
      <c r="Q477" s="18"/>
      <c r="R477" s="21" t="str">
        <f>IF(C477="","",IFERROR(INDEX('THAM SỐ'!$F$5:$F$7,MATCH(C477,'THAM SỐ'!$A$5:$A$7,0)),""))</f>
        <v/>
      </c>
      <c r="S477" s="22" t="str">
        <f t="shared" si="21"/>
        <v/>
      </c>
      <c r="T477" s="16" t="str">
        <f t="shared" si="22"/>
        <v/>
      </c>
      <c r="U477" s="23" t="str">
        <f t="shared" si="23"/>
        <v/>
      </c>
      <c r="V477" s="18"/>
    </row>
    <row r="478" spans="1:22" x14ac:dyDescent="0.45">
      <c r="A478" s="16" t="str">
        <f>IF(B478="","","LDX-"&amp;TEXT(B478,"yymmdd")&amp;"-"&amp;TEXT(COUNTIFS(B$5:B478,B478),"00"))</f>
        <v/>
      </c>
      <c r="B478" s="17"/>
      <c r="C478" s="18"/>
      <c r="D478" s="18"/>
      <c r="E478" s="18"/>
      <c r="F478" s="18"/>
      <c r="G478" s="18"/>
      <c r="H478" s="18"/>
      <c r="I478" s="18"/>
      <c r="J478" s="19"/>
      <c r="K478" s="20"/>
      <c r="L478" s="20"/>
      <c r="M478" s="19"/>
      <c r="N478" s="18"/>
      <c r="O478" s="18"/>
      <c r="P478" s="18"/>
      <c r="Q478" s="18"/>
      <c r="R478" s="21" t="str">
        <f>IF(C478="","",IFERROR(INDEX('THAM SỐ'!$F$5:$F$7,MATCH(C478,'THAM SỐ'!$A$5:$A$7,0)),""))</f>
        <v/>
      </c>
      <c r="S478" s="22" t="str">
        <f t="shared" si="21"/>
        <v/>
      </c>
      <c r="T478" s="16" t="str">
        <f t="shared" si="22"/>
        <v/>
      </c>
      <c r="U478" s="23" t="str">
        <f t="shared" si="23"/>
        <v/>
      </c>
      <c r="V478" s="18"/>
    </row>
    <row r="479" spans="1:22" x14ac:dyDescent="0.45">
      <c r="A479" s="16" t="str">
        <f>IF(B479="","","LDX-"&amp;TEXT(B479,"yymmdd")&amp;"-"&amp;TEXT(COUNTIFS(B$5:B479,B479),"00"))</f>
        <v/>
      </c>
      <c r="B479" s="17"/>
      <c r="C479" s="18"/>
      <c r="D479" s="18"/>
      <c r="E479" s="18"/>
      <c r="F479" s="18"/>
      <c r="G479" s="18"/>
      <c r="H479" s="18"/>
      <c r="I479" s="18"/>
      <c r="J479" s="19"/>
      <c r="K479" s="20"/>
      <c r="L479" s="20"/>
      <c r="M479" s="19"/>
      <c r="N479" s="18"/>
      <c r="O479" s="18"/>
      <c r="P479" s="18"/>
      <c r="Q479" s="18"/>
      <c r="R479" s="21" t="str">
        <f>IF(C479="","",IFERROR(INDEX('THAM SỐ'!$F$5:$F$7,MATCH(C479,'THAM SỐ'!$A$5:$A$7,0)),""))</f>
        <v/>
      </c>
      <c r="S479" s="22" t="str">
        <f t="shared" si="21"/>
        <v/>
      </c>
      <c r="T479" s="16" t="str">
        <f t="shared" si="22"/>
        <v/>
      </c>
      <c r="U479" s="23" t="str">
        <f t="shared" si="23"/>
        <v/>
      </c>
      <c r="V479" s="18"/>
    </row>
    <row r="480" spans="1:22" x14ac:dyDescent="0.45">
      <c r="A480" s="16" t="str">
        <f>IF(B480="","","LDX-"&amp;TEXT(B480,"yymmdd")&amp;"-"&amp;TEXT(COUNTIFS(B$5:B480,B480),"00"))</f>
        <v/>
      </c>
      <c r="B480" s="17"/>
      <c r="C480" s="18"/>
      <c r="D480" s="18"/>
      <c r="E480" s="18"/>
      <c r="F480" s="18"/>
      <c r="G480" s="18"/>
      <c r="H480" s="18"/>
      <c r="I480" s="18"/>
      <c r="J480" s="19"/>
      <c r="K480" s="20"/>
      <c r="L480" s="20"/>
      <c r="M480" s="19"/>
      <c r="N480" s="18"/>
      <c r="O480" s="18"/>
      <c r="P480" s="18"/>
      <c r="Q480" s="18"/>
      <c r="R480" s="21" t="str">
        <f>IF(C480="","",IFERROR(INDEX('THAM SỐ'!$F$5:$F$7,MATCH(C480,'THAM SỐ'!$A$5:$A$7,0)),""))</f>
        <v/>
      </c>
      <c r="S480" s="22" t="str">
        <f t="shared" si="21"/>
        <v/>
      </c>
      <c r="T480" s="16" t="str">
        <f t="shared" si="22"/>
        <v/>
      </c>
      <c r="U480" s="23" t="str">
        <f t="shared" si="23"/>
        <v/>
      </c>
      <c r="V480" s="18"/>
    </row>
    <row r="481" spans="1:22" x14ac:dyDescent="0.45">
      <c r="A481" s="16" t="str">
        <f>IF(B481="","","LDX-"&amp;TEXT(B481,"yymmdd")&amp;"-"&amp;TEXT(COUNTIFS(B$5:B481,B481),"00"))</f>
        <v/>
      </c>
      <c r="B481" s="17"/>
      <c r="C481" s="18"/>
      <c r="D481" s="18"/>
      <c r="E481" s="18"/>
      <c r="F481" s="18"/>
      <c r="G481" s="18"/>
      <c r="H481" s="18"/>
      <c r="I481" s="18"/>
      <c r="J481" s="19"/>
      <c r="K481" s="20"/>
      <c r="L481" s="20"/>
      <c r="M481" s="19"/>
      <c r="N481" s="18"/>
      <c r="O481" s="18"/>
      <c r="P481" s="18"/>
      <c r="Q481" s="18"/>
      <c r="R481" s="21" t="str">
        <f>IF(C481="","",IFERROR(INDEX('THAM SỐ'!$F$5:$F$7,MATCH(C481,'THAM SỐ'!$A$5:$A$7,0)),""))</f>
        <v/>
      </c>
      <c r="S481" s="22" t="str">
        <f t="shared" si="21"/>
        <v/>
      </c>
      <c r="T481" s="16" t="str">
        <f t="shared" si="22"/>
        <v/>
      </c>
      <c r="U481" s="23" t="str">
        <f t="shared" si="23"/>
        <v/>
      </c>
      <c r="V481" s="18"/>
    </row>
    <row r="482" spans="1:22" x14ac:dyDescent="0.45">
      <c r="A482" s="16" t="str">
        <f>IF(B482="","","LDX-"&amp;TEXT(B482,"yymmdd")&amp;"-"&amp;TEXT(COUNTIFS(B$5:B482,B482),"00"))</f>
        <v/>
      </c>
      <c r="B482" s="17"/>
      <c r="C482" s="18"/>
      <c r="D482" s="18"/>
      <c r="E482" s="18"/>
      <c r="F482" s="18"/>
      <c r="G482" s="18"/>
      <c r="H482" s="18"/>
      <c r="I482" s="18"/>
      <c r="J482" s="19"/>
      <c r="K482" s="20"/>
      <c r="L482" s="20"/>
      <c r="M482" s="19"/>
      <c r="N482" s="18"/>
      <c r="O482" s="18"/>
      <c r="P482" s="18"/>
      <c r="Q482" s="18"/>
      <c r="R482" s="21" t="str">
        <f>IF(C482="","",IFERROR(INDEX('THAM SỐ'!$F$5:$F$7,MATCH(C482,'THAM SỐ'!$A$5:$A$7,0)),""))</f>
        <v/>
      </c>
      <c r="S482" s="22" t="str">
        <f t="shared" si="21"/>
        <v/>
      </c>
      <c r="T482" s="16" t="str">
        <f t="shared" si="22"/>
        <v/>
      </c>
      <c r="U482" s="23" t="str">
        <f t="shared" si="23"/>
        <v/>
      </c>
      <c r="V482" s="18"/>
    </row>
    <row r="483" spans="1:22" x14ac:dyDescent="0.45">
      <c r="A483" s="16" t="str">
        <f>IF(B483="","","LDX-"&amp;TEXT(B483,"yymmdd")&amp;"-"&amp;TEXT(COUNTIFS(B$5:B483,B483),"00"))</f>
        <v/>
      </c>
      <c r="B483" s="17"/>
      <c r="C483" s="18"/>
      <c r="D483" s="18"/>
      <c r="E483" s="18"/>
      <c r="F483" s="18"/>
      <c r="G483" s="18"/>
      <c r="H483" s="18"/>
      <c r="I483" s="18"/>
      <c r="J483" s="19"/>
      <c r="K483" s="20"/>
      <c r="L483" s="20"/>
      <c r="M483" s="19"/>
      <c r="N483" s="18"/>
      <c r="O483" s="18"/>
      <c r="P483" s="18"/>
      <c r="Q483" s="18"/>
      <c r="R483" s="21" t="str">
        <f>IF(C483="","",IFERROR(INDEX('THAM SỐ'!$F$5:$F$7,MATCH(C483,'THAM SỐ'!$A$5:$A$7,0)),""))</f>
        <v/>
      </c>
      <c r="S483" s="22" t="str">
        <f t="shared" si="21"/>
        <v/>
      </c>
      <c r="T483" s="16" t="str">
        <f t="shared" si="22"/>
        <v/>
      </c>
      <c r="U483" s="23" t="str">
        <f t="shared" si="23"/>
        <v/>
      </c>
      <c r="V483" s="18"/>
    </row>
    <row r="484" spans="1:22" x14ac:dyDescent="0.45">
      <c r="A484" s="16" t="str">
        <f>IF(B484="","","LDX-"&amp;TEXT(B484,"yymmdd")&amp;"-"&amp;TEXT(COUNTIFS(B$5:B484,B484),"00"))</f>
        <v/>
      </c>
      <c r="B484" s="17"/>
      <c r="C484" s="18"/>
      <c r="D484" s="18"/>
      <c r="E484" s="18"/>
      <c r="F484" s="18"/>
      <c r="G484" s="18"/>
      <c r="H484" s="18"/>
      <c r="I484" s="18"/>
      <c r="J484" s="19"/>
      <c r="K484" s="20"/>
      <c r="L484" s="20"/>
      <c r="M484" s="19"/>
      <c r="N484" s="18"/>
      <c r="O484" s="18"/>
      <c r="P484" s="18"/>
      <c r="Q484" s="18"/>
      <c r="R484" s="21" t="str">
        <f>IF(C484="","",IFERROR(INDEX('THAM SỐ'!$F$5:$F$7,MATCH(C484,'THAM SỐ'!$A$5:$A$7,0)),""))</f>
        <v/>
      </c>
      <c r="S484" s="22" t="str">
        <f t="shared" si="21"/>
        <v/>
      </c>
      <c r="T484" s="16" t="str">
        <f t="shared" si="22"/>
        <v/>
      </c>
      <c r="U484" s="23" t="str">
        <f t="shared" si="23"/>
        <v/>
      </c>
      <c r="V484" s="18"/>
    </row>
    <row r="485" spans="1:22" x14ac:dyDescent="0.45">
      <c r="A485" s="16" t="str">
        <f>IF(B485="","","LDX-"&amp;TEXT(B485,"yymmdd")&amp;"-"&amp;TEXT(COUNTIFS(B$5:B485,B485),"00"))</f>
        <v/>
      </c>
      <c r="B485" s="17"/>
      <c r="C485" s="18"/>
      <c r="D485" s="18"/>
      <c r="E485" s="18"/>
      <c r="F485" s="18"/>
      <c r="G485" s="18"/>
      <c r="H485" s="18"/>
      <c r="I485" s="18"/>
      <c r="J485" s="19"/>
      <c r="K485" s="20"/>
      <c r="L485" s="20"/>
      <c r="M485" s="19"/>
      <c r="N485" s="18"/>
      <c r="O485" s="18"/>
      <c r="P485" s="18"/>
      <c r="Q485" s="18"/>
      <c r="R485" s="21" t="str">
        <f>IF(C485="","",IFERROR(INDEX('THAM SỐ'!$F$5:$F$7,MATCH(C485,'THAM SỐ'!$A$5:$A$7,0)),""))</f>
        <v/>
      </c>
      <c r="S485" s="22" t="str">
        <f t="shared" si="21"/>
        <v/>
      </c>
      <c r="T485" s="16" t="str">
        <f t="shared" si="22"/>
        <v/>
      </c>
      <c r="U485" s="23" t="str">
        <f t="shared" si="23"/>
        <v/>
      </c>
      <c r="V485" s="18"/>
    </row>
    <row r="486" spans="1:22" x14ac:dyDescent="0.45">
      <c r="A486" s="16" t="str">
        <f>IF(B486="","","LDX-"&amp;TEXT(B486,"yymmdd")&amp;"-"&amp;TEXT(COUNTIFS(B$5:B486,B486),"00"))</f>
        <v/>
      </c>
      <c r="B486" s="17"/>
      <c r="C486" s="18"/>
      <c r="D486" s="18"/>
      <c r="E486" s="18"/>
      <c r="F486" s="18"/>
      <c r="G486" s="18"/>
      <c r="H486" s="18"/>
      <c r="I486" s="18"/>
      <c r="J486" s="19"/>
      <c r="K486" s="20"/>
      <c r="L486" s="20"/>
      <c r="M486" s="19"/>
      <c r="N486" s="18"/>
      <c r="O486" s="18"/>
      <c r="P486" s="18"/>
      <c r="Q486" s="18"/>
      <c r="R486" s="21" t="str">
        <f>IF(C486="","",IFERROR(INDEX('THAM SỐ'!$F$5:$F$7,MATCH(C486,'THAM SỐ'!$A$5:$A$7,0)),""))</f>
        <v/>
      </c>
      <c r="S486" s="22" t="str">
        <f t="shared" si="21"/>
        <v/>
      </c>
      <c r="T486" s="16" t="str">
        <f t="shared" si="22"/>
        <v/>
      </c>
      <c r="U486" s="23" t="str">
        <f t="shared" si="23"/>
        <v/>
      </c>
      <c r="V486" s="18"/>
    </row>
    <row r="487" spans="1:22" x14ac:dyDescent="0.45">
      <c r="A487" s="16" t="str">
        <f>IF(B487="","","LDX-"&amp;TEXT(B487,"yymmdd")&amp;"-"&amp;TEXT(COUNTIFS(B$5:B487,B487),"00"))</f>
        <v/>
      </c>
      <c r="B487" s="17"/>
      <c r="C487" s="18"/>
      <c r="D487" s="18"/>
      <c r="E487" s="18"/>
      <c r="F487" s="18"/>
      <c r="G487" s="18"/>
      <c r="H487" s="18"/>
      <c r="I487" s="18"/>
      <c r="J487" s="19"/>
      <c r="K487" s="20"/>
      <c r="L487" s="20"/>
      <c r="M487" s="19"/>
      <c r="N487" s="18"/>
      <c r="O487" s="18"/>
      <c r="P487" s="18"/>
      <c r="Q487" s="18"/>
      <c r="R487" s="21" t="str">
        <f>IF(C487="","",IFERROR(INDEX('THAM SỐ'!$F$5:$F$7,MATCH(C487,'THAM SỐ'!$A$5:$A$7,0)),""))</f>
        <v/>
      </c>
      <c r="S487" s="22" t="str">
        <f t="shared" si="21"/>
        <v/>
      </c>
      <c r="T487" s="16" t="str">
        <f t="shared" si="22"/>
        <v/>
      </c>
      <c r="U487" s="23" t="str">
        <f t="shared" si="23"/>
        <v/>
      </c>
      <c r="V487" s="18"/>
    </row>
    <row r="488" spans="1:22" x14ac:dyDescent="0.45">
      <c r="A488" s="16" t="str">
        <f>IF(B488="","","LDX-"&amp;TEXT(B488,"yymmdd")&amp;"-"&amp;TEXT(COUNTIFS(B$5:B488,B488),"00"))</f>
        <v/>
      </c>
      <c r="B488" s="17"/>
      <c r="C488" s="18"/>
      <c r="D488" s="18"/>
      <c r="E488" s="18"/>
      <c r="F488" s="18"/>
      <c r="G488" s="18"/>
      <c r="H488" s="18"/>
      <c r="I488" s="18"/>
      <c r="J488" s="19"/>
      <c r="K488" s="20"/>
      <c r="L488" s="20"/>
      <c r="M488" s="19"/>
      <c r="N488" s="18"/>
      <c r="O488" s="18"/>
      <c r="P488" s="18"/>
      <c r="Q488" s="18"/>
      <c r="R488" s="21" t="str">
        <f>IF(C488="","",IFERROR(INDEX('THAM SỐ'!$F$5:$F$7,MATCH(C488,'THAM SỐ'!$A$5:$A$7,0)),""))</f>
        <v/>
      </c>
      <c r="S488" s="22" t="str">
        <f t="shared" si="21"/>
        <v/>
      </c>
      <c r="T488" s="16" t="str">
        <f t="shared" si="22"/>
        <v/>
      </c>
      <c r="U488" s="23" t="str">
        <f t="shared" si="23"/>
        <v/>
      </c>
      <c r="V488" s="18"/>
    </row>
    <row r="489" spans="1:22" x14ac:dyDescent="0.45">
      <c r="A489" s="16" t="str">
        <f>IF(B489="","","LDX-"&amp;TEXT(B489,"yymmdd")&amp;"-"&amp;TEXT(COUNTIFS(B$5:B489,B489),"00"))</f>
        <v/>
      </c>
      <c r="B489" s="17"/>
      <c r="C489" s="18"/>
      <c r="D489" s="18"/>
      <c r="E489" s="18"/>
      <c r="F489" s="18"/>
      <c r="G489" s="18"/>
      <c r="H489" s="18"/>
      <c r="I489" s="18"/>
      <c r="J489" s="19"/>
      <c r="K489" s="20"/>
      <c r="L489" s="20"/>
      <c r="M489" s="19"/>
      <c r="N489" s="18"/>
      <c r="O489" s="18"/>
      <c r="P489" s="18"/>
      <c r="Q489" s="18"/>
      <c r="R489" s="21" t="str">
        <f>IF(C489="","",IFERROR(INDEX('THAM SỐ'!$F$5:$F$7,MATCH(C489,'THAM SỐ'!$A$5:$A$7,0)),""))</f>
        <v/>
      </c>
      <c r="S489" s="22" t="str">
        <f t="shared" si="21"/>
        <v/>
      </c>
      <c r="T489" s="16" t="str">
        <f t="shared" si="22"/>
        <v/>
      </c>
      <c r="U489" s="23" t="str">
        <f t="shared" si="23"/>
        <v/>
      </c>
      <c r="V489" s="18"/>
    </row>
    <row r="490" spans="1:22" x14ac:dyDescent="0.45">
      <c r="A490" s="16" t="str">
        <f>IF(B490="","","LDX-"&amp;TEXT(B490,"yymmdd")&amp;"-"&amp;TEXT(COUNTIFS(B$5:B490,B490),"00"))</f>
        <v/>
      </c>
      <c r="B490" s="17"/>
      <c r="C490" s="18"/>
      <c r="D490" s="18"/>
      <c r="E490" s="18"/>
      <c r="F490" s="18"/>
      <c r="G490" s="18"/>
      <c r="H490" s="18"/>
      <c r="I490" s="18"/>
      <c r="J490" s="19"/>
      <c r="K490" s="20"/>
      <c r="L490" s="20"/>
      <c r="M490" s="19"/>
      <c r="N490" s="18"/>
      <c r="O490" s="18"/>
      <c r="P490" s="18"/>
      <c r="Q490" s="18"/>
      <c r="R490" s="21" t="str">
        <f>IF(C490="","",IFERROR(INDEX('THAM SỐ'!$F$5:$F$7,MATCH(C490,'THAM SỐ'!$A$5:$A$7,0)),""))</f>
        <v/>
      </c>
      <c r="S490" s="22" t="str">
        <f t="shared" si="21"/>
        <v/>
      </c>
      <c r="T490" s="16" t="str">
        <f t="shared" si="22"/>
        <v/>
      </c>
      <c r="U490" s="23" t="str">
        <f t="shared" si="23"/>
        <v/>
      </c>
      <c r="V490" s="18"/>
    </row>
    <row r="491" spans="1:22" x14ac:dyDescent="0.45">
      <c r="A491" s="16" t="str">
        <f>IF(B491="","","LDX-"&amp;TEXT(B491,"yymmdd")&amp;"-"&amp;TEXT(COUNTIFS(B$5:B491,B491),"00"))</f>
        <v/>
      </c>
      <c r="B491" s="17"/>
      <c r="C491" s="18"/>
      <c r="D491" s="18"/>
      <c r="E491" s="18"/>
      <c r="F491" s="18"/>
      <c r="G491" s="18"/>
      <c r="H491" s="18"/>
      <c r="I491" s="18"/>
      <c r="J491" s="19"/>
      <c r="K491" s="20"/>
      <c r="L491" s="20"/>
      <c r="M491" s="19"/>
      <c r="N491" s="18"/>
      <c r="O491" s="18"/>
      <c r="P491" s="18"/>
      <c r="Q491" s="18"/>
      <c r="R491" s="21" t="str">
        <f>IF(C491="","",IFERROR(INDEX('THAM SỐ'!$F$5:$F$7,MATCH(C491,'THAM SỐ'!$A$5:$A$7,0)),""))</f>
        <v/>
      </c>
      <c r="S491" s="22" t="str">
        <f t="shared" si="21"/>
        <v/>
      </c>
      <c r="T491" s="16" t="str">
        <f t="shared" si="22"/>
        <v/>
      </c>
      <c r="U491" s="23" t="str">
        <f t="shared" si="23"/>
        <v/>
      </c>
      <c r="V491" s="18"/>
    </row>
    <row r="492" spans="1:22" x14ac:dyDescent="0.45">
      <c r="A492" s="16" t="str">
        <f>IF(B492="","","LDX-"&amp;TEXT(B492,"yymmdd")&amp;"-"&amp;TEXT(COUNTIFS(B$5:B492,B492),"00"))</f>
        <v/>
      </c>
      <c r="B492" s="17"/>
      <c r="C492" s="18"/>
      <c r="D492" s="18"/>
      <c r="E492" s="18"/>
      <c r="F492" s="18"/>
      <c r="G492" s="18"/>
      <c r="H492" s="18"/>
      <c r="I492" s="18"/>
      <c r="J492" s="19"/>
      <c r="K492" s="20"/>
      <c r="L492" s="20"/>
      <c r="M492" s="19"/>
      <c r="N492" s="18"/>
      <c r="O492" s="18"/>
      <c r="P492" s="18"/>
      <c r="Q492" s="18"/>
      <c r="R492" s="21" t="str">
        <f>IF(C492="","",IFERROR(INDEX('THAM SỐ'!$F$5:$F$7,MATCH(C492,'THAM SỐ'!$A$5:$A$7,0)),""))</f>
        <v/>
      </c>
      <c r="S492" s="22" t="str">
        <f t="shared" si="21"/>
        <v/>
      </c>
      <c r="T492" s="16" t="str">
        <f t="shared" si="22"/>
        <v/>
      </c>
      <c r="U492" s="23" t="str">
        <f t="shared" si="23"/>
        <v/>
      </c>
      <c r="V492" s="18"/>
    </row>
    <row r="493" spans="1:22" x14ac:dyDescent="0.45">
      <c r="A493" s="16" t="str">
        <f>IF(B493="","","LDX-"&amp;TEXT(B493,"yymmdd")&amp;"-"&amp;TEXT(COUNTIFS(B$5:B493,B493),"00"))</f>
        <v/>
      </c>
      <c r="B493" s="17"/>
      <c r="C493" s="18"/>
      <c r="D493" s="18"/>
      <c r="E493" s="18"/>
      <c r="F493" s="18"/>
      <c r="G493" s="18"/>
      <c r="H493" s="18"/>
      <c r="I493" s="18"/>
      <c r="J493" s="19"/>
      <c r="K493" s="20"/>
      <c r="L493" s="20"/>
      <c r="M493" s="19"/>
      <c r="N493" s="18"/>
      <c r="O493" s="18"/>
      <c r="P493" s="18"/>
      <c r="Q493" s="18"/>
      <c r="R493" s="21" t="str">
        <f>IF(C493="","",IFERROR(INDEX('THAM SỐ'!$F$5:$F$7,MATCH(C493,'THAM SỐ'!$A$5:$A$7,0)),""))</f>
        <v/>
      </c>
      <c r="S493" s="22" t="str">
        <f t="shared" si="21"/>
        <v/>
      </c>
      <c r="T493" s="16" t="str">
        <f t="shared" si="22"/>
        <v/>
      </c>
      <c r="U493" s="23" t="str">
        <f t="shared" si="23"/>
        <v/>
      </c>
      <c r="V493" s="18"/>
    </row>
    <row r="494" spans="1:22" x14ac:dyDescent="0.45">
      <c r="A494" s="16" t="str">
        <f>IF(B494="","","LDX-"&amp;TEXT(B494,"yymmdd")&amp;"-"&amp;TEXT(COUNTIFS(B$5:B494,B494),"00"))</f>
        <v/>
      </c>
      <c r="B494" s="17"/>
      <c r="C494" s="18"/>
      <c r="D494" s="18"/>
      <c r="E494" s="18"/>
      <c r="F494" s="18"/>
      <c r="G494" s="18"/>
      <c r="H494" s="18"/>
      <c r="I494" s="18"/>
      <c r="J494" s="19"/>
      <c r="K494" s="20"/>
      <c r="L494" s="20"/>
      <c r="M494" s="19"/>
      <c r="N494" s="18"/>
      <c r="O494" s="18"/>
      <c r="P494" s="18"/>
      <c r="Q494" s="18"/>
      <c r="R494" s="21" t="str">
        <f>IF(C494="","",IFERROR(INDEX('THAM SỐ'!$F$5:$F$7,MATCH(C494,'THAM SỐ'!$A$5:$A$7,0)),""))</f>
        <v/>
      </c>
      <c r="S494" s="22" t="str">
        <f t="shared" si="21"/>
        <v/>
      </c>
      <c r="T494" s="16" t="str">
        <f t="shared" si="22"/>
        <v/>
      </c>
      <c r="U494" s="23" t="str">
        <f t="shared" si="23"/>
        <v/>
      </c>
      <c r="V494" s="18"/>
    </row>
    <row r="495" spans="1:22" x14ac:dyDescent="0.45">
      <c r="A495" s="16" t="str">
        <f>IF(B495="","","LDX-"&amp;TEXT(B495,"yymmdd")&amp;"-"&amp;TEXT(COUNTIFS(B$5:B495,B495),"00"))</f>
        <v/>
      </c>
      <c r="B495" s="17"/>
      <c r="C495" s="18"/>
      <c r="D495" s="18"/>
      <c r="E495" s="18"/>
      <c r="F495" s="18"/>
      <c r="G495" s="18"/>
      <c r="H495" s="18"/>
      <c r="I495" s="18"/>
      <c r="J495" s="19"/>
      <c r="K495" s="20"/>
      <c r="L495" s="20"/>
      <c r="M495" s="19"/>
      <c r="N495" s="18"/>
      <c r="O495" s="18"/>
      <c r="P495" s="18"/>
      <c r="Q495" s="18"/>
      <c r="R495" s="21" t="str">
        <f>IF(C495="","",IFERROR(INDEX('THAM SỐ'!$F$5:$F$7,MATCH(C495,'THAM SỐ'!$A$5:$A$7,0)),""))</f>
        <v/>
      </c>
      <c r="S495" s="22" t="str">
        <f t="shared" si="21"/>
        <v/>
      </c>
      <c r="T495" s="16" t="str">
        <f t="shared" si="22"/>
        <v/>
      </c>
      <c r="U495" s="23" t="str">
        <f t="shared" si="23"/>
        <v/>
      </c>
      <c r="V495" s="18"/>
    </row>
    <row r="496" spans="1:22" x14ac:dyDescent="0.45">
      <c r="A496" s="16" t="str">
        <f>IF(B496="","","LDX-"&amp;TEXT(B496,"yymmdd")&amp;"-"&amp;TEXT(COUNTIFS(B$5:B496,B496),"00"))</f>
        <v/>
      </c>
      <c r="B496" s="17"/>
      <c r="C496" s="18"/>
      <c r="D496" s="18"/>
      <c r="E496" s="18"/>
      <c r="F496" s="18"/>
      <c r="G496" s="18"/>
      <c r="H496" s="18"/>
      <c r="I496" s="18"/>
      <c r="J496" s="19"/>
      <c r="K496" s="20"/>
      <c r="L496" s="20"/>
      <c r="M496" s="19"/>
      <c r="N496" s="18"/>
      <c r="O496" s="18"/>
      <c r="P496" s="18"/>
      <c r="Q496" s="18"/>
      <c r="R496" s="21" t="str">
        <f>IF(C496="","",IFERROR(INDEX('THAM SỐ'!$F$5:$F$7,MATCH(C496,'THAM SỐ'!$A$5:$A$7,0)),""))</f>
        <v/>
      </c>
      <c r="S496" s="22" t="str">
        <f t="shared" si="21"/>
        <v/>
      </c>
      <c r="T496" s="16" t="str">
        <f t="shared" si="22"/>
        <v/>
      </c>
      <c r="U496" s="23" t="str">
        <f t="shared" si="23"/>
        <v/>
      </c>
      <c r="V496" s="18"/>
    </row>
    <row r="497" spans="1:22" x14ac:dyDescent="0.45">
      <c r="A497" s="16" t="str">
        <f>IF(B497="","","LDX-"&amp;TEXT(B497,"yymmdd")&amp;"-"&amp;TEXT(COUNTIFS(B$5:B497,B497),"00"))</f>
        <v/>
      </c>
      <c r="B497" s="17"/>
      <c r="C497" s="18"/>
      <c r="D497" s="18"/>
      <c r="E497" s="18"/>
      <c r="F497" s="18"/>
      <c r="G497" s="18"/>
      <c r="H497" s="18"/>
      <c r="I497" s="18"/>
      <c r="J497" s="19"/>
      <c r="K497" s="20"/>
      <c r="L497" s="20"/>
      <c r="M497" s="19"/>
      <c r="N497" s="18"/>
      <c r="O497" s="18"/>
      <c r="P497" s="18"/>
      <c r="Q497" s="18"/>
      <c r="R497" s="21" t="str">
        <f>IF(C497="","",IFERROR(INDEX('THAM SỐ'!$F$5:$F$7,MATCH(C497,'THAM SỐ'!$A$5:$A$7,0)),""))</f>
        <v/>
      </c>
      <c r="S497" s="22" t="str">
        <f t="shared" si="21"/>
        <v/>
      </c>
      <c r="T497" s="16" t="str">
        <f t="shared" si="22"/>
        <v/>
      </c>
      <c r="U497" s="23" t="str">
        <f t="shared" si="23"/>
        <v/>
      </c>
      <c r="V497" s="18"/>
    </row>
    <row r="498" spans="1:22" x14ac:dyDescent="0.45">
      <c r="A498" s="16" t="str">
        <f>IF(B498="","","LDX-"&amp;TEXT(B498,"yymmdd")&amp;"-"&amp;TEXT(COUNTIFS(B$5:B498,B498),"00"))</f>
        <v/>
      </c>
      <c r="B498" s="17"/>
      <c r="C498" s="18"/>
      <c r="D498" s="18"/>
      <c r="E498" s="18"/>
      <c r="F498" s="18"/>
      <c r="G498" s="18"/>
      <c r="H498" s="18"/>
      <c r="I498" s="18"/>
      <c r="J498" s="19"/>
      <c r="K498" s="20"/>
      <c r="L498" s="20"/>
      <c r="M498" s="19"/>
      <c r="N498" s="18"/>
      <c r="O498" s="18"/>
      <c r="P498" s="18"/>
      <c r="Q498" s="18"/>
      <c r="R498" s="21" t="str">
        <f>IF(C498="","",IFERROR(INDEX('THAM SỐ'!$F$5:$F$7,MATCH(C498,'THAM SỐ'!$A$5:$A$7,0)),""))</f>
        <v/>
      </c>
      <c r="S498" s="22" t="str">
        <f t="shared" si="21"/>
        <v/>
      </c>
      <c r="T498" s="16" t="str">
        <f t="shared" si="22"/>
        <v/>
      </c>
      <c r="U498" s="23" t="str">
        <f t="shared" si="23"/>
        <v/>
      </c>
      <c r="V498" s="18"/>
    </row>
    <row r="499" spans="1:22" x14ac:dyDescent="0.45">
      <c r="A499" s="16" t="str">
        <f>IF(B499="","","LDX-"&amp;TEXT(B499,"yymmdd")&amp;"-"&amp;TEXT(COUNTIFS(B$5:B499,B499),"00"))</f>
        <v/>
      </c>
      <c r="B499" s="17"/>
      <c r="C499" s="18"/>
      <c r="D499" s="18"/>
      <c r="E499" s="18"/>
      <c r="F499" s="18"/>
      <c r="G499" s="18"/>
      <c r="H499" s="18"/>
      <c r="I499" s="18"/>
      <c r="J499" s="19"/>
      <c r="K499" s="20"/>
      <c r="L499" s="20"/>
      <c r="M499" s="19"/>
      <c r="N499" s="18"/>
      <c r="O499" s="18"/>
      <c r="P499" s="18"/>
      <c r="Q499" s="18"/>
      <c r="R499" s="21" t="str">
        <f>IF(C499="","",IFERROR(INDEX('THAM SỐ'!$F$5:$F$7,MATCH(C499,'THAM SỐ'!$A$5:$A$7,0)),""))</f>
        <v/>
      </c>
      <c r="S499" s="22" t="str">
        <f t="shared" si="21"/>
        <v/>
      </c>
      <c r="T499" s="16" t="str">
        <f t="shared" si="22"/>
        <v/>
      </c>
      <c r="U499" s="23" t="str">
        <f t="shared" si="23"/>
        <v/>
      </c>
      <c r="V499" s="18"/>
    </row>
    <row r="500" spans="1:22" x14ac:dyDescent="0.45">
      <c r="A500" s="16" t="str">
        <f>IF(B500="","","LDX-"&amp;TEXT(B500,"yymmdd")&amp;"-"&amp;TEXT(COUNTIFS(B$5:B500,B500),"00"))</f>
        <v/>
      </c>
      <c r="B500" s="17"/>
      <c r="C500" s="18"/>
      <c r="D500" s="18"/>
      <c r="E500" s="18"/>
      <c r="F500" s="18"/>
      <c r="G500" s="18"/>
      <c r="H500" s="18"/>
      <c r="I500" s="18"/>
      <c r="J500" s="19"/>
      <c r="K500" s="20"/>
      <c r="L500" s="20"/>
      <c r="M500" s="19"/>
      <c r="N500" s="18"/>
      <c r="O500" s="18"/>
      <c r="P500" s="18"/>
      <c r="Q500" s="18"/>
      <c r="R500" s="21" t="str">
        <f>IF(C500="","",IFERROR(INDEX('THAM SỐ'!$F$5:$F$7,MATCH(C500,'THAM SỐ'!$A$5:$A$7,0)),""))</f>
        <v/>
      </c>
      <c r="S500" s="22" t="str">
        <f t="shared" si="21"/>
        <v/>
      </c>
      <c r="T500" s="16" t="str">
        <f t="shared" si="22"/>
        <v/>
      </c>
      <c r="U500" s="23" t="str">
        <f t="shared" si="23"/>
        <v/>
      </c>
      <c r="V500" s="18"/>
    </row>
    <row r="501" spans="1:22" x14ac:dyDescent="0.45">
      <c r="A501" s="16" t="str">
        <f>IF(B501="","","LDX-"&amp;TEXT(B501,"yymmdd")&amp;"-"&amp;TEXT(COUNTIFS(B$5:B501,B501),"00"))</f>
        <v/>
      </c>
      <c r="B501" s="17"/>
      <c r="C501" s="18"/>
      <c r="D501" s="18"/>
      <c r="E501" s="18"/>
      <c r="F501" s="18"/>
      <c r="G501" s="18"/>
      <c r="H501" s="18"/>
      <c r="I501" s="18"/>
      <c r="J501" s="19"/>
      <c r="K501" s="20"/>
      <c r="L501" s="20"/>
      <c r="M501" s="19"/>
      <c r="N501" s="18"/>
      <c r="O501" s="18"/>
      <c r="P501" s="18"/>
      <c r="Q501" s="18"/>
      <c r="R501" s="21" t="str">
        <f>IF(C501="","",IFERROR(INDEX('THAM SỐ'!$F$5:$F$7,MATCH(C501,'THAM SỐ'!$A$5:$A$7,0)),""))</f>
        <v/>
      </c>
      <c r="S501" s="22" t="str">
        <f t="shared" si="21"/>
        <v/>
      </c>
      <c r="T501" s="16" t="str">
        <f t="shared" si="22"/>
        <v/>
      </c>
      <c r="U501" s="23" t="str">
        <f t="shared" si="23"/>
        <v/>
      </c>
      <c r="V501" s="18"/>
    </row>
    <row r="502" spans="1:22" x14ac:dyDescent="0.45">
      <c r="A502" s="16" t="str">
        <f>IF(B502="","","LDX-"&amp;TEXT(B502,"yymmdd")&amp;"-"&amp;TEXT(COUNTIFS(B$5:B502,B502),"00"))</f>
        <v/>
      </c>
      <c r="B502" s="17"/>
      <c r="C502" s="18"/>
      <c r="D502" s="18"/>
      <c r="E502" s="18"/>
      <c r="F502" s="18"/>
      <c r="G502" s="18"/>
      <c r="H502" s="18"/>
      <c r="I502" s="18"/>
      <c r="J502" s="19"/>
      <c r="K502" s="20"/>
      <c r="L502" s="20"/>
      <c r="M502" s="19"/>
      <c r="N502" s="18"/>
      <c r="O502" s="18"/>
      <c r="P502" s="18"/>
      <c r="Q502" s="18"/>
      <c r="R502" s="21" t="str">
        <f>IF(C502="","",IFERROR(INDEX('THAM SỐ'!$F$5:$F$7,MATCH(C502,'THAM SỐ'!$A$5:$A$7,0)),""))</f>
        <v/>
      </c>
      <c r="S502" s="22" t="str">
        <f t="shared" si="21"/>
        <v/>
      </c>
      <c r="T502" s="16" t="str">
        <f t="shared" si="22"/>
        <v/>
      </c>
      <c r="U502" s="23" t="str">
        <f t="shared" si="23"/>
        <v/>
      </c>
      <c r="V502" s="18"/>
    </row>
    <row r="503" spans="1:22" x14ac:dyDescent="0.45">
      <c r="A503" s="16" t="str">
        <f>IF(B503="","","LDX-"&amp;TEXT(B503,"yymmdd")&amp;"-"&amp;TEXT(COUNTIFS(B$5:B503,B503),"00"))</f>
        <v/>
      </c>
      <c r="B503" s="17"/>
      <c r="C503" s="18"/>
      <c r="D503" s="18"/>
      <c r="E503" s="18"/>
      <c r="F503" s="18"/>
      <c r="G503" s="18"/>
      <c r="H503" s="18"/>
      <c r="I503" s="18"/>
      <c r="J503" s="19"/>
      <c r="K503" s="20"/>
      <c r="L503" s="20"/>
      <c r="M503" s="19"/>
      <c r="N503" s="18"/>
      <c r="O503" s="18"/>
      <c r="P503" s="18"/>
      <c r="Q503" s="18"/>
      <c r="R503" s="21" t="str">
        <f>IF(C503="","",IFERROR(INDEX('THAM SỐ'!$F$5:$F$7,MATCH(C503,'THAM SỐ'!$A$5:$A$7,0)),""))</f>
        <v/>
      </c>
      <c r="S503" s="22" t="str">
        <f t="shared" si="21"/>
        <v/>
      </c>
      <c r="T503" s="16" t="str">
        <f t="shared" si="22"/>
        <v/>
      </c>
      <c r="U503" s="23" t="str">
        <f t="shared" si="23"/>
        <v/>
      </c>
      <c r="V503" s="18"/>
    </row>
    <row r="504" spans="1:22" x14ac:dyDescent="0.45">
      <c r="A504" s="16" t="str">
        <f>IF(B504="","","LDX-"&amp;TEXT(B504,"yymmdd")&amp;"-"&amp;TEXT(COUNTIFS(B$5:B504,B504),"00"))</f>
        <v/>
      </c>
      <c r="B504" s="17"/>
      <c r="C504" s="18"/>
      <c r="D504" s="18"/>
      <c r="E504" s="18"/>
      <c r="F504" s="18"/>
      <c r="G504" s="18"/>
      <c r="H504" s="18"/>
      <c r="I504" s="18"/>
      <c r="J504" s="19"/>
      <c r="K504" s="20"/>
      <c r="L504" s="20"/>
      <c r="M504" s="19"/>
      <c r="N504" s="18"/>
      <c r="O504" s="18"/>
      <c r="P504" s="18"/>
      <c r="Q504" s="18"/>
      <c r="R504" s="21" t="str">
        <f>IF(C504="","",IFERROR(INDEX('THAM SỐ'!$F$5:$F$7,MATCH(C504,'THAM SỐ'!$A$5:$A$7,0)),""))</f>
        <v/>
      </c>
      <c r="S504" s="22" t="str">
        <f t="shared" si="21"/>
        <v/>
      </c>
      <c r="T504" s="16" t="str">
        <f t="shared" si="22"/>
        <v/>
      </c>
      <c r="U504" s="23" t="str">
        <f t="shared" si="23"/>
        <v/>
      </c>
      <c r="V504" s="18"/>
    </row>
    <row r="505" spans="1:22" x14ac:dyDescent="0.45">
      <c r="A505" s="16" t="str">
        <f>IF(B505="","","LDX-"&amp;TEXT(B505,"yymmdd")&amp;"-"&amp;TEXT(COUNTIFS(B$5:B505,B505),"00"))</f>
        <v/>
      </c>
      <c r="B505" s="17"/>
      <c r="C505" s="18"/>
      <c r="D505" s="18"/>
      <c r="E505" s="18"/>
      <c r="F505" s="18"/>
      <c r="G505" s="18"/>
      <c r="H505" s="18"/>
      <c r="I505" s="18"/>
      <c r="J505" s="19"/>
      <c r="K505" s="20"/>
      <c r="L505" s="20"/>
      <c r="M505" s="19"/>
      <c r="N505" s="18"/>
      <c r="O505" s="18"/>
      <c r="P505" s="18"/>
      <c r="Q505" s="18"/>
      <c r="R505" s="21" t="str">
        <f>IF(C505="","",IFERROR(INDEX('THAM SỐ'!$F$5:$F$7,MATCH(C505,'THAM SỐ'!$A$5:$A$7,0)),""))</f>
        <v/>
      </c>
      <c r="S505" s="22" t="str">
        <f t="shared" si="21"/>
        <v/>
      </c>
      <c r="T505" s="16" t="str">
        <f t="shared" si="22"/>
        <v/>
      </c>
      <c r="U505" s="23" t="str">
        <f t="shared" si="23"/>
        <v/>
      </c>
      <c r="V505" s="18"/>
    </row>
    <row r="506" spans="1:22" x14ac:dyDescent="0.45">
      <c r="A506" s="16" t="str">
        <f>IF(B506="","","LDX-"&amp;TEXT(B506,"yymmdd")&amp;"-"&amp;TEXT(COUNTIFS(B$5:B506,B506),"00"))</f>
        <v/>
      </c>
      <c r="B506" s="17"/>
      <c r="C506" s="18"/>
      <c r="D506" s="18"/>
      <c r="E506" s="18"/>
      <c r="F506" s="18"/>
      <c r="G506" s="18"/>
      <c r="H506" s="18"/>
      <c r="I506" s="18"/>
      <c r="J506" s="19"/>
      <c r="K506" s="20"/>
      <c r="L506" s="20"/>
      <c r="M506" s="19"/>
      <c r="N506" s="18"/>
      <c r="O506" s="18"/>
      <c r="P506" s="18"/>
      <c r="Q506" s="18"/>
      <c r="R506" s="21" t="str">
        <f>IF(C506="","",IFERROR(INDEX('THAM SỐ'!$F$5:$F$7,MATCH(C506,'THAM SỐ'!$A$5:$A$7,0)),""))</f>
        <v/>
      </c>
      <c r="S506" s="22" t="str">
        <f t="shared" si="21"/>
        <v/>
      </c>
      <c r="T506" s="16" t="str">
        <f t="shared" si="22"/>
        <v/>
      </c>
      <c r="U506" s="23" t="str">
        <f t="shared" si="23"/>
        <v/>
      </c>
      <c r="V506" s="18"/>
    </row>
    <row r="507" spans="1:22" x14ac:dyDescent="0.45">
      <c r="A507" s="16" t="str">
        <f>IF(B507="","","LDX-"&amp;TEXT(B507,"yymmdd")&amp;"-"&amp;TEXT(COUNTIFS(B$5:B507,B507),"00"))</f>
        <v/>
      </c>
      <c r="B507" s="17"/>
      <c r="C507" s="18"/>
      <c r="D507" s="18"/>
      <c r="E507" s="18"/>
      <c r="F507" s="18"/>
      <c r="G507" s="18"/>
      <c r="H507" s="18"/>
      <c r="I507" s="18"/>
      <c r="J507" s="19"/>
      <c r="K507" s="20"/>
      <c r="L507" s="20"/>
      <c r="M507" s="19"/>
      <c r="N507" s="18"/>
      <c r="O507" s="18"/>
      <c r="P507" s="18"/>
      <c r="Q507" s="18"/>
      <c r="R507" s="21" t="str">
        <f>IF(C507="","",IFERROR(INDEX('THAM SỐ'!$F$5:$F$7,MATCH(C507,'THAM SỐ'!$A$5:$A$7,0)),""))</f>
        <v/>
      </c>
      <c r="S507" s="22" t="str">
        <f t="shared" si="21"/>
        <v/>
      </c>
      <c r="T507" s="16" t="str">
        <f t="shared" si="22"/>
        <v/>
      </c>
      <c r="U507" s="23" t="str">
        <f t="shared" si="23"/>
        <v/>
      </c>
      <c r="V507" s="18"/>
    </row>
    <row r="508" spans="1:22" x14ac:dyDescent="0.45">
      <c r="A508" s="16" t="str">
        <f>IF(B508="","","LDX-"&amp;TEXT(B508,"yymmdd")&amp;"-"&amp;TEXT(COUNTIFS(B$5:B508,B508),"00"))</f>
        <v/>
      </c>
      <c r="B508" s="17"/>
      <c r="C508" s="18"/>
      <c r="D508" s="18"/>
      <c r="E508" s="18"/>
      <c r="F508" s="18"/>
      <c r="G508" s="18"/>
      <c r="H508" s="18"/>
      <c r="I508" s="18"/>
      <c r="J508" s="19"/>
      <c r="K508" s="20"/>
      <c r="L508" s="20"/>
      <c r="M508" s="19"/>
      <c r="N508" s="18"/>
      <c r="O508" s="18"/>
      <c r="P508" s="18"/>
      <c r="Q508" s="18"/>
      <c r="R508" s="21" t="str">
        <f>IF(C508="","",IFERROR(INDEX('THAM SỐ'!$F$5:$F$7,MATCH(C508,'THAM SỐ'!$A$5:$A$7,0)),""))</f>
        <v/>
      </c>
      <c r="S508" s="22" t="str">
        <f t="shared" si="21"/>
        <v/>
      </c>
      <c r="T508" s="16" t="str">
        <f t="shared" si="22"/>
        <v/>
      </c>
      <c r="U508" s="23" t="str">
        <f t="shared" si="23"/>
        <v/>
      </c>
      <c r="V508" s="18"/>
    </row>
    <row r="509" spans="1:22" x14ac:dyDescent="0.45">
      <c r="A509" s="16" t="str">
        <f>IF(B509="","","LDX-"&amp;TEXT(B509,"yymmdd")&amp;"-"&amp;TEXT(COUNTIFS(B$5:B509,B509),"00"))</f>
        <v/>
      </c>
      <c r="B509" s="17"/>
      <c r="C509" s="18"/>
      <c r="D509" s="18"/>
      <c r="E509" s="18"/>
      <c r="F509" s="18"/>
      <c r="G509" s="18"/>
      <c r="H509" s="18"/>
      <c r="I509" s="18"/>
      <c r="J509" s="19"/>
      <c r="K509" s="20"/>
      <c r="L509" s="20"/>
      <c r="M509" s="19"/>
      <c r="N509" s="18"/>
      <c r="O509" s="18"/>
      <c r="P509" s="18"/>
      <c r="Q509" s="18"/>
      <c r="R509" s="21" t="str">
        <f>IF(C509="","",IFERROR(INDEX('THAM SỐ'!$F$5:$F$7,MATCH(C509,'THAM SỐ'!$A$5:$A$7,0)),""))</f>
        <v/>
      </c>
      <c r="S509" s="22" t="str">
        <f t="shared" si="21"/>
        <v/>
      </c>
      <c r="T509" s="16" t="str">
        <f t="shared" si="22"/>
        <v/>
      </c>
      <c r="U509" s="23" t="str">
        <f t="shared" si="23"/>
        <v/>
      </c>
      <c r="V509" s="18"/>
    </row>
    <row r="510" spans="1:22" x14ac:dyDescent="0.45">
      <c r="A510" s="16" t="str">
        <f>IF(B510="","","LDX-"&amp;TEXT(B510,"yymmdd")&amp;"-"&amp;TEXT(COUNTIFS(B$5:B510,B510),"00"))</f>
        <v/>
      </c>
      <c r="B510" s="17"/>
      <c r="C510" s="18"/>
      <c r="D510" s="18"/>
      <c r="E510" s="18"/>
      <c r="F510" s="18"/>
      <c r="G510" s="18"/>
      <c r="H510" s="18"/>
      <c r="I510" s="18"/>
      <c r="J510" s="19"/>
      <c r="K510" s="20"/>
      <c r="L510" s="20"/>
      <c r="M510" s="19"/>
      <c r="N510" s="18"/>
      <c r="O510" s="18"/>
      <c r="P510" s="18"/>
      <c r="Q510" s="18"/>
      <c r="R510" s="21" t="str">
        <f>IF(C510="","",IFERROR(INDEX('THAM SỐ'!$F$5:$F$7,MATCH(C510,'THAM SỐ'!$A$5:$A$7,0)),""))</f>
        <v/>
      </c>
      <c r="S510" s="22" t="str">
        <f t="shared" si="21"/>
        <v/>
      </c>
      <c r="T510" s="16" t="str">
        <f t="shared" si="22"/>
        <v/>
      </c>
      <c r="U510" s="23" t="str">
        <f t="shared" si="23"/>
        <v/>
      </c>
      <c r="V510" s="18"/>
    </row>
    <row r="511" spans="1:22" x14ac:dyDescent="0.45">
      <c r="A511" s="16" t="str">
        <f>IF(B511="","","LDX-"&amp;TEXT(B511,"yymmdd")&amp;"-"&amp;TEXT(COUNTIFS(B$5:B511,B511),"00"))</f>
        <v/>
      </c>
      <c r="B511" s="17"/>
      <c r="C511" s="18"/>
      <c r="D511" s="18"/>
      <c r="E511" s="18"/>
      <c r="F511" s="18"/>
      <c r="G511" s="18"/>
      <c r="H511" s="18"/>
      <c r="I511" s="18"/>
      <c r="J511" s="19"/>
      <c r="K511" s="20"/>
      <c r="L511" s="20"/>
      <c r="M511" s="19"/>
      <c r="N511" s="18"/>
      <c r="O511" s="18"/>
      <c r="P511" s="18"/>
      <c r="Q511" s="18"/>
      <c r="R511" s="21" t="str">
        <f>IF(C511="","",IFERROR(INDEX('THAM SỐ'!$F$5:$F$7,MATCH(C511,'THAM SỐ'!$A$5:$A$7,0)),""))</f>
        <v/>
      </c>
      <c r="S511" s="22" t="str">
        <f t="shared" si="21"/>
        <v/>
      </c>
      <c r="T511" s="16" t="str">
        <f t="shared" si="22"/>
        <v/>
      </c>
      <c r="U511" s="23" t="str">
        <f t="shared" si="23"/>
        <v/>
      </c>
      <c r="V511" s="18"/>
    </row>
    <row r="512" spans="1:22" x14ac:dyDescent="0.45">
      <c r="A512" s="16" t="str">
        <f>IF(B512="","","LDX-"&amp;TEXT(B512,"yymmdd")&amp;"-"&amp;TEXT(COUNTIFS(B$5:B512,B512),"00"))</f>
        <v/>
      </c>
      <c r="B512" s="17"/>
      <c r="C512" s="18"/>
      <c r="D512" s="18"/>
      <c r="E512" s="18"/>
      <c r="F512" s="18"/>
      <c r="G512" s="18"/>
      <c r="H512" s="18"/>
      <c r="I512" s="18"/>
      <c r="J512" s="19"/>
      <c r="K512" s="20"/>
      <c r="L512" s="20"/>
      <c r="M512" s="19"/>
      <c r="N512" s="18"/>
      <c r="O512" s="18"/>
      <c r="P512" s="18"/>
      <c r="Q512" s="18"/>
      <c r="R512" s="21" t="str">
        <f>IF(C512="","",IFERROR(INDEX('THAM SỐ'!$F$5:$F$7,MATCH(C512,'THAM SỐ'!$A$5:$A$7,0)),""))</f>
        <v/>
      </c>
      <c r="S512" s="22" t="str">
        <f t="shared" si="21"/>
        <v/>
      </c>
      <c r="T512" s="16" t="str">
        <f t="shared" si="22"/>
        <v/>
      </c>
      <c r="U512" s="23" t="str">
        <f t="shared" si="23"/>
        <v/>
      </c>
      <c r="V512" s="18"/>
    </row>
    <row r="513" spans="1:22" x14ac:dyDescent="0.45">
      <c r="A513" s="16" t="str">
        <f>IF(B513="","","LDX-"&amp;TEXT(B513,"yymmdd")&amp;"-"&amp;TEXT(COUNTIFS(B$5:B513,B513),"00"))</f>
        <v/>
      </c>
      <c r="B513" s="17"/>
      <c r="C513" s="18"/>
      <c r="D513" s="18"/>
      <c r="E513" s="18"/>
      <c r="F513" s="18"/>
      <c r="G513" s="18"/>
      <c r="H513" s="18"/>
      <c r="I513" s="18"/>
      <c r="J513" s="19"/>
      <c r="K513" s="20"/>
      <c r="L513" s="20"/>
      <c r="M513" s="19"/>
      <c r="N513" s="18"/>
      <c r="O513" s="18"/>
      <c r="P513" s="18"/>
      <c r="Q513" s="18"/>
      <c r="R513" s="21" t="str">
        <f>IF(C513="","",IFERROR(INDEX('THAM SỐ'!$F$5:$F$7,MATCH(C513,'THAM SỐ'!$A$5:$A$7,0)),""))</f>
        <v/>
      </c>
      <c r="S513" s="22" t="str">
        <f t="shared" si="21"/>
        <v/>
      </c>
      <c r="T513" s="16" t="str">
        <f t="shared" si="22"/>
        <v/>
      </c>
      <c r="U513" s="23" t="str">
        <f t="shared" si="23"/>
        <v/>
      </c>
      <c r="V513" s="18"/>
    </row>
    <row r="514" spans="1:22" x14ac:dyDescent="0.45">
      <c r="A514" s="16" t="str">
        <f>IF(B514="","","LDX-"&amp;TEXT(B514,"yymmdd")&amp;"-"&amp;TEXT(COUNTIFS(B$5:B514,B514),"00"))</f>
        <v/>
      </c>
      <c r="B514" s="17"/>
      <c r="C514" s="18"/>
      <c r="D514" s="18"/>
      <c r="E514" s="18"/>
      <c r="F514" s="18"/>
      <c r="G514" s="18"/>
      <c r="H514" s="18"/>
      <c r="I514" s="18"/>
      <c r="J514" s="19"/>
      <c r="K514" s="20"/>
      <c r="L514" s="20"/>
      <c r="M514" s="19"/>
      <c r="N514" s="18"/>
      <c r="O514" s="18"/>
      <c r="P514" s="18"/>
      <c r="Q514" s="18"/>
      <c r="R514" s="21" t="str">
        <f>IF(C514="","",IFERROR(INDEX('THAM SỐ'!$F$5:$F$7,MATCH(C514,'THAM SỐ'!$A$5:$A$7,0)),""))</f>
        <v/>
      </c>
      <c r="S514" s="22" t="str">
        <f t="shared" si="21"/>
        <v/>
      </c>
      <c r="T514" s="16" t="str">
        <f t="shared" si="22"/>
        <v/>
      </c>
      <c r="U514" s="23" t="str">
        <f t="shared" si="23"/>
        <v/>
      </c>
      <c r="V514" s="18"/>
    </row>
    <row r="515" spans="1:22" x14ac:dyDescent="0.45">
      <c r="A515" s="16" t="str">
        <f>IF(B515="","","LDX-"&amp;TEXT(B515,"yymmdd")&amp;"-"&amp;TEXT(COUNTIFS(B$5:B515,B515),"00"))</f>
        <v/>
      </c>
      <c r="B515" s="17"/>
      <c r="C515" s="18"/>
      <c r="D515" s="18"/>
      <c r="E515" s="18"/>
      <c r="F515" s="18"/>
      <c r="G515" s="18"/>
      <c r="H515" s="18"/>
      <c r="I515" s="18"/>
      <c r="J515" s="19"/>
      <c r="K515" s="20"/>
      <c r="L515" s="20"/>
      <c r="M515" s="19"/>
      <c r="N515" s="18"/>
      <c r="O515" s="18"/>
      <c r="P515" s="18"/>
      <c r="Q515" s="18"/>
      <c r="R515" s="21" t="str">
        <f>IF(C515="","",IFERROR(INDEX('THAM SỐ'!$F$5:$F$7,MATCH(C515,'THAM SỐ'!$A$5:$A$7,0)),""))</f>
        <v/>
      </c>
      <c r="S515" s="22" t="str">
        <f t="shared" si="21"/>
        <v/>
      </c>
      <c r="T515" s="16" t="str">
        <f t="shared" si="22"/>
        <v/>
      </c>
      <c r="U515" s="23" t="str">
        <f t="shared" si="23"/>
        <v/>
      </c>
      <c r="V515" s="18"/>
    </row>
    <row r="516" spans="1:22" x14ac:dyDescent="0.45">
      <c r="A516" s="16" t="str">
        <f>IF(B516="","","LDX-"&amp;TEXT(B516,"yymmdd")&amp;"-"&amp;TEXT(COUNTIFS(B$5:B516,B516),"00"))</f>
        <v/>
      </c>
      <c r="B516" s="17"/>
      <c r="C516" s="18"/>
      <c r="D516" s="18"/>
      <c r="E516" s="18"/>
      <c r="F516" s="18"/>
      <c r="G516" s="18"/>
      <c r="H516" s="18"/>
      <c r="I516" s="18"/>
      <c r="J516" s="19"/>
      <c r="K516" s="20"/>
      <c r="L516" s="20"/>
      <c r="M516" s="19"/>
      <c r="N516" s="18"/>
      <c r="O516" s="18"/>
      <c r="P516" s="18"/>
      <c r="Q516" s="18"/>
      <c r="R516" s="21" t="str">
        <f>IF(C516="","",IFERROR(INDEX('THAM SỐ'!$F$5:$F$7,MATCH(C516,'THAM SỐ'!$A$5:$A$7,0)),""))</f>
        <v/>
      </c>
      <c r="S516" s="22" t="str">
        <f t="shared" si="21"/>
        <v/>
      </c>
      <c r="T516" s="16" t="str">
        <f t="shared" si="22"/>
        <v/>
      </c>
      <c r="U516" s="23" t="str">
        <f t="shared" si="23"/>
        <v/>
      </c>
      <c r="V516" s="18"/>
    </row>
    <row r="517" spans="1:22" x14ac:dyDescent="0.45">
      <c r="A517" s="16" t="str">
        <f>IF(B517="","","LDX-"&amp;TEXT(B517,"yymmdd")&amp;"-"&amp;TEXT(COUNTIFS(B$5:B517,B517),"00"))</f>
        <v/>
      </c>
      <c r="B517" s="17"/>
      <c r="C517" s="18"/>
      <c r="D517" s="18"/>
      <c r="E517" s="18"/>
      <c r="F517" s="18"/>
      <c r="G517" s="18"/>
      <c r="H517" s="18"/>
      <c r="I517" s="18"/>
      <c r="J517" s="19"/>
      <c r="K517" s="20"/>
      <c r="L517" s="20"/>
      <c r="M517" s="19"/>
      <c r="N517" s="18"/>
      <c r="O517" s="18"/>
      <c r="P517" s="18"/>
      <c r="Q517" s="18"/>
      <c r="R517" s="21" t="str">
        <f>IF(C517="","",IFERROR(INDEX('THAM SỐ'!$F$5:$F$7,MATCH(C517,'THAM SỐ'!$A$5:$A$7,0)),""))</f>
        <v/>
      </c>
      <c r="S517" s="22" t="str">
        <f t="shared" ref="S517:S580" si="24">IF(OR(M517="",R517="",R517=0),"",M517/R517)</f>
        <v/>
      </c>
      <c r="T517" s="16" t="str">
        <f t="shared" ref="T517:T580" si="25">IF(S517="","",IF(S517&gt;1,"QUÁ TẢI",IF(S517&gt;0.9,"Sát tải","Đạt")))</f>
        <v/>
      </c>
      <c r="U517" s="23" t="str">
        <f t="shared" ref="U517:U580" si="26">IF(L517="","",L517+(L517&lt;4/24))</f>
        <v/>
      </c>
      <c r="V517" s="18"/>
    </row>
    <row r="518" spans="1:22" x14ac:dyDescent="0.45">
      <c r="A518" s="16" t="str">
        <f>IF(B518="","","LDX-"&amp;TEXT(B518,"yymmdd")&amp;"-"&amp;TEXT(COUNTIFS(B$5:B518,B518),"00"))</f>
        <v/>
      </c>
      <c r="B518" s="17"/>
      <c r="C518" s="18"/>
      <c r="D518" s="18"/>
      <c r="E518" s="18"/>
      <c r="F518" s="18"/>
      <c r="G518" s="18"/>
      <c r="H518" s="18"/>
      <c r="I518" s="18"/>
      <c r="J518" s="19"/>
      <c r="K518" s="20"/>
      <c r="L518" s="20"/>
      <c r="M518" s="19"/>
      <c r="N518" s="18"/>
      <c r="O518" s="18"/>
      <c r="P518" s="18"/>
      <c r="Q518" s="18"/>
      <c r="R518" s="21" t="str">
        <f>IF(C518="","",IFERROR(INDEX('THAM SỐ'!$F$5:$F$7,MATCH(C518,'THAM SỐ'!$A$5:$A$7,0)),""))</f>
        <v/>
      </c>
      <c r="S518" s="22" t="str">
        <f t="shared" si="24"/>
        <v/>
      </c>
      <c r="T518" s="16" t="str">
        <f t="shared" si="25"/>
        <v/>
      </c>
      <c r="U518" s="23" t="str">
        <f t="shared" si="26"/>
        <v/>
      </c>
      <c r="V518" s="18"/>
    </row>
    <row r="519" spans="1:22" x14ac:dyDescent="0.45">
      <c r="A519" s="16" t="str">
        <f>IF(B519="","","LDX-"&amp;TEXT(B519,"yymmdd")&amp;"-"&amp;TEXT(COUNTIFS(B$5:B519,B519),"00"))</f>
        <v/>
      </c>
      <c r="B519" s="17"/>
      <c r="C519" s="18"/>
      <c r="D519" s="18"/>
      <c r="E519" s="18"/>
      <c r="F519" s="18"/>
      <c r="G519" s="18"/>
      <c r="H519" s="18"/>
      <c r="I519" s="18"/>
      <c r="J519" s="19"/>
      <c r="K519" s="20"/>
      <c r="L519" s="20"/>
      <c r="M519" s="19"/>
      <c r="N519" s="18"/>
      <c r="O519" s="18"/>
      <c r="P519" s="18"/>
      <c r="Q519" s="18"/>
      <c r="R519" s="21" t="str">
        <f>IF(C519="","",IFERROR(INDEX('THAM SỐ'!$F$5:$F$7,MATCH(C519,'THAM SỐ'!$A$5:$A$7,0)),""))</f>
        <v/>
      </c>
      <c r="S519" s="22" t="str">
        <f t="shared" si="24"/>
        <v/>
      </c>
      <c r="T519" s="16" t="str">
        <f t="shared" si="25"/>
        <v/>
      </c>
      <c r="U519" s="23" t="str">
        <f t="shared" si="26"/>
        <v/>
      </c>
      <c r="V519" s="18"/>
    </row>
    <row r="520" spans="1:22" x14ac:dyDescent="0.45">
      <c r="A520" s="16" t="str">
        <f>IF(B520="","","LDX-"&amp;TEXT(B520,"yymmdd")&amp;"-"&amp;TEXT(COUNTIFS(B$5:B520,B520),"00"))</f>
        <v/>
      </c>
      <c r="B520" s="17"/>
      <c r="C520" s="18"/>
      <c r="D520" s="18"/>
      <c r="E520" s="18"/>
      <c r="F520" s="18"/>
      <c r="G520" s="18"/>
      <c r="H520" s="18"/>
      <c r="I520" s="18"/>
      <c r="J520" s="19"/>
      <c r="K520" s="20"/>
      <c r="L520" s="20"/>
      <c r="M520" s="19"/>
      <c r="N520" s="18"/>
      <c r="O520" s="18"/>
      <c r="P520" s="18"/>
      <c r="Q520" s="18"/>
      <c r="R520" s="21" t="str">
        <f>IF(C520="","",IFERROR(INDEX('THAM SỐ'!$F$5:$F$7,MATCH(C520,'THAM SỐ'!$A$5:$A$7,0)),""))</f>
        <v/>
      </c>
      <c r="S520" s="22" t="str">
        <f t="shared" si="24"/>
        <v/>
      </c>
      <c r="T520" s="16" t="str">
        <f t="shared" si="25"/>
        <v/>
      </c>
      <c r="U520" s="23" t="str">
        <f t="shared" si="26"/>
        <v/>
      </c>
      <c r="V520" s="18"/>
    </row>
    <row r="521" spans="1:22" x14ac:dyDescent="0.45">
      <c r="A521" s="16" t="str">
        <f>IF(B521="","","LDX-"&amp;TEXT(B521,"yymmdd")&amp;"-"&amp;TEXT(COUNTIFS(B$5:B521,B521),"00"))</f>
        <v/>
      </c>
      <c r="B521" s="17"/>
      <c r="C521" s="18"/>
      <c r="D521" s="18"/>
      <c r="E521" s="18"/>
      <c r="F521" s="18"/>
      <c r="G521" s="18"/>
      <c r="H521" s="18"/>
      <c r="I521" s="18"/>
      <c r="J521" s="19"/>
      <c r="K521" s="20"/>
      <c r="L521" s="20"/>
      <c r="M521" s="19"/>
      <c r="N521" s="18"/>
      <c r="O521" s="18"/>
      <c r="P521" s="18"/>
      <c r="Q521" s="18"/>
      <c r="R521" s="21" t="str">
        <f>IF(C521="","",IFERROR(INDEX('THAM SỐ'!$F$5:$F$7,MATCH(C521,'THAM SỐ'!$A$5:$A$7,0)),""))</f>
        <v/>
      </c>
      <c r="S521" s="22" t="str">
        <f t="shared" si="24"/>
        <v/>
      </c>
      <c r="T521" s="16" t="str">
        <f t="shared" si="25"/>
        <v/>
      </c>
      <c r="U521" s="23" t="str">
        <f t="shared" si="26"/>
        <v/>
      </c>
      <c r="V521" s="18"/>
    </row>
    <row r="522" spans="1:22" x14ac:dyDescent="0.45">
      <c r="A522" s="16" t="str">
        <f>IF(B522="","","LDX-"&amp;TEXT(B522,"yymmdd")&amp;"-"&amp;TEXT(COUNTIFS(B$5:B522,B522),"00"))</f>
        <v/>
      </c>
      <c r="B522" s="17"/>
      <c r="C522" s="18"/>
      <c r="D522" s="18"/>
      <c r="E522" s="18"/>
      <c r="F522" s="18"/>
      <c r="G522" s="18"/>
      <c r="H522" s="18"/>
      <c r="I522" s="18"/>
      <c r="J522" s="19"/>
      <c r="K522" s="20"/>
      <c r="L522" s="20"/>
      <c r="M522" s="19"/>
      <c r="N522" s="18"/>
      <c r="O522" s="18"/>
      <c r="P522" s="18"/>
      <c r="Q522" s="18"/>
      <c r="R522" s="21" t="str">
        <f>IF(C522="","",IFERROR(INDEX('THAM SỐ'!$F$5:$F$7,MATCH(C522,'THAM SỐ'!$A$5:$A$7,0)),""))</f>
        <v/>
      </c>
      <c r="S522" s="22" t="str">
        <f t="shared" si="24"/>
        <v/>
      </c>
      <c r="T522" s="16" t="str">
        <f t="shared" si="25"/>
        <v/>
      </c>
      <c r="U522" s="23" t="str">
        <f t="shared" si="26"/>
        <v/>
      </c>
      <c r="V522" s="18"/>
    </row>
    <row r="523" spans="1:22" x14ac:dyDescent="0.45">
      <c r="A523" s="16" t="str">
        <f>IF(B523="","","LDX-"&amp;TEXT(B523,"yymmdd")&amp;"-"&amp;TEXT(COUNTIFS(B$5:B523,B523),"00"))</f>
        <v/>
      </c>
      <c r="B523" s="17"/>
      <c r="C523" s="18"/>
      <c r="D523" s="18"/>
      <c r="E523" s="18"/>
      <c r="F523" s="18"/>
      <c r="G523" s="18"/>
      <c r="H523" s="18"/>
      <c r="I523" s="18"/>
      <c r="J523" s="19"/>
      <c r="K523" s="20"/>
      <c r="L523" s="20"/>
      <c r="M523" s="19"/>
      <c r="N523" s="18"/>
      <c r="O523" s="18"/>
      <c r="P523" s="18"/>
      <c r="Q523" s="18"/>
      <c r="R523" s="21" t="str">
        <f>IF(C523="","",IFERROR(INDEX('THAM SỐ'!$F$5:$F$7,MATCH(C523,'THAM SỐ'!$A$5:$A$7,0)),""))</f>
        <v/>
      </c>
      <c r="S523" s="22" t="str">
        <f t="shared" si="24"/>
        <v/>
      </c>
      <c r="T523" s="16" t="str">
        <f t="shared" si="25"/>
        <v/>
      </c>
      <c r="U523" s="23" t="str">
        <f t="shared" si="26"/>
        <v/>
      </c>
      <c r="V523" s="18"/>
    </row>
    <row r="524" spans="1:22" x14ac:dyDescent="0.45">
      <c r="A524" s="16" t="str">
        <f>IF(B524="","","LDX-"&amp;TEXT(B524,"yymmdd")&amp;"-"&amp;TEXT(COUNTIFS(B$5:B524,B524),"00"))</f>
        <v/>
      </c>
      <c r="B524" s="17"/>
      <c r="C524" s="18"/>
      <c r="D524" s="18"/>
      <c r="E524" s="18"/>
      <c r="F524" s="18"/>
      <c r="G524" s="18"/>
      <c r="H524" s="18"/>
      <c r="I524" s="18"/>
      <c r="J524" s="19"/>
      <c r="K524" s="20"/>
      <c r="L524" s="20"/>
      <c r="M524" s="19"/>
      <c r="N524" s="18"/>
      <c r="O524" s="18"/>
      <c r="P524" s="18"/>
      <c r="Q524" s="18"/>
      <c r="R524" s="21" t="str">
        <f>IF(C524="","",IFERROR(INDEX('THAM SỐ'!$F$5:$F$7,MATCH(C524,'THAM SỐ'!$A$5:$A$7,0)),""))</f>
        <v/>
      </c>
      <c r="S524" s="22" t="str">
        <f t="shared" si="24"/>
        <v/>
      </c>
      <c r="T524" s="16" t="str">
        <f t="shared" si="25"/>
        <v/>
      </c>
      <c r="U524" s="23" t="str">
        <f t="shared" si="26"/>
        <v/>
      </c>
      <c r="V524" s="18"/>
    </row>
    <row r="525" spans="1:22" x14ac:dyDescent="0.45">
      <c r="A525" s="16" t="str">
        <f>IF(B525="","","LDX-"&amp;TEXT(B525,"yymmdd")&amp;"-"&amp;TEXT(COUNTIFS(B$5:B525,B525),"00"))</f>
        <v/>
      </c>
      <c r="B525" s="17"/>
      <c r="C525" s="18"/>
      <c r="D525" s="18"/>
      <c r="E525" s="18"/>
      <c r="F525" s="18"/>
      <c r="G525" s="18"/>
      <c r="H525" s="18"/>
      <c r="I525" s="18"/>
      <c r="J525" s="19"/>
      <c r="K525" s="20"/>
      <c r="L525" s="20"/>
      <c r="M525" s="19"/>
      <c r="N525" s="18"/>
      <c r="O525" s="18"/>
      <c r="P525" s="18"/>
      <c r="Q525" s="18"/>
      <c r="R525" s="21" t="str">
        <f>IF(C525="","",IFERROR(INDEX('THAM SỐ'!$F$5:$F$7,MATCH(C525,'THAM SỐ'!$A$5:$A$7,0)),""))</f>
        <v/>
      </c>
      <c r="S525" s="22" t="str">
        <f t="shared" si="24"/>
        <v/>
      </c>
      <c r="T525" s="16" t="str">
        <f t="shared" si="25"/>
        <v/>
      </c>
      <c r="U525" s="23" t="str">
        <f t="shared" si="26"/>
        <v/>
      </c>
      <c r="V525" s="18"/>
    </row>
    <row r="526" spans="1:22" x14ac:dyDescent="0.45">
      <c r="A526" s="16" t="str">
        <f>IF(B526="","","LDX-"&amp;TEXT(B526,"yymmdd")&amp;"-"&amp;TEXT(COUNTIFS(B$5:B526,B526),"00"))</f>
        <v/>
      </c>
      <c r="B526" s="17"/>
      <c r="C526" s="18"/>
      <c r="D526" s="18"/>
      <c r="E526" s="18"/>
      <c r="F526" s="18"/>
      <c r="G526" s="18"/>
      <c r="H526" s="18"/>
      <c r="I526" s="18"/>
      <c r="J526" s="19"/>
      <c r="K526" s="20"/>
      <c r="L526" s="20"/>
      <c r="M526" s="19"/>
      <c r="N526" s="18"/>
      <c r="O526" s="18"/>
      <c r="P526" s="18"/>
      <c r="Q526" s="18"/>
      <c r="R526" s="21" t="str">
        <f>IF(C526="","",IFERROR(INDEX('THAM SỐ'!$F$5:$F$7,MATCH(C526,'THAM SỐ'!$A$5:$A$7,0)),""))</f>
        <v/>
      </c>
      <c r="S526" s="22" t="str">
        <f t="shared" si="24"/>
        <v/>
      </c>
      <c r="T526" s="16" t="str">
        <f t="shared" si="25"/>
        <v/>
      </c>
      <c r="U526" s="23" t="str">
        <f t="shared" si="26"/>
        <v/>
      </c>
      <c r="V526" s="18"/>
    </row>
    <row r="527" spans="1:22" x14ac:dyDescent="0.45">
      <c r="A527" s="16" t="str">
        <f>IF(B527="","","LDX-"&amp;TEXT(B527,"yymmdd")&amp;"-"&amp;TEXT(COUNTIFS(B$5:B527,B527),"00"))</f>
        <v/>
      </c>
      <c r="B527" s="17"/>
      <c r="C527" s="18"/>
      <c r="D527" s="18"/>
      <c r="E527" s="18"/>
      <c r="F527" s="18"/>
      <c r="G527" s="18"/>
      <c r="H527" s="18"/>
      <c r="I527" s="18"/>
      <c r="J527" s="19"/>
      <c r="K527" s="20"/>
      <c r="L527" s="20"/>
      <c r="M527" s="19"/>
      <c r="N527" s="18"/>
      <c r="O527" s="18"/>
      <c r="P527" s="18"/>
      <c r="Q527" s="18"/>
      <c r="R527" s="21" t="str">
        <f>IF(C527="","",IFERROR(INDEX('THAM SỐ'!$F$5:$F$7,MATCH(C527,'THAM SỐ'!$A$5:$A$7,0)),""))</f>
        <v/>
      </c>
      <c r="S527" s="22" t="str">
        <f t="shared" si="24"/>
        <v/>
      </c>
      <c r="T527" s="16" t="str">
        <f t="shared" si="25"/>
        <v/>
      </c>
      <c r="U527" s="23" t="str">
        <f t="shared" si="26"/>
        <v/>
      </c>
      <c r="V527" s="18"/>
    </row>
    <row r="528" spans="1:22" x14ac:dyDescent="0.45">
      <c r="A528" s="16" t="str">
        <f>IF(B528="","","LDX-"&amp;TEXT(B528,"yymmdd")&amp;"-"&amp;TEXT(COUNTIFS(B$5:B528,B528),"00"))</f>
        <v/>
      </c>
      <c r="B528" s="17"/>
      <c r="C528" s="18"/>
      <c r="D528" s="18"/>
      <c r="E528" s="18"/>
      <c r="F528" s="18"/>
      <c r="G528" s="18"/>
      <c r="H528" s="18"/>
      <c r="I528" s="18"/>
      <c r="J528" s="19"/>
      <c r="K528" s="20"/>
      <c r="L528" s="20"/>
      <c r="M528" s="19"/>
      <c r="N528" s="18"/>
      <c r="O528" s="18"/>
      <c r="P528" s="18"/>
      <c r="Q528" s="18"/>
      <c r="R528" s="21" t="str">
        <f>IF(C528="","",IFERROR(INDEX('THAM SỐ'!$F$5:$F$7,MATCH(C528,'THAM SỐ'!$A$5:$A$7,0)),""))</f>
        <v/>
      </c>
      <c r="S528" s="22" t="str">
        <f t="shared" si="24"/>
        <v/>
      </c>
      <c r="T528" s="16" t="str">
        <f t="shared" si="25"/>
        <v/>
      </c>
      <c r="U528" s="23" t="str">
        <f t="shared" si="26"/>
        <v/>
      </c>
      <c r="V528" s="18"/>
    </row>
    <row r="529" spans="1:22" x14ac:dyDescent="0.45">
      <c r="A529" s="16" t="str">
        <f>IF(B529="","","LDX-"&amp;TEXT(B529,"yymmdd")&amp;"-"&amp;TEXT(COUNTIFS(B$5:B529,B529),"00"))</f>
        <v/>
      </c>
      <c r="B529" s="17"/>
      <c r="C529" s="18"/>
      <c r="D529" s="18"/>
      <c r="E529" s="18"/>
      <c r="F529" s="18"/>
      <c r="G529" s="18"/>
      <c r="H529" s="18"/>
      <c r="I529" s="18"/>
      <c r="J529" s="19"/>
      <c r="K529" s="20"/>
      <c r="L529" s="20"/>
      <c r="M529" s="19"/>
      <c r="N529" s="18"/>
      <c r="O529" s="18"/>
      <c r="P529" s="18"/>
      <c r="Q529" s="18"/>
      <c r="R529" s="21" t="str">
        <f>IF(C529="","",IFERROR(INDEX('THAM SỐ'!$F$5:$F$7,MATCH(C529,'THAM SỐ'!$A$5:$A$7,0)),""))</f>
        <v/>
      </c>
      <c r="S529" s="22" t="str">
        <f t="shared" si="24"/>
        <v/>
      </c>
      <c r="T529" s="16" t="str">
        <f t="shared" si="25"/>
        <v/>
      </c>
      <c r="U529" s="23" t="str">
        <f t="shared" si="26"/>
        <v/>
      </c>
      <c r="V529" s="18"/>
    </row>
    <row r="530" spans="1:22" x14ac:dyDescent="0.45">
      <c r="A530" s="16" t="str">
        <f>IF(B530="","","LDX-"&amp;TEXT(B530,"yymmdd")&amp;"-"&amp;TEXT(COUNTIFS(B$5:B530,B530),"00"))</f>
        <v/>
      </c>
      <c r="B530" s="17"/>
      <c r="C530" s="18"/>
      <c r="D530" s="18"/>
      <c r="E530" s="18"/>
      <c r="F530" s="18"/>
      <c r="G530" s="18"/>
      <c r="H530" s="18"/>
      <c r="I530" s="18"/>
      <c r="J530" s="19"/>
      <c r="K530" s="20"/>
      <c r="L530" s="20"/>
      <c r="M530" s="19"/>
      <c r="N530" s="18"/>
      <c r="O530" s="18"/>
      <c r="P530" s="18"/>
      <c r="Q530" s="18"/>
      <c r="R530" s="21" t="str">
        <f>IF(C530="","",IFERROR(INDEX('THAM SỐ'!$F$5:$F$7,MATCH(C530,'THAM SỐ'!$A$5:$A$7,0)),""))</f>
        <v/>
      </c>
      <c r="S530" s="22" t="str">
        <f t="shared" si="24"/>
        <v/>
      </c>
      <c r="T530" s="16" t="str">
        <f t="shared" si="25"/>
        <v/>
      </c>
      <c r="U530" s="23" t="str">
        <f t="shared" si="26"/>
        <v/>
      </c>
      <c r="V530" s="18"/>
    </row>
    <row r="531" spans="1:22" x14ac:dyDescent="0.45">
      <c r="A531" s="16" t="str">
        <f>IF(B531="","","LDX-"&amp;TEXT(B531,"yymmdd")&amp;"-"&amp;TEXT(COUNTIFS(B$5:B531,B531),"00"))</f>
        <v/>
      </c>
      <c r="B531" s="17"/>
      <c r="C531" s="18"/>
      <c r="D531" s="18"/>
      <c r="E531" s="18"/>
      <c r="F531" s="18"/>
      <c r="G531" s="18"/>
      <c r="H531" s="18"/>
      <c r="I531" s="18"/>
      <c r="J531" s="19"/>
      <c r="K531" s="20"/>
      <c r="L531" s="20"/>
      <c r="M531" s="19"/>
      <c r="N531" s="18"/>
      <c r="O531" s="18"/>
      <c r="P531" s="18"/>
      <c r="Q531" s="18"/>
      <c r="R531" s="21" t="str">
        <f>IF(C531="","",IFERROR(INDEX('THAM SỐ'!$F$5:$F$7,MATCH(C531,'THAM SỐ'!$A$5:$A$7,0)),""))</f>
        <v/>
      </c>
      <c r="S531" s="22" t="str">
        <f t="shared" si="24"/>
        <v/>
      </c>
      <c r="T531" s="16" t="str">
        <f t="shared" si="25"/>
        <v/>
      </c>
      <c r="U531" s="23" t="str">
        <f t="shared" si="26"/>
        <v/>
      </c>
      <c r="V531" s="18"/>
    </row>
    <row r="532" spans="1:22" x14ac:dyDescent="0.45">
      <c r="A532" s="16" t="str">
        <f>IF(B532="","","LDX-"&amp;TEXT(B532,"yymmdd")&amp;"-"&amp;TEXT(COUNTIFS(B$5:B532,B532),"00"))</f>
        <v/>
      </c>
      <c r="B532" s="17"/>
      <c r="C532" s="18"/>
      <c r="D532" s="18"/>
      <c r="E532" s="18"/>
      <c r="F532" s="18"/>
      <c r="G532" s="18"/>
      <c r="H532" s="18"/>
      <c r="I532" s="18"/>
      <c r="J532" s="19"/>
      <c r="K532" s="20"/>
      <c r="L532" s="20"/>
      <c r="M532" s="19"/>
      <c r="N532" s="18"/>
      <c r="O532" s="18"/>
      <c r="P532" s="18"/>
      <c r="Q532" s="18"/>
      <c r="R532" s="21" t="str">
        <f>IF(C532="","",IFERROR(INDEX('THAM SỐ'!$F$5:$F$7,MATCH(C532,'THAM SỐ'!$A$5:$A$7,0)),""))</f>
        <v/>
      </c>
      <c r="S532" s="22" t="str">
        <f t="shared" si="24"/>
        <v/>
      </c>
      <c r="T532" s="16" t="str">
        <f t="shared" si="25"/>
        <v/>
      </c>
      <c r="U532" s="23" t="str">
        <f t="shared" si="26"/>
        <v/>
      </c>
      <c r="V532" s="18"/>
    </row>
    <row r="533" spans="1:22" x14ac:dyDescent="0.45">
      <c r="A533" s="16" t="str">
        <f>IF(B533="","","LDX-"&amp;TEXT(B533,"yymmdd")&amp;"-"&amp;TEXT(COUNTIFS(B$5:B533,B533),"00"))</f>
        <v/>
      </c>
      <c r="B533" s="17"/>
      <c r="C533" s="18"/>
      <c r="D533" s="18"/>
      <c r="E533" s="18"/>
      <c r="F533" s="18"/>
      <c r="G533" s="18"/>
      <c r="H533" s="18"/>
      <c r="I533" s="18"/>
      <c r="J533" s="19"/>
      <c r="K533" s="20"/>
      <c r="L533" s="20"/>
      <c r="M533" s="19"/>
      <c r="N533" s="18"/>
      <c r="O533" s="18"/>
      <c r="P533" s="18"/>
      <c r="Q533" s="18"/>
      <c r="R533" s="21" t="str">
        <f>IF(C533="","",IFERROR(INDEX('THAM SỐ'!$F$5:$F$7,MATCH(C533,'THAM SỐ'!$A$5:$A$7,0)),""))</f>
        <v/>
      </c>
      <c r="S533" s="22" t="str">
        <f t="shared" si="24"/>
        <v/>
      </c>
      <c r="T533" s="16" t="str">
        <f t="shared" si="25"/>
        <v/>
      </c>
      <c r="U533" s="23" t="str">
        <f t="shared" si="26"/>
        <v/>
      </c>
      <c r="V533" s="18"/>
    </row>
    <row r="534" spans="1:22" x14ac:dyDescent="0.45">
      <c r="A534" s="16" t="str">
        <f>IF(B534="","","LDX-"&amp;TEXT(B534,"yymmdd")&amp;"-"&amp;TEXT(COUNTIFS(B$5:B534,B534),"00"))</f>
        <v/>
      </c>
      <c r="B534" s="17"/>
      <c r="C534" s="18"/>
      <c r="D534" s="18"/>
      <c r="E534" s="18"/>
      <c r="F534" s="18"/>
      <c r="G534" s="18"/>
      <c r="H534" s="18"/>
      <c r="I534" s="18"/>
      <c r="J534" s="19"/>
      <c r="K534" s="20"/>
      <c r="L534" s="20"/>
      <c r="M534" s="19"/>
      <c r="N534" s="18"/>
      <c r="O534" s="18"/>
      <c r="P534" s="18"/>
      <c r="Q534" s="18"/>
      <c r="R534" s="21" t="str">
        <f>IF(C534="","",IFERROR(INDEX('THAM SỐ'!$F$5:$F$7,MATCH(C534,'THAM SỐ'!$A$5:$A$7,0)),""))</f>
        <v/>
      </c>
      <c r="S534" s="22" t="str">
        <f t="shared" si="24"/>
        <v/>
      </c>
      <c r="T534" s="16" t="str">
        <f t="shared" si="25"/>
        <v/>
      </c>
      <c r="U534" s="23" t="str">
        <f t="shared" si="26"/>
        <v/>
      </c>
      <c r="V534" s="18"/>
    </row>
    <row r="535" spans="1:22" x14ac:dyDescent="0.45">
      <c r="A535" s="16" t="str">
        <f>IF(B535="","","LDX-"&amp;TEXT(B535,"yymmdd")&amp;"-"&amp;TEXT(COUNTIFS(B$5:B535,B535),"00"))</f>
        <v/>
      </c>
      <c r="B535" s="17"/>
      <c r="C535" s="18"/>
      <c r="D535" s="18"/>
      <c r="E535" s="18"/>
      <c r="F535" s="18"/>
      <c r="G535" s="18"/>
      <c r="H535" s="18"/>
      <c r="I535" s="18"/>
      <c r="J535" s="19"/>
      <c r="K535" s="20"/>
      <c r="L535" s="20"/>
      <c r="M535" s="19"/>
      <c r="N535" s="18"/>
      <c r="O535" s="18"/>
      <c r="P535" s="18"/>
      <c r="Q535" s="18"/>
      <c r="R535" s="21" t="str">
        <f>IF(C535="","",IFERROR(INDEX('THAM SỐ'!$F$5:$F$7,MATCH(C535,'THAM SỐ'!$A$5:$A$7,0)),""))</f>
        <v/>
      </c>
      <c r="S535" s="22" t="str">
        <f t="shared" si="24"/>
        <v/>
      </c>
      <c r="T535" s="16" t="str">
        <f t="shared" si="25"/>
        <v/>
      </c>
      <c r="U535" s="23" t="str">
        <f t="shared" si="26"/>
        <v/>
      </c>
      <c r="V535" s="18"/>
    </row>
    <row r="536" spans="1:22" x14ac:dyDescent="0.45">
      <c r="A536" s="16" t="str">
        <f>IF(B536="","","LDX-"&amp;TEXT(B536,"yymmdd")&amp;"-"&amp;TEXT(COUNTIFS(B$5:B536,B536),"00"))</f>
        <v/>
      </c>
      <c r="B536" s="17"/>
      <c r="C536" s="18"/>
      <c r="D536" s="18"/>
      <c r="E536" s="18"/>
      <c r="F536" s="18"/>
      <c r="G536" s="18"/>
      <c r="H536" s="18"/>
      <c r="I536" s="18"/>
      <c r="J536" s="19"/>
      <c r="K536" s="20"/>
      <c r="L536" s="20"/>
      <c r="M536" s="19"/>
      <c r="N536" s="18"/>
      <c r="O536" s="18"/>
      <c r="P536" s="18"/>
      <c r="Q536" s="18"/>
      <c r="R536" s="21" t="str">
        <f>IF(C536="","",IFERROR(INDEX('THAM SỐ'!$F$5:$F$7,MATCH(C536,'THAM SỐ'!$A$5:$A$7,0)),""))</f>
        <v/>
      </c>
      <c r="S536" s="22" t="str">
        <f t="shared" si="24"/>
        <v/>
      </c>
      <c r="T536" s="16" t="str">
        <f t="shared" si="25"/>
        <v/>
      </c>
      <c r="U536" s="23" t="str">
        <f t="shared" si="26"/>
        <v/>
      </c>
      <c r="V536" s="18"/>
    </row>
    <row r="537" spans="1:22" x14ac:dyDescent="0.45">
      <c r="A537" s="16" t="str">
        <f>IF(B537="","","LDX-"&amp;TEXT(B537,"yymmdd")&amp;"-"&amp;TEXT(COUNTIFS(B$5:B537,B537),"00"))</f>
        <v/>
      </c>
      <c r="B537" s="17"/>
      <c r="C537" s="18"/>
      <c r="D537" s="18"/>
      <c r="E537" s="18"/>
      <c r="F537" s="18"/>
      <c r="G537" s="18"/>
      <c r="H537" s="18"/>
      <c r="I537" s="18"/>
      <c r="J537" s="19"/>
      <c r="K537" s="20"/>
      <c r="L537" s="20"/>
      <c r="M537" s="19"/>
      <c r="N537" s="18"/>
      <c r="O537" s="18"/>
      <c r="P537" s="18"/>
      <c r="Q537" s="18"/>
      <c r="R537" s="21" t="str">
        <f>IF(C537="","",IFERROR(INDEX('THAM SỐ'!$F$5:$F$7,MATCH(C537,'THAM SỐ'!$A$5:$A$7,0)),""))</f>
        <v/>
      </c>
      <c r="S537" s="22" t="str">
        <f t="shared" si="24"/>
        <v/>
      </c>
      <c r="T537" s="16" t="str">
        <f t="shared" si="25"/>
        <v/>
      </c>
      <c r="U537" s="23" t="str">
        <f t="shared" si="26"/>
        <v/>
      </c>
      <c r="V537" s="18"/>
    </row>
    <row r="538" spans="1:22" x14ac:dyDescent="0.45">
      <c r="A538" s="16" t="str">
        <f>IF(B538="","","LDX-"&amp;TEXT(B538,"yymmdd")&amp;"-"&amp;TEXT(COUNTIFS(B$5:B538,B538),"00"))</f>
        <v/>
      </c>
      <c r="B538" s="17"/>
      <c r="C538" s="18"/>
      <c r="D538" s="18"/>
      <c r="E538" s="18"/>
      <c r="F538" s="18"/>
      <c r="G538" s="18"/>
      <c r="H538" s="18"/>
      <c r="I538" s="18"/>
      <c r="J538" s="19"/>
      <c r="K538" s="20"/>
      <c r="L538" s="20"/>
      <c r="M538" s="19"/>
      <c r="N538" s="18"/>
      <c r="O538" s="18"/>
      <c r="P538" s="18"/>
      <c r="Q538" s="18"/>
      <c r="R538" s="21" t="str">
        <f>IF(C538="","",IFERROR(INDEX('THAM SỐ'!$F$5:$F$7,MATCH(C538,'THAM SỐ'!$A$5:$A$7,0)),""))</f>
        <v/>
      </c>
      <c r="S538" s="22" t="str">
        <f t="shared" si="24"/>
        <v/>
      </c>
      <c r="T538" s="16" t="str">
        <f t="shared" si="25"/>
        <v/>
      </c>
      <c r="U538" s="23" t="str">
        <f t="shared" si="26"/>
        <v/>
      </c>
      <c r="V538" s="18"/>
    </row>
    <row r="539" spans="1:22" x14ac:dyDescent="0.45">
      <c r="A539" s="16" t="str">
        <f>IF(B539="","","LDX-"&amp;TEXT(B539,"yymmdd")&amp;"-"&amp;TEXT(COUNTIFS(B$5:B539,B539),"00"))</f>
        <v/>
      </c>
      <c r="B539" s="17"/>
      <c r="C539" s="18"/>
      <c r="D539" s="18"/>
      <c r="E539" s="18"/>
      <c r="F539" s="18"/>
      <c r="G539" s="18"/>
      <c r="H539" s="18"/>
      <c r="I539" s="18"/>
      <c r="J539" s="19"/>
      <c r="K539" s="20"/>
      <c r="L539" s="20"/>
      <c r="M539" s="19"/>
      <c r="N539" s="18"/>
      <c r="O539" s="18"/>
      <c r="P539" s="18"/>
      <c r="Q539" s="18"/>
      <c r="R539" s="21" t="str">
        <f>IF(C539="","",IFERROR(INDEX('THAM SỐ'!$F$5:$F$7,MATCH(C539,'THAM SỐ'!$A$5:$A$7,0)),""))</f>
        <v/>
      </c>
      <c r="S539" s="22" t="str">
        <f t="shared" si="24"/>
        <v/>
      </c>
      <c r="T539" s="16" t="str">
        <f t="shared" si="25"/>
        <v/>
      </c>
      <c r="U539" s="23" t="str">
        <f t="shared" si="26"/>
        <v/>
      </c>
      <c r="V539" s="18"/>
    </row>
    <row r="540" spans="1:22" x14ac:dyDescent="0.45">
      <c r="A540" s="16" t="str">
        <f>IF(B540="","","LDX-"&amp;TEXT(B540,"yymmdd")&amp;"-"&amp;TEXT(COUNTIFS(B$5:B540,B540),"00"))</f>
        <v/>
      </c>
      <c r="B540" s="17"/>
      <c r="C540" s="18"/>
      <c r="D540" s="18"/>
      <c r="E540" s="18"/>
      <c r="F540" s="18"/>
      <c r="G540" s="18"/>
      <c r="H540" s="18"/>
      <c r="I540" s="18"/>
      <c r="J540" s="19"/>
      <c r="K540" s="20"/>
      <c r="L540" s="20"/>
      <c r="M540" s="19"/>
      <c r="N540" s="18"/>
      <c r="O540" s="18"/>
      <c r="P540" s="18"/>
      <c r="Q540" s="18"/>
      <c r="R540" s="21" t="str">
        <f>IF(C540="","",IFERROR(INDEX('THAM SỐ'!$F$5:$F$7,MATCH(C540,'THAM SỐ'!$A$5:$A$7,0)),""))</f>
        <v/>
      </c>
      <c r="S540" s="22" t="str">
        <f t="shared" si="24"/>
        <v/>
      </c>
      <c r="T540" s="16" t="str">
        <f t="shared" si="25"/>
        <v/>
      </c>
      <c r="U540" s="23" t="str">
        <f t="shared" si="26"/>
        <v/>
      </c>
      <c r="V540" s="18"/>
    </row>
    <row r="541" spans="1:22" x14ac:dyDescent="0.45">
      <c r="A541" s="16" t="str">
        <f>IF(B541="","","LDX-"&amp;TEXT(B541,"yymmdd")&amp;"-"&amp;TEXT(COUNTIFS(B$5:B541,B541),"00"))</f>
        <v/>
      </c>
      <c r="B541" s="17"/>
      <c r="C541" s="18"/>
      <c r="D541" s="18"/>
      <c r="E541" s="18"/>
      <c r="F541" s="18"/>
      <c r="G541" s="18"/>
      <c r="H541" s="18"/>
      <c r="I541" s="18"/>
      <c r="J541" s="19"/>
      <c r="K541" s="20"/>
      <c r="L541" s="20"/>
      <c r="M541" s="19"/>
      <c r="N541" s="18"/>
      <c r="O541" s="18"/>
      <c r="P541" s="18"/>
      <c r="Q541" s="18"/>
      <c r="R541" s="21" t="str">
        <f>IF(C541="","",IFERROR(INDEX('THAM SỐ'!$F$5:$F$7,MATCH(C541,'THAM SỐ'!$A$5:$A$7,0)),""))</f>
        <v/>
      </c>
      <c r="S541" s="22" t="str">
        <f t="shared" si="24"/>
        <v/>
      </c>
      <c r="T541" s="16" t="str">
        <f t="shared" si="25"/>
        <v/>
      </c>
      <c r="U541" s="23" t="str">
        <f t="shared" si="26"/>
        <v/>
      </c>
      <c r="V541" s="18"/>
    </row>
    <row r="542" spans="1:22" x14ac:dyDescent="0.45">
      <c r="A542" s="16" t="str">
        <f>IF(B542="","","LDX-"&amp;TEXT(B542,"yymmdd")&amp;"-"&amp;TEXT(COUNTIFS(B$5:B542,B542),"00"))</f>
        <v/>
      </c>
      <c r="B542" s="17"/>
      <c r="C542" s="18"/>
      <c r="D542" s="18"/>
      <c r="E542" s="18"/>
      <c r="F542" s="18"/>
      <c r="G542" s="18"/>
      <c r="H542" s="18"/>
      <c r="I542" s="18"/>
      <c r="J542" s="19"/>
      <c r="K542" s="20"/>
      <c r="L542" s="20"/>
      <c r="M542" s="19"/>
      <c r="N542" s="18"/>
      <c r="O542" s="18"/>
      <c r="P542" s="18"/>
      <c r="Q542" s="18"/>
      <c r="R542" s="21" t="str">
        <f>IF(C542="","",IFERROR(INDEX('THAM SỐ'!$F$5:$F$7,MATCH(C542,'THAM SỐ'!$A$5:$A$7,0)),""))</f>
        <v/>
      </c>
      <c r="S542" s="22" t="str">
        <f t="shared" si="24"/>
        <v/>
      </c>
      <c r="T542" s="16" t="str">
        <f t="shared" si="25"/>
        <v/>
      </c>
      <c r="U542" s="23" t="str">
        <f t="shared" si="26"/>
        <v/>
      </c>
      <c r="V542" s="18"/>
    </row>
    <row r="543" spans="1:22" x14ac:dyDescent="0.45">
      <c r="A543" s="16" t="str">
        <f>IF(B543="","","LDX-"&amp;TEXT(B543,"yymmdd")&amp;"-"&amp;TEXT(COUNTIFS(B$5:B543,B543),"00"))</f>
        <v/>
      </c>
      <c r="B543" s="17"/>
      <c r="C543" s="18"/>
      <c r="D543" s="18"/>
      <c r="E543" s="18"/>
      <c r="F543" s="18"/>
      <c r="G543" s="18"/>
      <c r="H543" s="18"/>
      <c r="I543" s="18"/>
      <c r="J543" s="19"/>
      <c r="K543" s="20"/>
      <c r="L543" s="20"/>
      <c r="M543" s="19"/>
      <c r="N543" s="18"/>
      <c r="O543" s="18"/>
      <c r="P543" s="18"/>
      <c r="Q543" s="18"/>
      <c r="R543" s="21" t="str">
        <f>IF(C543="","",IFERROR(INDEX('THAM SỐ'!$F$5:$F$7,MATCH(C543,'THAM SỐ'!$A$5:$A$7,0)),""))</f>
        <v/>
      </c>
      <c r="S543" s="22" t="str">
        <f t="shared" si="24"/>
        <v/>
      </c>
      <c r="T543" s="16" t="str">
        <f t="shared" si="25"/>
        <v/>
      </c>
      <c r="U543" s="23" t="str">
        <f t="shared" si="26"/>
        <v/>
      </c>
      <c r="V543" s="18"/>
    </row>
    <row r="544" spans="1:22" x14ac:dyDescent="0.45">
      <c r="A544" s="16" t="str">
        <f>IF(B544="","","LDX-"&amp;TEXT(B544,"yymmdd")&amp;"-"&amp;TEXT(COUNTIFS(B$5:B544,B544),"00"))</f>
        <v/>
      </c>
      <c r="B544" s="17"/>
      <c r="C544" s="18"/>
      <c r="D544" s="18"/>
      <c r="E544" s="18"/>
      <c r="F544" s="18"/>
      <c r="G544" s="18"/>
      <c r="H544" s="18"/>
      <c r="I544" s="18"/>
      <c r="J544" s="19"/>
      <c r="K544" s="20"/>
      <c r="L544" s="20"/>
      <c r="M544" s="19"/>
      <c r="N544" s="18"/>
      <c r="O544" s="18"/>
      <c r="P544" s="18"/>
      <c r="Q544" s="18"/>
      <c r="R544" s="21" t="str">
        <f>IF(C544="","",IFERROR(INDEX('THAM SỐ'!$F$5:$F$7,MATCH(C544,'THAM SỐ'!$A$5:$A$7,0)),""))</f>
        <v/>
      </c>
      <c r="S544" s="22" t="str">
        <f t="shared" si="24"/>
        <v/>
      </c>
      <c r="T544" s="16" t="str">
        <f t="shared" si="25"/>
        <v/>
      </c>
      <c r="U544" s="23" t="str">
        <f t="shared" si="26"/>
        <v/>
      </c>
      <c r="V544" s="18"/>
    </row>
    <row r="545" spans="1:22" x14ac:dyDescent="0.45">
      <c r="A545" s="16" t="str">
        <f>IF(B545="","","LDX-"&amp;TEXT(B545,"yymmdd")&amp;"-"&amp;TEXT(COUNTIFS(B$5:B545,B545),"00"))</f>
        <v/>
      </c>
      <c r="B545" s="17"/>
      <c r="C545" s="18"/>
      <c r="D545" s="18"/>
      <c r="E545" s="18"/>
      <c r="F545" s="18"/>
      <c r="G545" s="18"/>
      <c r="H545" s="18"/>
      <c r="I545" s="18"/>
      <c r="J545" s="19"/>
      <c r="K545" s="20"/>
      <c r="L545" s="20"/>
      <c r="M545" s="19"/>
      <c r="N545" s="18"/>
      <c r="O545" s="18"/>
      <c r="P545" s="18"/>
      <c r="Q545" s="18"/>
      <c r="R545" s="21" t="str">
        <f>IF(C545="","",IFERROR(INDEX('THAM SỐ'!$F$5:$F$7,MATCH(C545,'THAM SỐ'!$A$5:$A$7,0)),""))</f>
        <v/>
      </c>
      <c r="S545" s="22" t="str">
        <f t="shared" si="24"/>
        <v/>
      </c>
      <c r="T545" s="16" t="str">
        <f t="shared" si="25"/>
        <v/>
      </c>
      <c r="U545" s="23" t="str">
        <f t="shared" si="26"/>
        <v/>
      </c>
      <c r="V545" s="18"/>
    </row>
    <row r="546" spans="1:22" x14ac:dyDescent="0.45">
      <c r="A546" s="16" t="str">
        <f>IF(B546="","","LDX-"&amp;TEXT(B546,"yymmdd")&amp;"-"&amp;TEXT(COUNTIFS(B$5:B546,B546),"00"))</f>
        <v/>
      </c>
      <c r="B546" s="17"/>
      <c r="C546" s="18"/>
      <c r="D546" s="18"/>
      <c r="E546" s="18"/>
      <c r="F546" s="18"/>
      <c r="G546" s="18"/>
      <c r="H546" s="18"/>
      <c r="I546" s="18"/>
      <c r="J546" s="19"/>
      <c r="K546" s="20"/>
      <c r="L546" s="20"/>
      <c r="M546" s="19"/>
      <c r="N546" s="18"/>
      <c r="O546" s="18"/>
      <c r="P546" s="18"/>
      <c r="Q546" s="18"/>
      <c r="R546" s="21" t="str">
        <f>IF(C546="","",IFERROR(INDEX('THAM SỐ'!$F$5:$F$7,MATCH(C546,'THAM SỐ'!$A$5:$A$7,0)),""))</f>
        <v/>
      </c>
      <c r="S546" s="22" t="str">
        <f t="shared" si="24"/>
        <v/>
      </c>
      <c r="T546" s="16" t="str">
        <f t="shared" si="25"/>
        <v/>
      </c>
      <c r="U546" s="23" t="str">
        <f t="shared" si="26"/>
        <v/>
      </c>
      <c r="V546" s="18"/>
    </row>
    <row r="547" spans="1:22" x14ac:dyDescent="0.45">
      <c r="A547" s="16" t="str">
        <f>IF(B547="","","LDX-"&amp;TEXT(B547,"yymmdd")&amp;"-"&amp;TEXT(COUNTIFS(B$5:B547,B547),"00"))</f>
        <v/>
      </c>
      <c r="B547" s="17"/>
      <c r="C547" s="18"/>
      <c r="D547" s="18"/>
      <c r="E547" s="18"/>
      <c r="F547" s="18"/>
      <c r="G547" s="18"/>
      <c r="H547" s="18"/>
      <c r="I547" s="18"/>
      <c r="J547" s="19"/>
      <c r="K547" s="20"/>
      <c r="L547" s="20"/>
      <c r="M547" s="19"/>
      <c r="N547" s="18"/>
      <c r="O547" s="18"/>
      <c r="P547" s="18"/>
      <c r="Q547" s="18"/>
      <c r="R547" s="21" t="str">
        <f>IF(C547="","",IFERROR(INDEX('THAM SỐ'!$F$5:$F$7,MATCH(C547,'THAM SỐ'!$A$5:$A$7,0)),""))</f>
        <v/>
      </c>
      <c r="S547" s="22" t="str">
        <f t="shared" si="24"/>
        <v/>
      </c>
      <c r="T547" s="16" t="str">
        <f t="shared" si="25"/>
        <v/>
      </c>
      <c r="U547" s="23" t="str">
        <f t="shared" si="26"/>
        <v/>
      </c>
      <c r="V547" s="18"/>
    </row>
    <row r="548" spans="1:22" x14ac:dyDescent="0.45">
      <c r="A548" s="16" t="str">
        <f>IF(B548="","","LDX-"&amp;TEXT(B548,"yymmdd")&amp;"-"&amp;TEXT(COUNTIFS(B$5:B548,B548),"00"))</f>
        <v/>
      </c>
      <c r="B548" s="17"/>
      <c r="C548" s="18"/>
      <c r="D548" s="18"/>
      <c r="E548" s="18"/>
      <c r="F548" s="18"/>
      <c r="G548" s="18"/>
      <c r="H548" s="18"/>
      <c r="I548" s="18"/>
      <c r="J548" s="19"/>
      <c r="K548" s="20"/>
      <c r="L548" s="20"/>
      <c r="M548" s="19"/>
      <c r="N548" s="18"/>
      <c r="O548" s="18"/>
      <c r="P548" s="18"/>
      <c r="Q548" s="18"/>
      <c r="R548" s="21" t="str">
        <f>IF(C548="","",IFERROR(INDEX('THAM SỐ'!$F$5:$F$7,MATCH(C548,'THAM SỐ'!$A$5:$A$7,0)),""))</f>
        <v/>
      </c>
      <c r="S548" s="22" t="str">
        <f t="shared" si="24"/>
        <v/>
      </c>
      <c r="T548" s="16" t="str">
        <f t="shared" si="25"/>
        <v/>
      </c>
      <c r="U548" s="23" t="str">
        <f t="shared" si="26"/>
        <v/>
      </c>
      <c r="V548" s="18"/>
    </row>
    <row r="549" spans="1:22" x14ac:dyDescent="0.45">
      <c r="A549" s="16" t="str">
        <f>IF(B549="","","LDX-"&amp;TEXT(B549,"yymmdd")&amp;"-"&amp;TEXT(COUNTIFS(B$5:B549,B549),"00"))</f>
        <v/>
      </c>
      <c r="B549" s="17"/>
      <c r="C549" s="18"/>
      <c r="D549" s="18"/>
      <c r="E549" s="18"/>
      <c r="F549" s="18"/>
      <c r="G549" s="18"/>
      <c r="H549" s="18"/>
      <c r="I549" s="18"/>
      <c r="J549" s="19"/>
      <c r="K549" s="20"/>
      <c r="L549" s="20"/>
      <c r="M549" s="19"/>
      <c r="N549" s="18"/>
      <c r="O549" s="18"/>
      <c r="P549" s="18"/>
      <c r="Q549" s="18"/>
      <c r="R549" s="21" t="str">
        <f>IF(C549="","",IFERROR(INDEX('THAM SỐ'!$F$5:$F$7,MATCH(C549,'THAM SỐ'!$A$5:$A$7,0)),""))</f>
        <v/>
      </c>
      <c r="S549" s="22" t="str">
        <f t="shared" si="24"/>
        <v/>
      </c>
      <c r="T549" s="16" t="str">
        <f t="shared" si="25"/>
        <v/>
      </c>
      <c r="U549" s="23" t="str">
        <f t="shared" si="26"/>
        <v/>
      </c>
      <c r="V549" s="18"/>
    </row>
    <row r="550" spans="1:22" x14ac:dyDescent="0.45">
      <c r="A550" s="16" t="str">
        <f>IF(B550="","","LDX-"&amp;TEXT(B550,"yymmdd")&amp;"-"&amp;TEXT(COUNTIFS(B$5:B550,B550),"00"))</f>
        <v/>
      </c>
      <c r="B550" s="17"/>
      <c r="C550" s="18"/>
      <c r="D550" s="18"/>
      <c r="E550" s="18"/>
      <c r="F550" s="18"/>
      <c r="G550" s="18"/>
      <c r="H550" s="18"/>
      <c r="I550" s="18"/>
      <c r="J550" s="19"/>
      <c r="K550" s="20"/>
      <c r="L550" s="20"/>
      <c r="M550" s="19"/>
      <c r="N550" s="18"/>
      <c r="O550" s="18"/>
      <c r="P550" s="18"/>
      <c r="Q550" s="18"/>
      <c r="R550" s="21" t="str">
        <f>IF(C550="","",IFERROR(INDEX('THAM SỐ'!$F$5:$F$7,MATCH(C550,'THAM SỐ'!$A$5:$A$7,0)),""))</f>
        <v/>
      </c>
      <c r="S550" s="22" t="str">
        <f t="shared" si="24"/>
        <v/>
      </c>
      <c r="T550" s="16" t="str">
        <f t="shared" si="25"/>
        <v/>
      </c>
      <c r="U550" s="23" t="str">
        <f t="shared" si="26"/>
        <v/>
      </c>
      <c r="V550" s="18"/>
    </row>
    <row r="551" spans="1:22" x14ac:dyDescent="0.45">
      <c r="A551" s="16" t="str">
        <f>IF(B551="","","LDX-"&amp;TEXT(B551,"yymmdd")&amp;"-"&amp;TEXT(COUNTIFS(B$5:B551,B551),"00"))</f>
        <v/>
      </c>
      <c r="B551" s="17"/>
      <c r="C551" s="18"/>
      <c r="D551" s="18"/>
      <c r="E551" s="18"/>
      <c r="F551" s="18"/>
      <c r="G551" s="18"/>
      <c r="H551" s="18"/>
      <c r="I551" s="18"/>
      <c r="J551" s="19"/>
      <c r="K551" s="20"/>
      <c r="L551" s="20"/>
      <c r="M551" s="19"/>
      <c r="N551" s="18"/>
      <c r="O551" s="18"/>
      <c r="P551" s="18"/>
      <c r="Q551" s="18"/>
      <c r="R551" s="21" t="str">
        <f>IF(C551="","",IFERROR(INDEX('THAM SỐ'!$F$5:$F$7,MATCH(C551,'THAM SỐ'!$A$5:$A$7,0)),""))</f>
        <v/>
      </c>
      <c r="S551" s="22" t="str">
        <f t="shared" si="24"/>
        <v/>
      </c>
      <c r="T551" s="16" t="str">
        <f t="shared" si="25"/>
        <v/>
      </c>
      <c r="U551" s="23" t="str">
        <f t="shared" si="26"/>
        <v/>
      </c>
      <c r="V551" s="18"/>
    </row>
    <row r="552" spans="1:22" x14ac:dyDescent="0.45">
      <c r="A552" s="16" t="str">
        <f>IF(B552="","","LDX-"&amp;TEXT(B552,"yymmdd")&amp;"-"&amp;TEXT(COUNTIFS(B$5:B552,B552),"00"))</f>
        <v/>
      </c>
      <c r="B552" s="17"/>
      <c r="C552" s="18"/>
      <c r="D552" s="18"/>
      <c r="E552" s="18"/>
      <c r="F552" s="18"/>
      <c r="G552" s="18"/>
      <c r="H552" s="18"/>
      <c r="I552" s="18"/>
      <c r="J552" s="19"/>
      <c r="K552" s="20"/>
      <c r="L552" s="20"/>
      <c r="M552" s="19"/>
      <c r="N552" s="18"/>
      <c r="O552" s="18"/>
      <c r="P552" s="18"/>
      <c r="Q552" s="18"/>
      <c r="R552" s="21" t="str">
        <f>IF(C552="","",IFERROR(INDEX('THAM SỐ'!$F$5:$F$7,MATCH(C552,'THAM SỐ'!$A$5:$A$7,0)),""))</f>
        <v/>
      </c>
      <c r="S552" s="22" t="str">
        <f t="shared" si="24"/>
        <v/>
      </c>
      <c r="T552" s="16" t="str">
        <f t="shared" si="25"/>
        <v/>
      </c>
      <c r="U552" s="23" t="str">
        <f t="shared" si="26"/>
        <v/>
      </c>
      <c r="V552" s="18"/>
    </row>
    <row r="553" spans="1:22" x14ac:dyDescent="0.45">
      <c r="A553" s="16" t="str">
        <f>IF(B553="","","LDX-"&amp;TEXT(B553,"yymmdd")&amp;"-"&amp;TEXT(COUNTIFS(B$5:B553,B553),"00"))</f>
        <v/>
      </c>
      <c r="B553" s="17"/>
      <c r="C553" s="18"/>
      <c r="D553" s="18"/>
      <c r="E553" s="18"/>
      <c r="F553" s="18"/>
      <c r="G553" s="18"/>
      <c r="H553" s="18"/>
      <c r="I553" s="18"/>
      <c r="J553" s="19"/>
      <c r="K553" s="20"/>
      <c r="L553" s="20"/>
      <c r="M553" s="19"/>
      <c r="N553" s="18"/>
      <c r="O553" s="18"/>
      <c r="P553" s="18"/>
      <c r="Q553" s="18"/>
      <c r="R553" s="21" t="str">
        <f>IF(C553="","",IFERROR(INDEX('THAM SỐ'!$F$5:$F$7,MATCH(C553,'THAM SỐ'!$A$5:$A$7,0)),""))</f>
        <v/>
      </c>
      <c r="S553" s="22" t="str">
        <f t="shared" si="24"/>
        <v/>
      </c>
      <c r="T553" s="16" t="str">
        <f t="shared" si="25"/>
        <v/>
      </c>
      <c r="U553" s="23" t="str">
        <f t="shared" si="26"/>
        <v/>
      </c>
      <c r="V553" s="18"/>
    </row>
    <row r="554" spans="1:22" x14ac:dyDescent="0.45">
      <c r="A554" s="16" t="str">
        <f>IF(B554="","","LDX-"&amp;TEXT(B554,"yymmdd")&amp;"-"&amp;TEXT(COUNTIFS(B$5:B554,B554),"00"))</f>
        <v/>
      </c>
      <c r="B554" s="17"/>
      <c r="C554" s="18"/>
      <c r="D554" s="18"/>
      <c r="E554" s="18"/>
      <c r="F554" s="18"/>
      <c r="G554" s="18"/>
      <c r="H554" s="18"/>
      <c r="I554" s="18"/>
      <c r="J554" s="19"/>
      <c r="K554" s="20"/>
      <c r="L554" s="20"/>
      <c r="M554" s="19"/>
      <c r="N554" s="18"/>
      <c r="O554" s="18"/>
      <c r="P554" s="18"/>
      <c r="Q554" s="18"/>
      <c r="R554" s="21" t="str">
        <f>IF(C554="","",IFERROR(INDEX('THAM SỐ'!$F$5:$F$7,MATCH(C554,'THAM SỐ'!$A$5:$A$7,0)),""))</f>
        <v/>
      </c>
      <c r="S554" s="22" t="str">
        <f t="shared" si="24"/>
        <v/>
      </c>
      <c r="T554" s="16" t="str">
        <f t="shared" si="25"/>
        <v/>
      </c>
      <c r="U554" s="23" t="str">
        <f t="shared" si="26"/>
        <v/>
      </c>
      <c r="V554" s="18"/>
    </row>
    <row r="555" spans="1:22" x14ac:dyDescent="0.45">
      <c r="A555" s="16" t="str">
        <f>IF(B555="","","LDX-"&amp;TEXT(B555,"yymmdd")&amp;"-"&amp;TEXT(COUNTIFS(B$5:B555,B555),"00"))</f>
        <v/>
      </c>
      <c r="B555" s="17"/>
      <c r="C555" s="18"/>
      <c r="D555" s="18"/>
      <c r="E555" s="18"/>
      <c r="F555" s="18"/>
      <c r="G555" s="18"/>
      <c r="H555" s="18"/>
      <c r="I555" s="18"/>
      <c r="J555" s="19"/>
      <c r="K555" s="20"/>
      <c r="L555" s="20"/>
      <c r="M555" s="19"/>
      <c r="N555" s="18"/>
      <c r="O555" s="18"/>
      <c r="P555" s="18"/>
      <c r="Q555" s="18"/>
      <c r="R555" s="21" t="str">
        <f>IF(C555="","",IFERROR(INDEX('THAM SỐ'!$F$5:$F$7,MATCH(C555,'THAM SỐ'!$A$5:$A$7,0)),""))</f>
        <v/>
      </c>
      <c r="S555" s="22" t="str">
        <f t="shared" si="24"/>
        <v/>
      </c>
      <c r="T555" s="16" t="str">
        <f t="shared" si="25"/>
        <v/>
      </c>
      <c r="U555" s="23" t="str">
        <f t="shared" si="26"/>
        <v/>
      </c>
      <c r="V555" s="18"/>
    </row>
    <row r="556" spans="1:22" x14ac:dyDescent="0.45">
      <c r="A556" s="16" t="str">
        <f>IF(B556="","","LDX-"&amp;TEXT(B556,"yymmdd")&amp;"-"&amp;TEXT(COUNTIFS(B$5:B556,B556),"00"))</f>
        <v/>
      </c>
      <c r="B556" s="17"/>
      <c r="C556" s="18"/>
      <c r="D556" s="18"/>
      <c r="E556" s="18"/>
      <c r="F556" s="18"/>
      <c r="G556" s="18"/>
      <c r="H556" s="18"/>
      <c r="I556" s="18"/>
      <c r="J556" s="19"/>
      <c r="K556" s="20"/>
      <c r="L556" s="20"/>
      <c r="M556" s="19"/>
      <c r="N556" s="18"/>
      <c r="O556" s="18"/>
      <c r="P556" s="18"/>
      <c r="Q556" s="18"/>
      <c r="R556" s="21" t="str">
        <f>IF(C556="","",IFERROR(INDEX('THAM SỐ'!$F$5:$F$7,MATCH(C556,'THAM SỐ'!$A$5:$A$7,0)),""))</f>
        <v/>
      </c>
      <c r="S556" s="22" t="str">
        <f t="shared" si="24"/>
        <v/>
      </c>
      <c r="T556" s="16" t="str">
        <f t="shared" si="25"/>
        <v/>
      </c>
      <c r="U556" s="23" t="str">
        <f t="shared" si="26"/>
        <v/>
      </c>
      <c r="V556" s="18"/>
    </row>
    <row r="557" spans="1:22" x14ac:dyDescent="0.45">
      <c r="A557" s="16" t="str">
        <f>IF(B557="","","LDX-"&amp;TEXT(B557,"yymmdd")&amp;"-"&amp;TEXT(COUNTIFS(B$5:B557,B557),"00"))</f>
        <v/>
      </c>
      <c r="B557" s="17"/>
      <c r="C557" s="18"/>
      <c r="D557" s="18"/>
      <c r="E557" s="18"/>
      <c r="F557" s="18"/>
      <c r="G557" s="18"/>
      <c r="H557" s="18"/>
      <c r="I557" s="18"/>
      <c r="J557" s="19"/>
      <c r="K557" s="20"/>
      <c r="L557" s="20"/>
      <c r="M557" s="19"/>
      <c r="N557" s="18"/>
      <c r="O557" s="18"/>
      <c r="P557" s="18"/>
      <c r="Q557" s="18"/>
      <c r="R557" s="21" t="str">
        <f>IF(C557="","",IFERROR(INDEX('THAM SỐ'!$F$5:$F$7,MATCH(C557,'THAM SỐ'!$A$5:$A$7,0)),""))</f>
        <v/>
      </c>
      <c r="S557" s="22" t="str">
        <f t="shared" si="24"/>
        <v/>
      </c>
      <c r="T557" s="16" t="str">
        <f t="shared" si="25"/>
        <v/>
      </c>
      <c r="U557" s="23" t="str">
        <f t="shared" si="26"/>
        <v/>
      </c>
      <c r="V557" s="18"/>
    </row>
    <row r="558" spans="1:22" x14ac:dyDescent="0.45">
      <c r="A558" s="16" t="str">
        <f>IF(B558="","","LDX-"&amp;TEXT(B558,"yymmdd")&amp;"-"&amp;TEXT(COUNTIFS(B$5:B558,B558),"00"))</f>
        <v/>
      </c>
      <c r="B558" s="17"/>
      <c r="C558" s="18"/>
      <c r="D558" s="18"/>
      <c r="E558" s="18"/>
      <c r="F558" s="18"/>
      <c r="G558" s="18"/>
      <c r="H558" s="18"/>
      <c r="I558" s="18"/>
      <c r="J558" s="19"/>
      <c r="K558" s="20"/>
      <c r="L558" s="20"/>
      <c r="M558" s="19"/>
      <c r="N558" s="18"/>
      <c r="O558" s="18"/>
      <c r="P558" s="18"/>
      <c r="Q558" s="18"/>
      <c r="R558" s="21" t="str">
        <f>IF(C558="","",IFERROR(INDEX('THAM SỐ'!$F$5:$F$7,MATCH(C558,'THAM SỐ'!$A$5:$A$7,0)),""))</f>
        <v/>
      </c>
      <c r="S558" s="22" t="str">
        <f t="shared" si="24"/>
        <v/>
      </c>
      <c r="T558" s="16" t="str">
        <f t="shared" si="25"/>
        <v/>
      </c>
      <c r="U558" s="23" t="str">
        <f t="shared" si="26"/>
        <v/>
      </c>
      <c r="V558" s="18"/>
    </row>
    <row r="559" spans="1:22" x14ac:dyDescent="0.45">
      <c r="A559" s="16" t="str">
        <f>IF(B559="","","LDX-"&amp;TEXT(B559,"yymmdd")&amp;"-"&amp;TEXT(COUNTIFS(B$5:B559,B559),"00"))</f>
        <v/>
      </c>
      <c r="B559" s="17"/>
      <c r="C559" s="18"/>
      <c r="D559" s="18"/>
      <c r="E559" s="18"/>
      <c r="F559" s="18"/>
      <c r="G559" s="18"/>
      <c r="H559" s="18"/>
      <c r="I559" s="18"/>
      <c r="J559" s="19"/>
      <c r="K559" s="20"/>
      <c r="L559" s="20"/>
      <c r="M559" s="19"/>
      <c r="N559" s="18"/>
      <c r="O559" s="18"/>
      <c r="P559" s="18"/>
      <c r="Q559" s="18"/>
      <c r="R559" s="21" t="str">
        <f>IF(C559="","",IFERROR(INDEX('THAM SỐ'!$F$5:$F$7,MATCH(C559,'THAM SỐ'!$A$5:$A$7,0)),""))</f>
        <v/>
      </c>
      <c r="S559" s="22" t="str">
        <f t="shared" si="24"/>
        <v/>
      </c>
      <c r="T559" s="16" t="str">
        <f t="shared" si="25"/>
        <v/>
      </c>
      <c r="U559" s="23" t="str">
        <f t="shared" si="26"/>
        <v/>
      </c>
      <c r="V559" s="18"/>
    </row>
    <row r="560" spans="1:22" x14ac:dyDescent="0.45">
      <c r="A560" s="16" t="str">
        <f>IF(B560="","","LDX-"&amp;TEXT(B560,"yymmdd")&amp;"-"&amp;TEXT(COUNTIFS(B$5:B560,B560),"00"))</f>
        <v/>
      </c>
      <c r="B560" s="17"/>
      <c r="C560" s="18"/>
      <c r="D560" s="18"/>
      <c r="E560" s="18"/>
      <c r="F560" s="18"/>
      <c r="G560" s="18"/>
      <c r="H560" s="18"/>
      <c r="I560" s="18"/>
      <c r="J560" s="19"/>
      <c r="K560" s="20"/>
      <c r="L560" s="20"/>
      <c r="M560" s="19"/>
      <c r="N560" s="18"/>
      <c r="O560" s="18"/>
      <c r="P560" s="18"/>
      <c r="Q560" s="18"/>
      <c r="R560" s="21" t="str">
        <f>IF(C560="","",IFERROR(INDEX('THAM SỐ'!$F$5:$F$7,MATCH(C560,'THAM SỐ'!$A$5:$A$7,0)),""))</f>
        <v/>
      </c>
      <c r="S560" s="22" t="str">
        <f t="shared" si="24"/>
        <v/>
      </c>
      <c r="T560" s="16" t="str">
        <f t="shared" si="25"/>
        <v/>
      </c>
      <c r="U560" s="23" t="str">
        <f t="shared" si="26"/>
        <v/>
      </c>
      <c r="V560" s="18"/>
    </row>
    <row r="561" spans="1:22" x14ac:dyDescent="0.45">
      <c r="A561" s="16" t="str">
        <f>IF(B561="","","LDX-"&amp;TEXT(B561,"yymmdd")&amp;"-"&amp;TEXT(COUNTIFS(B$5:B561,B561),"00"))</f>
        <v/>
      </c>
      <c r="B561" s="17"/>
      <c r="C561" s="18"/>
      <c r="D561" s="18"/>
      <c r="E561" s="18"/>
      <c r="F561" s="18"/>
      <c r="G561" s="18"/>
      <c r="H561" s="18"/>
      <c r="I561" s="18"/>
      <c r="J561" s="19"/>
      <c r="K561" s="20"/>
      <c r="L561" s="20"/>
      <c r="M561" s="19"/>
      <c r="N561" s="18"/>
      <c r="O561" s="18"/>
      <c r="P561" s="18"/>
      <c r="Q561" s="18"/>
      <c r="R561" s="21" t="str">
        <f>IF(C561="","",IFERROR(INDEX('THAM SỐ'!$F$5:$F$7,MATCH(C561,'THAM SỐ'!$A$5:$A$7,0)),""))</f>
        <v/>
      </c>
      <c r="S561" s="22" t="str">
        <f t="shared" si="24"/>
        <v/>
      </c>
      <c r="T561" s="16" t="str">
        <f t="shared" si="25"/>
        <v/>
      </c>
      <c r="U561" s="23" t="str">
        <f t="shared" si="26"/>
        <v/>
      </c>
      <c r="V561" s="18"/>
    </row>
    <row r="562" spans="1:22" x14ac:dyDescent="0.45">
      <c r="A562" s="16" t="str">
        <f>IF(B562="","","LDX-"&amp;TEXT(B562,"yymmdd")&amp;"-"&amp;TEXT(COUNTIFS(B$5:B562,B562),"00"))</f>
        <v/>
      </c>
      <c r="B562" s="17"/>
      <c r="C562" s="18"/>
      <c r="D562" s="18"/>
      <c r="E562" s="18"/>
      <c r="F562" s="18"/>
      <c r="G562" s="18"/>
      <c r="H562" s="18"/>
      <c r="I562" s="18"/>
      <c r="J562" s="19"/>
      <c r="K562" s="20"/>
      <c r="L562" s="20"/>
      <c r="M562" s="19"/>
      <c r="N562" s="18"/>
      <c r="O562" s="18"/>
      <c r="P562" s="18"/>
      <c r="Q562" s="18"/>
      <c r="R562" s="21" t="str">
        <f>IF(C562="","",IFERROR(INDEX('THAM SỐ'!$F$5:$F$7,MATCH(C562,'THAM SỐ'!$A$5:$A$7,0)),""))</f>
        <v/>
      </c>
      <c r="S562" s="22" t="str">
        <f t="shared" si="24"/>
        <v/>
      </c>
      <c r="T562" s="16" t="str">
        <f t="shared" si="25"/>
        <v/>
      </c>
      <c r="U562" s="23" t="str">
        <f t="shared" si="26"/>
        <v/>
      </c>
      <c r="V562" s="18"/>
    </row>
    <row r="563" spans="1:22" x14ac:dyDescent="0.45">
      <c r="A563" s="16" t="str">
        <f>IF(B563="","","LDX-"&amp;TEXT(B563,"yymmdd")&amp;"-"&amp;TEXT(COUNTIFS(B$5:B563,B563),"00"))</f>
        <v/>
      </c>
      <c r="B563" s="17"/>
      <c r="C563" s="18"/>
      <c r="D563" s="18"/>
      <c r="E563" s="18"/>
      <c r="F563" s="18"/>
      <c r="G563" s="18"/>
      <c r="H563" s="18"/>
      <c r="I563" s="18"/>
      <c r="J563" s="19"/>
      <c r="K563" s="20"/>
      <c r="L563" s="20"/>
      <c r="M563" s="19"/>
      <c r="N563" s="18"/>
      <c r="O563" s="18"/>
      <c r="P563" s="18"/>
      <c r="Q563" s="18"/>
      <c r="R563" s="21" t="str">
        <f>IF(C563="","",IFERROR(INDEX('THAM SỐ'!$F$5:$F$7,MATCH(C563,'THAM SỐ'!$A$5:$A$7,0)),""))</f>
        <v/>
      </c>
      <c r="S563" s="22" t="str">
        <f t="shared" si="24"/>
        <v/>
      </c>
      <c r="T563" s="16" t="str">
        <f t="shared" si="25"/>
        <v/>
      </c>
      <c r="U563" s="23" t="str">
        <f t="shared" si="26"/>
        <v/>
      </c>
      <c r="V563" s="18"/>
    </row>
    <row r="564" spans="1:22" x14ac:dyDescent="0.45">
      <c r="A564" s="16" t="str">
        <f>IF(B564="","","LDX-"&amp;TEXT(B564,"yymmdd")&amp;"-"&amp;TEXT(COUNTIFS(B$5:B564,B564),"00"))</f>
        <v/>
      </c>
      <c r="B564" s="17"/>
      <c r="C564" s="18"/>
      <c r="D564" s="18"/>
      <c r="E564" s="18"/>
      <c r="F564" s="18"/>
      <c r="G564" s="18"/>
      <c r="H564" s="18"/>
      <c r="I564" s="18"/>
      <c r="J564" s="19"/>
      <c r="K564" s="20"/>
      <c r="L564" s="20"/>
      <c r="M564" s="19"/>
      <c r="N564" s="18"/>
      <c r="O564" s="18"/>
      <c r="P564" s="18"/>
      <c r="Q564" s="18"/>
      <c r="R564" s="21" t="str">
        <f>IF(C564="","",IFERROR(INDEX('THAM SỐ'!$F$5:$F$7,MATCH(C564,'THAM SỐ'!$A$5:$A$7,0)),""))</f>
        <v/>
      </c>
      <c r="S564" s="22" t="str">
        <f t="shared" si="24"/>
        <v/>
      </c>
      <c r="T564" s="16" t="str">
        <f t="shared" si="25"/>
        <v/>
      </c>
      <c r="U564" s="23" t="str">
        <f t="shared" si="26"/>
        <v/>
      </c>
      <c r="V564" s="18"/>
    </row>
    <row r="565" spans="1:22" x14ac:dyDescent="0.45">
      <c r="A565" s="16" t="str">
        <f>IF(B565="","","LDX-"&amp;TEXT(B565,"yymmdd")&amp;"-"&amp;TEXT(COUNTIFS(B$5:B565,B565),"00"))</f>
        <v/>
      </c>
      <c r="B565" s="17"/>
      <c r="C565" s="18"/>
      <c r="D565" s="18"/>
      <c r="E565" s="18"/>
      <c r="F565" s="18"/>
      <c r="G565" s="18"/>
      <c r="H565" s="18"/>
      <c r="I565" s="18"/>
      <c r="J565" s="19"/>
      <c r="K565" s="20"/>
      <c r="L565" s="20"/>
      <c r="M565" s="19"/>
      <c r="N565" s="18"/>
      <c r="O565" s="18"/>
      <c r="P565" s="18"/>
      <c r="Q565" s="18"/>
      <c r="R565" s="21" t="str">
        <f>IF(C565="","",IFERROR(INDEX('THAM SỐ'!$F$5:$F$7,MATCH(C565,'THAM SỐ'!$A$5:$A$7,0)),""))</f>
        <v/>
      </c>
      <c r="S565" s="22" t="str">
        <f t="shared" si="24"/>
        <v/>
      </c>
      <c r="T565" s="16" t="str">
        <f t="shared" si="25"/>
        <v/>
      </c>
      <c r="U565" s="23" t="str">
        <f t="shared" si="26"/>
        <v/>
      </c>
      <c r="V565" s="18"/>
    </row>
    <row r="566" spans="1:22" x14ac:dyDescent="0.45">
      <c r="A566" s="16" t="str">
        <f>IF(B566="","","LDX-"&amp;TEXT(B566,"yymmdd")&amp;"-"&amp;TEXT(COUNTIFS(B$5:B566,B566),"00"))</f>
        <v/>
      </c>
      <c r="B566" s="17"/>
      <c r="C566" s="18"/>
      <c r="D566" s="18"/>
      <c r="E566" s="18"/>
      <c r="F566" s="18"/>
      <c r="G566" s="18"/>
      <c r="H566" s="18"/>
      <c r="I566" s="18"/>
      <c r="J566" s="19"/>
      <c r="K566" s="20"/>
      <c r="L566" s="20"/>
      <c r="M566" s="19"/>
      <c r="N566" s="18"/>
      <c r="O566" s="18"/>
      <c r="P566" s="18"/>
      <c r="Q566" s="18"/>
      <c r="R566" s="21" t="str">
        <f>IF(C566="","",IFERROR(INDEX('THAM SỐ'!$F$5:$F$7,MATCH(C566,'THAM SỐ'!$A$5:$A$7,0)),""))</f>
        <v/>
      </c>
      <c r="S566" s="22" t="str">
        <f t="shared" si="24"/>
        <v/>
      </c>
      <c r="T566" s="16" t="str">
        <f t="shared" si="25"/>
        <v/>
      </c>
      <c r="U566" s="23" t="str">
        <f t="shared" si="26"/>
        <v/>
      </c>
      <c r="V566" s="18"/>
    </row>
    <row r="567" spans="1:22" x14ac:dyDescent="0.45">
      <c r="A567" s="16" t="str">
        <f>IF(B567="","","LDX-"&amp;TEXT(B567,"yymmdd")&amp;"-"&amp;TEXT(COUNTIFS(B$5:B567,B567),"00"))</f>
        <v/>
      </c>
      <c r="B567" s="17"/>
      <c r="C567" s="18"/>
      <c r="D567" s="18"/>
      <c r="E567" s="18"/>
      <c r="F567" s="18"/>
      <c r="G567" s="18"/>
      <c r="H567" s="18"/>
      <c r="I567" s="18"/>
      <c r="J567" s="19"/>
      <c r="K567" s="20"/>
      <c r="L567" s="20"/>
      <c r="M567" s="19"/>
      <c r="N567" s="18"/>
      <c r="O567" s="18"/>
      <c r="P567" s="18"/>
      <c r="Q567" s="18"/>
      <c r="R567" s="21" t="str">
        <f>IF(C567="","",IFERROR(INDEX('THAM SỐ'!$F$5:$F$7,MATCH(C567,'THAM SỐ'!$A$5:$A$7,0)),""))</f>
        <v/>
      </c>
      <c r="S567" s="22" t="str">
        <f t="shared" si="24"/>
        <v/>
      </c>
      <c r="T567" s="16" t="str">
        <f t="shared" si="25"/>
        <v/>
      </c>
      <c r="U567" s="23" t="str">
        <f t="shared" si="26"/>
        <v/>
      </c>
      <c r="V567" s="18"/>
    </row>
    <row r="568" spans="1:22" x14ac:dyDescent="0.45">
      <c r="A568" s="16" t="str">
        <f>IF(B568="","","LDX-"&amp;TEXT(B568,"yymmdd")&amp;"-"&amp;TEXT(COUNTIFS(B$5:B568,B568),"00"))</f>
        <v/>
      </c>
      <c r="B568" s="17"/>
      <c r="C568" s="18"/>
      <c r="D568" s="18"/>
      <c r="E568" s="18"/>
      <c r="F568" s="18"/>
      <c r="G568" s="18"/>
      <c r="H568" s="18"/>
      <c r="I568" s="18"/>
      <c r="J568" s="19"/>
      <c r="K568" s="20"/>
      <c r="L568" s="20"/>
      <c r="M568" s="19"/>
      <c r="N568" s="18"/>
      <c r="O568" s="18"/>
      <c r="P568" s="18"/>
      <c r="Q568" s="18"/>
      <c r="R568" s="21" t="str">
        <f>IF(C568="","",IFERROR(INDEX('THAM SỐ'!$F$5:$F$7,MATCH(C568,'THAM SỐ'!$A$5:$A$7,0)),""))</f>
        <v/>
      </c>
      <c r="S568" s="22" t="str">
        <f t="shared" si="24"/>
        <v/>
      </c>
      <c r="T568" s="16" t="str">
        <f t="shared" si="25"/>
        <v/>
      </c>
      <c r="U568" s="23" t="str">
        <f t="shared" si="26"/>
        <v/>
      </c>
      <c r="V568" s="18"/>
    </row>
    <row r="569" spans="1:22" x14ac:dyDescent="0.45">
      <c r="A569" s="16" t="str">
        <f>IF(B569="","","LDX-"&amp;TEXT(B569,"yymmdd")&amp;"-"&amp;TEXT(COUNTIFS(B$5:B569,B569),"00"))</f>
        <v/>
      </c>
      <c r="B569" s="17"/>
      <c r="C569" s="18"/>
      <c r="D569" s="18"/>
      <c r="E569" s="18"/>
      <c r="F569" s="18"/>
      <c r="G569" s="18"/>
      <c r="H569" s="18"/>
      <c r="I569" s="18"/>
      <c r="J569" s="19"/>
      <c r="K569" s="20"/>
      <c r="L569" s="20"/>
      <c r="M569" s="19"/>
      <c r="N569" s="18"/>
      <c r="O569" s="18"/>
      <c r="P569" s="18"/>
      <c r="Q569" s="18"/>
      <c r="R569" s="21" t="str">
        <f>IF(C569="","",IFERROR(INDEX('THAM SỐ'!$F$5:$F$7,MATCH(C569,'THAM SỐ'!$A$5:$A$7,0)),""))</f>
        <v/>
      </c>
      <c r="S569" s="22" t="str">
        <f t="shared" si="24"/>
        <v/>
      </c>
      <c r="T569" s="16" t="str">
        <f t="shared" si="25"/>
        <v/>
      </c>
      <c r="U569" s="23" t="str">
        <f t="shared" si="26"/>
        <v/>
      </c>
      <c r="V569" s="18"/>
    </row>
    <row r="570" spans="1:22" x14ac:dyDescent="0.45">
      <c r="A570" s="16" t="str">
        <f>IF(B570="","","LDX-"&amp;TEXT(B570,"yymmdd")&amp;"-"&amp;TEXT(COUNTIFS(B$5:B570,B570),"00"))</f>
        <v/>
      </c>
      <c r="B570" s="17"/>
      <c r="C570" s="18"/>
      <c r="D570" s="18"/>
      <c r="E570" s="18"/>
      <c r="F570" s="18"/>
      <c r="G570" s="18"/>
      <c r="H570" s="18"/>
      <c r="I570" s="18"/>
      <c r="J570" s="19"/>
      <c r="K570" s="20"/>
      <c r="L570" s="20"/>
      <c r="M570" s="19"/>
      <c r="N570" s="18"/>
      <c r="O570" s="18"/>
      <c r="P570" s="18"/>
      <c r="Q570" s="18"/>
      <c r="R570" s="21" t="str">
        <f>IF(C570="","",IFERROR(INDEX('THAM SỐ'!$F$5:$F$7,MATCH(C570,'THAM SỐ'!$A$5:$A$7,0)),""))</f>
        <v/>
      </c>
      <c r="S570" s="22" t="str">
        <f t="shared" si="24"/>
        <v/>
      </c>
      <c r="T570" s="16" t="str">
        <f t="shared" si="25"/>
        <v/>
      </c>
      <c r="U570" s="23" t="str">
        <f t="shared" si="26"/>
        <v/>
      </c>
      <c r="V570" s="18"/>
    </row>
    <row r="571" spans="1:22" x14ac:dyDescent="0.45">
      <c r="A571" s="16" t="str">
        <f>IF(B571="","","LDX-"&amp;TEXT(B571,"yymmdd")&amp;"-"&amp;TEXT(COUNTIFS(B$5:B571,B571),"00"))</f>
        <v/>
      </c>
      <c r="B571" s="17"/>
      <c r="C571" s="18"/>
      <c r="D571" s="18"/>
      <c r="E571" s="18"/>
      <c r="F571" s="18"/>
      <c r="G571" s="18"/>
      <c r="H571" s="18"/>
      <c r="I571" s="18"/>
      <c r="J571" s="19"/>
      <c r="K571" s="20"/>
      <c r="L571" s="20"/>
      <c r="M571" s="19"/>
      <c r="N571" s="18"/>
      <c r="O571" s="18"/>
      <c r="P571" s="18"/>
      <c r="Q571" s="18"/>
      <c r="R571" s="21" t="str">
        <f>IF(C571="","",IFERROR(INDEX('THAM SỐ'!$F$5:$F$7,MATCH(C571,'THAM SỐ'!$A$5:$A$7,0)),""))</f>
        <v/>
      </c>
      <c r="S571" s="22" t="str">
        <f t="shared" si="24"/>
        <v/>
      </c>
      <c r="T571" s="16" t="str">
        <f t="shared" si="25"/>
        <v/>
      </c>
      <c r="U571" s="23" t="str">
        <f t="shared" si="26"/>
        <v/>
      </c>
      <c r="V571" s="18"/>
    </row>
    <row r="572" spans="1:22" x14ac:dyDescent="0.45">
      <c r="A572" s="16" t="str">
        <f>IF(B572="","","LDX-"&amp;TEXT(B572,"yymmdd")&amp;"-"&amp;TEXT(COUNTIFS(B$5:B572,B572),"00"))</f>
        <v/>
      </c>
      <c r="B572" s="17"/>
      <c r="C572" s="18"/>
      <c r="D572" s="18"/>
      <c r="E572" s="18"/>
      <c r="F572" s="18"/>
      <c r="G572" s="18"/>
      <c r="H572" s="18"/>
      <c r="I572" s="18"/>
      <c r="J572" s="19"/>
      <c r="K572" s="20"/>
      <c r="L572" s="20"/>
      <c r="M572" s="19"/>
      <c r="N572" s="18"/>
      <c r="O572" s="18"/>
      <c r="P572" s="18"/>
      <c r="Q572" s="18"/>
      <c r="R572" s="21" t="str">
        <f>IF(C572="","",IFERROR(INDEX('THAM SỐ'!$F$5:$F$7,MATCH(C572,'THAM SỐ'!$A$5:$A$7,0)),""))</f>
        <v/>
      </c>
      <c r="S572" s="22" t="str">
        <f t="shared" si="24"/>
        <v/>
      </c>
      <c r="T572" s="16" t="str">
        <f t="shared" si="25"/>
        <v/>
      </c>
      <c r="U572" s="23" t="str">
        <f t="shared" si="26"/>
        <v/>
      </c>
      <c r="V572" s="18"/>
    </row>
    <row r="573" spans="1:22" x14ac:dyDescent="0.45">
      <c r="A573" s="16" t="str">
        <f>IF(B573="","","LDX-"&amp;TEXT(B573,"yymmdd")&amp;"-"&amp;TEXT(COUNTIFS(B$5:B573,B573),"00"))</f>
        <v/>
      </c>
      <c r="B573" s="17"/>
      <c r="C573" s="18"/>
      <c r="D573" s="18"/>
      <c r="E573" s="18"/>
      <c r="F573" s="18"/>
      <c r="G573" s="18"/>
      <c r="H573" s="18"/>
      <c r="I573" s="18"/>
      <c r="J573" s="19"/>
      <c r="K573" s="20"/>
      <c r="L573" s="20"/>
      <c r="M573" s="19"/>
      <c r="N573" s="18"/>
      <c r="O573" s="18"/>
      <c r="P573" s="18"/>
      <c r="Q573" s="18"/>
      <c r="R573" s="21" t="str">
        <f>IF(C573="","",IFERROR(INDEX('THAM SỐ'!$F$5:$F$7,MATCH(C573,'THAM SỐ'!$A$5:$A$7,0)),""))</f>
        <v/>
      </c>
      <c r="S573" s="22" t="str">
        <f t="shared" si="24"/>
        <v/>
      </c>
      <c r="T573" s="16" t="str">
        <f t="shared" si="25"/>
        <v/>
      </c>
      <c r="U573" s="23" t="str">
        <f t="shared" si="26"/>
        <v/>
      </c>
      <c r="V573" s="18"/>
    </row>
    <row r="574" spans="1:22" x14ac:dyDescent="0.45">
      <c r="A574" s="16" t="str">
        <f>IF(B574="","","LDX-"&amp;TEXT(B574,"yymmdd")&amp;"-"&amp;TEXT(COUNTIFS(B$5:B574,B574),"00"))</f>
        <v/>
      </c>
      <c r="B574" s="17"/>
      <c r="C574" s="18"/>
      <c r="D574" s="18"/>
      <c r="E574" s="18"/>
      <c r="F574" s="18"/>
      <c r="G574" s="18"/>
      <c r="H574" s="18"/>
      <c r="I574" s="18"/>
      <c r="J574" s="19"/>
      <c r="K574" s="20"/>
      <c r="L574" s="20"/>
      <c r="M574" s="19"/>
      <c r="N574" s="18"/>
      <c r="O574" s="18"/>
      <c r="P574" s="18"/>
      <c r="Q574" s="18"/>
      <c r="R574" s="21" t="str">
        <f>IF(C574="","",IFERROR(INDEX('THAM SỐ'!$F$5:$F$7,MATCH(C574,'THAM SỐ'!$A$5:$A$7,0)),""))</f>
        <v/>
      </c>
      <c r="S574" s="22" t="str">
        <f t="shared" si="24"/>
        <v/>
      </c>
      <c r="T574" s="16" t="str">
        <f t="shared" si="25"/>
        <v/>
      </c>
      <c r="U574" s="23" t="str">
        <f t="shared" si="26"/>
        <v/>
      </c>
      <c r="V574" s="18"/>
    </row>
    <row r="575" spans="1:22" x14ac:dyDescent="0.45">
      <c r="A575" s="16" t="str">
        <f>IF(B575="","","LDX-"&amp;TEXT(B575,"yymmdd")&amp;"-"&amp;TEXT(COUNTIFS(B$5:B575,B575),"00"))</f>
        <v/>
      </c>
      <c r="B575" s="17"/>
      <c r="C575" s="18"/>
      <c r="D575" s="18"/>
      <c r="E575" s="18"/>
      <c r="F575" s="18"/>
      <c r="G575" s="18"/>
      <c r="H575" s="18"/>
      <c r="I575" s="18"/>
      <c r="J575" s="19"/>
      <c r="K575" s="20"/>
      <c r="L575" s="20"/>
      <c r="M575" s="19"/>
      <c r="N575" s="18"/>
      <c r="O575" s="18"/>
      <c r="P575" s="18"/>
      <c r="Q575" s="18"/>
      <c r="R575" s="21" t="str">
        <f>IF(C575="","",IFERROR(INDEX('THAM SỐ'!$F$5:$F$7,MATCH(C575,'THAM SỐ'!$A$5:$A$7,0)),""))</f>
        <v/>
      </c>
      <c r="S575" s="22" t="str">
        <f t="shared" si="24"/>
        <v/>
      </c>
      <c r="T575" s="16" t="str">
        <f t="shared" si="25"/>
        <v/>
      </c>
      <c r="U575" s="23" t="str">
        <f t="shared" si="26"/>
        <v/>
      </c>
      <c r="V575" s="18"/>
    </row>
    <row r="576" spans="1:22" x14ac:dyDescent="0.45">
      <c r="A576" s="16" t="str">
        <f>IF(B576="","","LDX-"&amp;TEXT(B576,"yymmdd")&amp;"-"&amp;TEXT(COUNTIFS(B$5:B576,B576),"00"))</f>
        <v/>
      </c>
      <c r="B576" s="17"/>
      <c r="C576" s="18"/>
      <c r="D576" s="18"/>
      <c r="E576" s="18"/>
      <c r="F576" s="18"/>
      <c r="G576" s="18"/>
      <c r="H576" s="18"/>
      <c r="I576" s="18"/>
      <c r="J576" s="19"/>
      <c r="K576" s="20"/>
      <c r="L576" s="20"/>
      <c r="M576" s="19"/>
      <c r="N576" s="18"/>
      <c r="O576" s="18"/>
      <c r="P576" s="18"/>
      <c r="Q576" s="18"/>
      <c r="R576" s="21" t="str">
        <f>IF(C576="","",IFERROR(INDEX('THAM SỐ'!$F$5:$F$7,MATCH(C576,'THAM SỐ'!$A$5:$A$7,0)),""))</f>
        <v/>
      </c>
      <c r="S576" s="22" t="str">
        <f t="shared" si="24"/>
        <v/>
      </c>
      <c r="T576" s="16" t="str">
        <f t="shared" si="25"/>
        <v/>
      </c>
      <c r="U576" s="23" t="str">
        <f t="shared" si="26"/>
        <v/>
      </c>
      <c r="V576" s="18"/>
    </row>
    <row r="577" spans="1:22" x14ac:dyDescent="0.45">
      <c r="A577" s="16" t="str">
        <f>IF(B577="","","LDX-"&amp;TEXT(B577,"yymmdd")&amp;"-"&amp;TEXT(COUNTIFS(B$5:B577,B577),"00"))</f>
        <v/>
      </c>
      <c r="B577" s="17"/>
      <c r="C577" s="18"/>
      <c r="D577" s="18"/>
      <c r="E577" s="18"/>
      <c r="F577" s="18"/>
      <c r="G577" s="18"/>
      <c r="H577" s="18"/>
      <c r="I577" s="18"/>
      <c r="J577" s="19"/>
      <c r="K577" s="20"/>
      <c r="L577" s="20"/>
      <c r="M577" s="19"/>
      <c r="N577" s="18"/>
      <c r="O577" s="18"/>
      <c r="P577" s="18"/>
      <c r="Q577" s="18"/>
      <c r="R577" s="21" t="str">
        <f>IF(C577="","",IFERROR(INDEX('THAM SỐ'!$F$5:$F$7,MATCH(C577,'THAM SỐ'!$A$5:$A$7,0)),""))</f>
        <v/>
      </c>
      <c r="S577" s="22" t="str">
        <f t="shared" si="24"/>
        <v/>
      </c>
      <c r="T577" s="16" t="str">
        <f t="shared" si="25"/>
        <v/>
      </c>
      <c r="U577" s="23" t="str">
        <f t="shared" si="26"/>
        <v/>
      </c>
      <c r="V577" s="18"/>
    </row>
    <row r="578" spans="1:22" x14ac:dyDescent="0.45">
      <c r="A578" s="16" t="str">
        <f>IF(B578="","","LDX-"&amp;TEXT(B578,"yymmdd")&amp;"-"&amp;TEXT(COUNTIFS(B$5:B578,B578),"00"))</f>
        <v/>
      </c>
      <c r="B578" s="17"/>
      <c r="C578" s="18"/>
      <c r="D578" s="18"/>
      <c r="E578" s="18"/>
      <c r="F578" s="18"/>
      <c r="G578" s="18"/>
      <c r="H578" s="18"/>
      <c r="I578" s="18"/>
      <c r="J578" s="19"/>
      <c r="K578" s="20"/>
      <c r="L578" s="20"/>
      <c r="M578" s="19"/>
      <c r="N578" s="18"/>
      <c r="O578" s="18"/>
      <c r="P578" s="18"/>
      <c r="Q578" s="18"/>
      <c r="R578" s="21" t="str">
        <f>IF(C578="","",IFERROR(INDEX('THAM SỐ'!$F$5:$F$7,MATCH(C578,'THAM SỐ'!$A$5:$A$7,0)),""))</f>
        <v/>
      </c>
      <c r="S578" s="22" t="str">
        <f t="shared" si="24"/>
        <v/>
      </c>
      <c r="T578" s="16" t="str">
        <f t="shared" si="25"/>
        <v/>
      </c>
      <c r="U578" s="23" t="str">
        <f t="shared" si="26"/>
        <v/>
      </c>
      <c r="V578" s="18"/>
    </row>
    <row r="579" spans="1:22" x14ac:dyDescent="0.45">
      <c r="A579" s="16" t="str">
        <f>IF(B579="","","LDX-"&amp;TEXT(B579,"yymmdd")&amp;"-"&amp;TEXT(COUNTIFS(B$5:B579,B579),"00"))</f>
        <v/>
      </c>
      <c r="B579" s="17"/>
      <c r="C579" s="18"/>
      <c r="D579" s="18"/>
      <c r="E579" s="18"/>
      <c r="F579" s="18"/>
      <c r="G579" s="18"/>
      <c r="H579" s="18"/>
      <c r="I579" s="18"/>
      <c r="J579" s="19"/>
      <c r="K579" s="20"/>
      <c r="L579" s="20"/>
      <c r="M579" s="19"/>
      <c r="N579" s="18"/>
      <c r="O579" s="18"/>
      <c r="P579" s="18"/>
      <c r="Q579" s="18"/>
      <c r="R579" s="21" t="str">
        <f>IF(C579="","",IFERROR(INDEX('THAM SỐ'!$F$5:$F$7,MATCH(C579,'THAM SỐ'!$A$5:$A$7,0)),""))</f>
        <v/>
      </c>
      <c r="S579" s="22" t="str">
        <f t="shared" si="24"/>
        <v/>
      </c>
      <c r="T579" s="16" t="str">
        <f t="shared" si="25"/>
        <v/>
      </c>
      <c r="U579" s="23" t="str">
        <f t="shared" si="26"/>
        <v/>
      </c>
      <c r="V579" s="18"/>
    </row>
    <row r="580" spans="1:22" x14ac:dyDescent="0.45">
      <c r="A580" s="16" t="str">
        <f>IF(B580="","","LDX-"&amp;TEXT(B580,"yymmdd")&amp;"-"&amp;TEXT(COUNTIFS(B$5:B580,B580),"00"))</f>
        <v/>
      </c>
      <c r="B580" s="17"/>
      <c r="C580" s="18"/>
      <c r="D580" s="18"/>
      <c r="E580" s="18"/>
      <c r="F580" s="18"/>
      <c r="G580" s="18"/>
      <c r="H580" s="18"/>
      <c r="I580" s="18"/>
      <c r="J580" s="19"/>
      <c r="K580" s="20"/>
      <c r="L580" s="20"/>
      <c r="M580" s="19"/>
      <c r="N580" s="18"/>
      <c r="O580" s="18"/>
      <c r="P580" s="18"/>
      <c r="Q580" s="18"/>
      <c r="R580" s="21" t="str">
        <f>IF(C580="","",IFERROR(INDEX('THAM SỐ'!$F$5:$F$7,MATCH(C580,'THAM SỐ'!$A$5:$A$7,0)),""))</f>
        <v/>
      </c>
      <c r="S580" s="22" t="str">
        <f t="shared" si="24"/>
        <v/>
      </c>
      <c r="T580" s="16" t="str">
        <f t="shared" si="25"/>
        <v/>
      </c>
      <c r="U580" s="23" t="str">
        <f t="shared" si="26"/>
        <v/>
      </c>
      <c r="V580" s="18"/>
    </row>
    <row r="581" spans="1:22" x14ac:dyDescent="0.45">
      <c r="A581" s="16" t="str">
        <f>IF(B581="","","LDX-"&amp;TEXT(B581,"yymmdd")&amp;"-"&amp;TEXT(COUNTIFS(B$5:B581,B581),"00"))</f>
        <v/>
      </c>
      <c r="B581" s="17"/>
      <c r="C581" s="18"/>
      <c r="D581" s="18"/>
      <c r="E581" s="18"/>
      <c r="F581" s="18"/>
      <c r="G581" s="18"/>
      <c r="H581" s="18"/>
      <c r="I581" s="18"/>
      <c r="J581" s="19"/>
      <c r="K581" s="20"/>
      <c r="L581" s="20"/>
      <c r="M581" s="19"/>
      <c r="N581" s="18"/>
      <c r="O581" s="18"/>
      <c r="P581" s="18"/>
      <c r="Q581" s="18"/>
      <c r="R581" s="21" t="str">
        <f>IF(C581="","",IFERROR(INDEX('THAM SỐ'!$F$5:$F$7,MATCH(C581,'THAM SỐ'!$A$5:$A$7,0)),""))</f>
        <v/>
      </c>
      <c r="S581" s="22" t="str">
        <f t="shared" ref="S581:S644" si="27">IF(OR(M581="",R581="",R581=0),"",M581/R581)</f>
        <v/>
      </c>
      <c r="T581" s="16" t="str">
        <f t="shared" ref="T581:T644" si="28">IF(S581="","",IF(S581&gt;1,"QUÁ TẢI",IF(S581&gt;0.9,"Sát tải","Đạt")))</f>
        <v/>
      </c>
      <c r="U581" s="23" t="str">
        <f t="shared" ref="U581:U604" si="29">IF(L581="","",L581+(L581&lt;4/24))</f>
        <v/>
      </c>
      <c r="V581" s="18"/>
    </row>
    <row r="582" spans="1:22" x14ac:dyDescent="0.45">
      <c r="A582" s="16" t="str">
        <f>IF(B582="","","LDX-"&amp;TEXT(B582,"yymmdd")&amp;"-"&amp;TEXT(COUNTIFS(B$5:B582,B582),"00"))</f>
        <v/>
      </c>
      <c r="B582" s="17"/>
      <c r="C582" s="18"/>
      <c r="D582" s="18"/>
      <c r="E582" s="18"/>
      <c r="F582" s="18"/>
      <c r="G582" s="18"/>
      <c r="H582" s="18"/>
      <c r="I582" s="18"/>
      <c r="J582" s="19"/>
      <c r="K582" s="20"/>
      <c r="L582" s="20"/>
      <c r="M582" s="19"/>
      <c r="N582" s="18"/>
      <c r="O582" s="18"/>
      <c r="P582" s="18"/>
      <c r="Q582" s="18"/>
      <c r="R582" s="21" t="str">
        <f>IF(C582="","",IFERROR(INDEX('THAM SỐ'!$F$5:$F$7,MATCH(C582,'THAM SỐ'!$A$5:$A$7,0)),""))</f>
        <v/>
      </c>
      <c r="S582" s="22" t="str">
        <f t="shared" si="27"/>
        <v/>
      </c>
      <c r="T582" s="16" t="str">
        <f t="shared" si="28"/>
        <v/>
      </c>
      <c r="U582" s="23" t="str">
        <f t="shared" si="29"/>
        <v/>
      </c>
      <c r="V582" s="18"/>
    </row>
    <row r="583" spans="1:22" x14ac:dyDescent="0.45">
      <c r="A583" s="16" t="str">
        <f>IF(B583="","","LDX-"&amp;TEXT(B583,"yymmdd")&amp;"-"&amp;TEXT(COUNTIFS(B$5:B583,B583),"00"))</f>
        <v/>
      </c>
      <c r="B583" s="17"/>
      <c r="C583" s="18"/>
      <c r="D583" s="18"/>
      <c r="E583" s="18"/>
      <c r="F583" s="18"/>
      <c r="G583" s="18"/>
      <c r="H583" s="18"/>
      <c r="I583" s="18"/>
      <c r="J583" s="19"/>
      <c r="K583" s="20"/>
      <c r="L583" s="20"/>
      <c r="M583" s="19"/>
      <c r="N583" s="18"/>
      <c r="O583" s="18"/>
      <c r="P583" s="18"/>
      <c r="Q583" s="18"/>
      <c r="R583" s="21" t="str">
        <f>IF(C583="","",IFERROR(INDEX('THAM SỐ'!$F$5:$F$7,MATCH(C583,'THAM SỐ'!$A$5:$A$7,0)),""))</f>
        <v/>
      </c>
      <c r="S583" s="22" t="str">
        <f t="shared" si="27"/>
        <v/>
      </c>
      <c r="T583" s="16" t="str">
        <f t="shared" si="28"/>
        <v/>
      </c>
      <c r="U583" s="23" t="str">
        <f t="shared" si="29"/>
        <v/>
      </c>
      <c r="V583" s="18"/>
    </row>
    <row r="584" spans="1:22" x14ac:dyDescent="0.45">
      <c r="A584" s="16" t="str">
        <f>IF(B584="","","LDX-"&amp;TEXT(B584,"yymmdd")&amp;"-"&amp;TEXT(COUNTIFS(B$5:B584,B584),"00"))</f>
        <v/>
      </c>
      <c r="B584" s="17"/>
      <c r="C584" s="18"/>
      <c r="D584" s="18"/>
      <c r="E584" s="18"/>
      <c r="F584" s="18"/>
      <c r="G584" s="18"/>
      <c r="H584" s="18"/>
      <c r="I584" s="18"/>
      <c r="J584" s="19"/>
      <c r="K584" s="20"/>
      <c r="L584" s="20"/>
      <c r="M584" s="19"/>
      <c r="N584" s="18"/>
      <c r="O584" s="18"/>
      <c r="P584" s="18"/>
      <c r="Q584" s="18"/>
      <c r="R584" s="21" t="str">
        <f>IF(C584="","",IFERROR(INDEX('THAM SỐ'!$F$5:$F$7,MATCH(C584,'THAM SỐ'!$A$5:$A$7,0)),""))</f>
        <v/>
      </c>
      <c r="S584" s="22" t="str">
        <f t="shared" si="27"/>
        <v/>
      </c>
      <c r="T584" s="16" t="str">
        <f t="shared" si="28"/>
        <v/>
      </c>
      <c r="U584" s="23" t="str">
        <f t="shared" si="29"/>
        <v/>
      </c>
      <c r="V584" s="18"/>
    </row>
    <row r="585" spans="1:22" x14ac:dyDescent="0.45">
      <c r="A585" s="16" t="str">
        <f>IF(B585="","","LDX-"&amp;TEXT(B585,"yymmdd")&amp;"-"&amp;TEXT(COUNTIFS(B$5:B585,B585),"00"))</f>
        <v/>
      </c>
      <c r="B585" s="17"/>
      <c r="C585" s="18"/>
      <c r="D585" s="18"/>
      <c r="E585" s="18"/>
      <c r="F585" s="18"/>
      <c r="G585" s="18"/>
      <c r="H585" s="18"/>
      <c r="I585" s="18"/>
      <c r="J585" s="19"/>
      <c r="K585" s="20"/>
      <c r="L585" s="20"/>
      <c r="M585" s="19"/>
      <c r="N585" s="18"/>
      <c r="O585" s="18"/>
      <c r="P585" s="18"/>
      <c r="Q585" s="18"/>
      <c r="R585" s="21" t="str">
        <f>IF(C585="","",IFERROR(INDEX('THAM SỐ'!$F$5:$F$7,MATCH(C585,'THAM SỐ'!$A$5:$A$7,0)),""))</f>
        <v/>
      </c>
      <c r="S585" s="22" t="str">
        <f t="shared" si="27"/>
        <v/>
      </c>
      <c r="T585" s="16" t="str">
        <f t="shared" si="28"/>
        <v/>
      </c>
      <c r="U585" s="23" t="str">
        <f t="shared" si="29"/>
        <v/>
      </c>
      <c r="V585" s="18"/>
    </row>
    <row r="586" spans="1:22" x14ac:dyDescent="0.45">
      <c r="A586" s="16" t="str">
        <f>IF(B586="","","LDX-"&amp;TEXT(B586,"yymmdd")&amp;"-"&amp;TEXT(COUNTIFS(B$5:B586,B586),"00"))</f>
        <v/>
      </c>
      <c r="B586" s="17"/>
      <c r="C586" s="18"/>
      <c r="D586" s="18"/>
      <c r="E586" s="18"/>
      <c r="F586" s="18"/>
      <c r="G586" s="18"/>
      <c r="H586" s="18"/>
      <c r="I586" s="18"/>
      <c r="J586" s="19"/>
      <c r="K586" s="20"/>
      <c r="L586" s="20"/>
      <c r="M586" s="19"/>
      <c r="N586" s="18"/>
      <c r="O586" s="18"/>
      <c r="P586" s="18"/>
      <c r="Q586" s="18"/>
      <c r="R586" s="21" t="str">
        <f>IF(C586="","",IFERROR(INDEX('THAM SỐ'!$F$5:$F$7,MATCH(C586,'THAM SỐ'!$A$5:$A$7,0)),""))</f>
        <v/>
      </c>
      <c r="S586" s="22" t="str">
        <f t="shared" si="27"/>
        <v/>
      </c>
      <c r="T586" s="16" t="str">
        <f t="shared" si="28"/>
        <v/>
      </c>
      <c r="U586" s="23" t="str">
        <f t="shared" si="29"/>
        <v/>
      </c>
      <c r="V586" s="18"/>
    </row>
    <row r="587" spans="1:22" x14ac:dyDescent="0.45">
      <c r="A587" s="16" t="str">
        <f>IF(B587="","","LDX-"&amp;TEXT(B587,"yymmdd")&amp;"-"&amp;TEXT(COUNTIFS(B$5:B587,B587),"00"))</f>
        <v/>
      </c>
      <c r="B587" s="17"/>
      <c r="C587" s="18"/>
      <c r="D587" s="18"/>
      <c r="E587" s="18"/>
      <c r="F587" s="18"/>
      <c r="G587" s="18"/>
      <c r="H587" s="18"/>
      <c r="I587" s="18"/>
      <c r="J587" s="19"/>
      <c r="K587" s="20"/>
      <c r="L587" s="20"/>
      <c r="M587" s="19"/>
      <c r="N587" s="18"/>
      <c r="O587" s="18"/>
      <c r="P587" s="18"/>
      <c r="Q587" s="18"/>
      <c r="R587" s="21" t="str">
        <f>IF(C587="","",IFERROR(INDEX('THAM SỐ'!$F$5:$F$7,MATCH(C587,'THAM SỐ'!$A$5:$A$7,0)),""))</f>
        <v/>
      </c>
      <c r="S587" s="22" t="str">
        <f t="shared" si="27"/>
        <v/>
      </c>
      <c r="T587" s="16" t="str">
        <f t="shared" si="28"/>
        <v/>
      </c>
      <c r="U587" s="23" t="str">
        <f t="shared" si="29"/>
        <v/>
      </c>
      <c r="V587" s="18"/>
    </row>
    <row r="588" spans="1:22" x14ac:dyDescent="0.45">
      <c r="A588" s="16" t="str">
        <f>IF(B588="","","LDX-"&amp;TEXT(B588,"yymmdd")&amp;"-"&amp;TEXT(COUNTIFS(B$5:B588,B588),"00"))</f>
        <v/>
      </c>
      <c r="B588" s="17"/>
      <c r="C588" s="18"/>
      <c r="D588" s="18"/>
      <c r="E588" s="18"/>
      <c r="F588" s="18"/>
      <c r="G588" s="18"/>
      <c r="H588" s="18"/>
      <c r="I588" s="18"/>
      <c r="J588" s="19"/>
      <c r="K588" s="20"/>
      <c r="L588" s="20"/>
      <c r="M588" s="19"/>
      <c r="N588" s="18"/>
      <c r="O588" s="18"/>
      <c r="P588" s="18"/>
      <c r="Q588" s="18"/>
      <c r="R588" s="21" t="str">
        <f>IF(C588="","",IFERROR(INDEX('THAM SỐ'!$F$5:$F$7,MATCH(C588,'THAM SỐ'!$A$5:$A$7,0)),""))</f>
        <v/>
      </c>
      <c r="S588" s="22" t="str">
        <f t="shared" si="27"/>
        <v/>
      </c>
      <c r="T588" s="16" t="str">
        <f t="shared" si="28"/>
        <v/>
      </c>
      <c r="U588" s="23" t="str">
        <f t="shared" si="29"/>
        <v/>
      </c>
      <c r="V588" s="18"/>
    </row>
    <row r="589" spans="1:22" x14ac:dyDescent="0.45">
      <c r="A589" s="16" t="str">
        <f>IF(B589="","","LDX-"&amp;TEXT(B589,"yymmdd")&amp;"-"&amp;TEXT(COUNTIFS(B$5:B589,B589),"00"))</f>
        <v/>
      </c>
      <c r="B589" s="17"/>
      <c r="C589" s="18"/>
      <c r="D589" s="18"/>
      <c r="E589" s="18"/>
      <c r="F589" s="18"/>
      <c r="G589" s="18"/>
      <c r="H589" s="18"/>
      <c r="I589" s="18"/>
      <c r="J589" s="19"/>
      <c r="K589" s="20"/>
      <c r="L589" s="20"/>
      <c r="M589" s="19"/>
      <c r="N589" s="18"/>
      <c r="O589" s="18"/>
      <c r="P589" s="18"/>
      <c r="Q589" s="18"/>
      <c r="R589" s="21" t="str">
        <f>IF(C589="","",IFERROR(INDEX('THAM SỐ'!$F$5:$F$7,MATCH(C589,'THAM SỐ'!$A$5:$A$7,0)),""))</f>
        <v/>
      </c>
      <c r="S589" s="22" t="str">
        <f t="shared" si="27"/>
        <v/>
      </c>
      <c r="T589" s="16" t="str">
        <f t="shared" si="28"/>
        <v/>
      </c>
      <c r="U589" s="23" t="str">
        <f t="shared" si="29"/>
        <v/>
      </c>
      <c r="V589" s="18"/>
    </row>
    <row r="590" spans="1:22" x14ac:dyDescent="0.45">
      <c r="A590" s="16" t="str">
        <f>IF(B590="","","LDX-"&amp;TEXT(B590,"yymmdd")&amp;"-"&amp;TEXT(COUNTIFS(B$5:B590,B590),"00"))</f>
        <v/>
      </c>
      <c r="B590" s="17"/>
      <c r="C590" s="18"/>
      <c r="D590" s="18"/>
      <c r="E590" s="18"/>
      <c r="F590" s="18"/>
      <c r="G590" s="18"/>
      <c r="H590" s="18"/>
      <c r="I590" s="18"/>
      <c r="J590" s="19"/>
      <c r="K590" s="20"/>
      <c r="L590" s="20"/>
      <c r="M590" s="19"/>
      <c r="N590" s="18"/>
      <c r="O590" s="18"/>
      <c r="P590" s="18"/>
      <c r="Q590" s="18"/>
      <c r="R590" s="21" t="str">
        <f>IF(C590="","",IFERROR(INDEX('THAM SỐ'!$F$5:$F$7,MATCH(C590,'THAM SỐ'!$A$5:$A$7,0)),""))</f>
        <v/>
      </c>
      <c r="S590" s="22" t="str">
        <f t="shared" si="27"/>
        <v/>
      </c>
      <c r="T590" s="16" t="str">
        <f t="shared" si="28"/>
        <v/>
      </c>
      <c r="U590" s="23" t="str">
        <f t="shared" si="29"/>
        <v/>
      </c>
      <c r="V590" s="18"/>
    </row>
    <row r="591" spans="1:22" x14ac:dyDescent="0.45">
      <c r="A591" s="16" t="str">
        <f>IF(B591="","","LDX-"&amp;TEXT(B591,"yymmdd")&amp;"-"&amp;TEXT(COUNTIFS(B$5:B591,B591),"00"))</f>
        <v/>
      </c>
      <c r="B591" s="17"/>
      <c r="C591" s="18"/>
      <c r="D591" s="18"/>
      <c r="E591" s="18"/>
      <c r="F591" s="18"/>
      <c r="G591" s="18"/>
      <c r="H591" s="18"/>
      <c r="I591" s="18"/>
      <c r="J591" s="19"/>
      <c r="K591" s="20"/>
      <c r="L591" s="20"/>
      <c r="M591" s="19"/>
      <c r="N591" s="18"/>
      <c r="O591" s="18"/>
      <c r="P591" s="18"/>
      <c r="Q591" s="18"/>
      <c r="R591" s="21" t="str">
        <f>IF(C591="","",IFERROR(INDEX('THAM SỐ'!$F$5:$F$7,MATCH(C591,'THAM SỐ'!$A$5:$A$7,0)),""))</f>
        <v/>
      </c>
      <c r="S591" s="22" t="str">
        <f t="shared" si="27"/>
        <v/>
      </c>
      <c r="T591" s="16" t="str">
        <f t="shared" si="28"/>
        <v/>
      </c>
      <c r="U591" s="23" t="str">
        <f t="shared" si="29"/>
        <v/>
      </c>
      <c r="V591" s="18"/>
    </row>
    <row r="592" spans="1:22" x14ac:dyDescent="0.45">
      <c r="A592" s="16" t="str">
        <f>IF(B592="","","LDX-"&amp;TEXT(B592,"yymmdd")&amp;"-"&amp;TEXT(COUNTIFS(B$5:B592,B592),"00"))</f>
        <v/>
      </c>
      <c r="B592" s="17"/>
      <c r="C592" s="18"/>
      <c r="D592" s="18"/>
      <c r="E592" s="18"/>
      <c r="F592" s="18"/>
      <c r="G592" s="18"/>
      <c r="H592" s="18"/>
      <c r="I592" s="18"/>
      <c r="J592" s="19"/>
      <c r="K592" s="20"/>
      <c r="L592" s="20"/>
      <c r="M592" s="19"/>
      <c r="N592" s="18"/>
      <c r="O592" s="18"/>
      <c r="P592" s="18"/>
      <c r="Q592" s="18"/>
      <c r="R592" s="21" t="str">
        <f>IF(C592="","",IFERROR(INDEX('THAM SỐ'!$F$5:$F$7,MATCH(C592,'THAM SỐ'!$A$5:$A$7,0)),""))</f>
        <v/>
      </c>
      <c r="S592" s="22" t="str">
        <f t="shared" si="27"/>
        <v/>
      </c>
      <c r="T592" s="16" t="str">
        <f t="shared" si="28"/>
        <v/>
      </c>
      <c r="U592" s="23" t="str">
        <f t="shared" si="29"/>
        <v/>
      </c>
      <c r="V592" s="18"/>
    </row>
    <row r="593" spans="1:22" x14ac:dyDescent="0.45">
      <c r="A593" s="16" t="str">
        <f>IF(B593="","","LDX-"&amp;TEXT(B593,"yymmdd")&amp;"-"&amp;TEXT(COUNTIFS(B$5:B593,B593),"00"))</f>
        <v/>
      </c>
      <c r="B593" s="17"/>
      <c r="C593" s="18"/>
      <c r="D593" s="18"/>
      <c r="E593" s="18"/>
      <c r="F593" s="18"/>
      <c r="G593" s="18"/>
      <c r="H593" s="18"/>
      <c r="I593" s="18"/>
      <c r="J593" s="19"/>
      <c r="K593" s="20"/>
      <c r="L593" s="20"/>
      <c r="M593" s="19"/>
      <c r="N593" s="18"/>
      <c r="O593" s="18"/>
      <c r="P593" s="18"/>
      <c r="Q593" s="18"/>
      <c r="R593" s="21" t="str">
        <f>IF(C593="","",IFERROR(INDEX('THAM SỐ'!$F$5:$F$7,MATCH(C593,'THAM SỐ'!$A$5:$A$7,0)),""))</f>
        <v/>
      </c>
      <c r="S593" s="22" t="str">
        <f t="shared" si="27"/>
        <v/>
      </c>
      <c r="T593" s="16" t="str">
        <f t="shared" si="28"/>
        <v/>
      </c>
      <c r="U593" s="23" t="str">
        <f t="shared" si="29"/>
        <v/>
      </c>
      <c r="V593" s="18"/>
    </row>
    <row r="594" spans="1:22" x14ac:dyDescent="0.45">
      <c r="A594" s="16" t="str">
        <f>IF(B594="","","LDX-"&amp;TEXT(B594,"yymmdd")&amp;"-"&amp;TEXT(COUNTIFS(B$5:B594,B594),"00"))</f>
        <v/>
      </c>
      <c r="B594" s="17"/>
      <c r="C594" s="18"/>
      <c r="D594" s="18"/>
      <c r="E594" s="18"/>
      <c r="F594" s="18"/>
      <c r="G594" s="18"/>
      <c r="H594" s="18"/>
      <c r="I594" s="18"/>
      <c r="J594" s="19"/>
      <c r="K594" s="20"/>
      <c r="L594" s="20"/>
      <c r="M594" s="19"/>
      <c r="N594" s="18"/>
      <c r="O594" s="18"/>
      <c r="P594" s="18"/>
      <c r="Q594" s="18"/>
      <c r="R594" s="21" t="str">
        <f>IF(C594="","",IFERROR(INDEX('THAM SỐ'!$F$5:$F$7,MATCH(C594,'THAM SỐ'!$A$5:$A$7,0)),""))</f>
        <v/>
      </c>
      <c r="S594" s="22" t="str">
        <f t="shared" si="27"/>
        <v/>
      </c>
      <c r="T594" s="16" t="str">
        <f t="shared" si="28"/>
        <v/>
      </c>
      <c r="U594" s="23" t="str">
        <f t="shared" si="29"/>
        <v/>
      </c>
      <c r="V594" s="18"/>
    </row>
    <row r="595" spans="1:22" x14ac:dyDescent="0.45">
      <c r="A595" s="16" t="str">
        <f>IF(B595="","","LDX-"&amp;TEXT(B595,"yymmdd")&amp;"-"&amp;TEXT(COUNTIFS(B$5:B595,B595),"00"))</f>
        <v/>
      </c>
      <c r="B595" s="17"/>
      <c r="C595" s="18"/>
      <c r="D595" s="18"/>
      <c r="E595" s="18"/>
      <c r="F595" s="18"/>
      <c r="G595" s="18"/>
      <c r="H595" s="18"/>
      <c r="I595" s="18"/>
      <c r="J595" s="19"/>
      <c r="K595" s="20"/>
      <c r="L595" s="20"/>
      <c r="M595" s="19"/>
      <c r="N595" s="18"/>
      <c r="O595" s="18"/>
      <c r="P595" s="18"/>
      <c r="Q595" s="18"/>
      <c r="R595" s="21" t="str">
        <f>IF(C595="","",IFERROR(INDEX('THAM SỐ'!$F$5:$F$7,MATCH(C595,'THAM SỐ'!$A$5:$A$7,0)),""))</f>
        <v/>
      </c>
      <c r="S595" s="22" t="str">
        <f t="shared" si="27"/>
        <v/>
      </c>
      <c r="T595" s="16" t="str">
        <f t="shared" si="28"/>
        <v/>
      </c>
      <c r="U595" s="23" t="str">
        <f t="shared" si="29"/>
        <v/>
      </c>
      <c r="V595" s="18"/>
    </row>
    <row r="596" spans="1:22" x14ac:dyDescent="0.45">
      <c r="A596" s="16" t="str">
        <f>IF(B596="","","LDX-"&amp;TEXT(B596,"yymmdd")&amp;"-"&amp;TEXT(COUNTIFS(B$5:B596,B596),"00"))</f>
        <v/>
      </c>
      <c r="B596" s="17"/>
      <c r="C596" s="18"/>
      <c r="D596" s="18"/>
      <c r="E596" s="18"/>
      <c r="F596" s="18"/>
      <c r="G596" s="18"/>
      <c r="H596" s="18"/>
      <c r="I596" s="18"/>
      <c r="J596" s="19"/>
      <c r="K596" s="20"/>
      <c r="L596" s="20"/>
      <c r="M596" s="19"/>
      <c r="N596" s="18"/>
      <c r="O596" s="18"/>
      <c r="P596" s="18"/>
      <c r="Q596" s="18"/>
      <c r="R596" s="21" t="str">
        <f>IF(C596="","",IFERROR(INDEX('THAM SỐ'!$F$5:$F$7,MATCH(C596,'THAM SỐ'!$A$5:$A$7,0)),""))</f>
        <v/>
      </c>
      <c r="S596" s="22" t="str">
        <f t="shared" si="27"/>
        <v/>
      </c>
      <c r="T596" s="16" t="str">
        <f t="shared" si="28"/>
        <v/>
      </c>
      <c r="U596" s="23" t="str">
        <f t="shared" si="29"/>
        <v/>
      </c>
      <c r="V596" s="18"/>
    </row>
    <row r="597" spans="1:22" x14ac:dyDescent="0.45">
      <c r="A597" s="16" t="str">
        <f>IF(B597="","","LDX-"&amp;TEXT(B597,"yymmdd")&amp;"-"&amp;TEXT(COUNTIFS(B$5:B597,B597),"00"))</f>
        <v/>
      </c>
      <c r="B597" s="17"/>
      <c r="C597" s="18"/>
      <c r="D597" s="18"/>
      <c r="E597" s="18"/>
      <c r="F597" s="18"/>
      <c r="G597" s="18"/>
      <c r="H597" s="18"/>
      <c r="I597" s="18"/>
      <c r="J597" s="19"/>
      <c r="K597" s="20"/>
      <c r="L597" s="20"/>
      <c r="M597" s="19"/>
      <c r="N597" s="18"/>
      <c r="O597" s="18"/>
      <c r="P597" s="18"/>
      <c r="Q597" s="18"/>
      <c r="R597" s="21" t="str">
        <f>IF(C597="","",IFERROR(INDEX('THAM SỐ'!$F$5:$F$7,MATCH(C597,'THAM SỐ'!$A$5:$A$7,0)),""))</f>
        <v/>
      </c>
      <c r="S597" s="22" t="str">
        <f t="shared" si="27"/>
        <v/>
      </c>
      <c r="T597" s="16" t="str">
        <f t="shared" si="28"/>
        <v/>
      </c>
      <c r="U597" s="23" t="str">
        <f t="shared" si="29"/>
        <v/>
      </c>
      <c r="V597" s="18"/>
    </row>
    <row r="598" spans="1:22" x14ac:dyDescent="0.45">
      <c r="A598" s="16" t="str">
        <f>IF(B598="","","LDX-"&amp;TEXT(B598,"yymmdd")&amp;"-"&amp;TEXT(COUNTIFS(B$5:B598,B598),"00"))</f>
        <v/>
      </c>
      <c r="B598" s="17"/>
      <c r="C598" s="18"/>
      <c r="D598" s="18"/>
      <c r="E598" s="18"/>
      <c r="F598" s="18"/>
      <c r="G598" s="18"/>
      <c r="H598" s="18"/>
      <c r="I598" s="18"/>
      <c r="J598" s="19"/>
      <c r="K598" s="20"/>
      <c r="L598" s="20"/>
      <c r="M598" s="19"/>
      <c r="N598" s="18"/>
      <c r="O598" s="18"/>
      <c r="P598" s="18"/>
      <c r="Q598" s="18"/>
      <c r="R598" s="21" t="str">
        <f>IF(C598="","",IFERROR(INDEX('THAM SỐ'!$F$5:$F$7,MATCH(C598,'THAM SỐ'!$A$5:$A$7,0)),""))</f>
        <v/>
      </c>
      <c r="S598" s="22" t="str">
        <f t="shared" si="27"/>
        <v/>
      </c>
      <c r="T598" s="16" t="str">
        <f t="shared" si="28"/>
        <v/>
      </c>
      <c r="U598" s="23" t="str">
        <f t="shared" si="29"/>
        <v/>
      </c>
      <c r="V598" s="18"/>
    </row>
    <row r="599" spans="1:22" x14ac:dyDescent="0.45">
      <c r="A599" s="16" t="str">
        <f>IF(B599="","","LDX-"&amp;TEXT(B599,"yymmdd")&amp;"-"&amp;TEXT(COUNTIFS(B$5:B599,B599),"00"))</f>
        <v/>
      </c>
      <c r="B599" s="17"/>
      <c r="C599" s="18"/>
      <c r="D599" s="18"/>
      <c r="E599" s="18"/>
      <c r="F599" s="18"/>
      <c r="G599" s="18"/>
      <c r="H599" s="18"/>
      <c r="I599" s="18"/>
      <c r="J599" s="19"/>
      <c r="K599" s="20"/>
      <c r="L599" s="20"/>
      <c r="M599" s="19"/>
      <c r="N599" s="18"/>
      <c r="O599" s="18"/>
      <c r="P599" s="18"/>
      <c r="Q599" s="18"/>
      <c r="R599" s="21" t="str">
        <f>IF(C599="","",IFERROR(INDEX('THAM SỐ'!$F$5:$F$7,MATCH(C599,'THAM SỐ'!$A$5:$A$7,0)),""))</f>
        <v/>
      </c>
      <c r="S599" s="22" t="str">
        <f t="shared" si="27"/>
        <v/>
      </c>
      <c r="T599" s="16" t="str">
        <f t="shared" si="28"/>
        <v/>
      </c>
      <c r="U599" s="23" t="str">
        <f t="shared" si="29"/>
        <v/>
      </c>
      <c r="V599" s="18"/>
    </row>
    <row r="600" spans="1:22" x14ac:dyDescent="0.45">
      <c r="A600" s="16" t="str">
        <f>IF(B600="","","LDX-"&amp;TEXT(B600,"yymmdd")&amp;"-"&amp;TEXT(COUNTIFS(B$5:B600,B600),"00"))</f>
        <v/>
      </c>
      <c r="B600" s="17"/>
      <c r="C600" s="18"/>
      <c r="D600" s="18"/>
      <c r="E600" s="18"/>
      <c r="F600" s="18"/>
      <c r="G600" s="18"/>
      <c r="H600" s="18"/>
      <c r="I600" s="18"/>
      <c r="J600" s="19"/>
      <c r="K600" s="20"/>
      <c r="L600" s="20"/>
      <c r="M600" s="19"/>
      <c r="N600" s="18"/>
      <c r="O600" s="18"/>
      <c r="P600" s="18"/>
      <c r="Q600" s="18"/>
      <c r="R600" s="21" t="str">
        <f>IF(C600="","",IFERROR(INDEX('THAM SỐ'!$F$5:$F$7,MATCH(C600,'THAM SỐ'!$A$5:$A$7,0)),""))</f>
        <v/>
      </c>
      <c r="S600" s="22" t="str">
        <f t="shared" si="27"/>
        <v/>
      </c>
      <c r="T600" s="16" t="str">
        <f t="shared" si="28"/>
        <v/>
      </c>
      <c r="U600" s="23" t="str">
        <f t="shared" si="29"/>
        <v/>
      </c>
      <c r="V600" s="18"/>
    </row>
    <row r="601" spans="1:22" x14ac:dyDescent="0.45">
      <c r="A601" s="16" t="str">
        <f>IF(B601="","","LDX-"&amp;TEXT(B601,"yymmdd")&amp;"-"&amp;TEXT(COUNTIFS(B$5:B601,B601),"00"))</f>
        <v/>
      </c>
      <c r="B601" s="17"/>
      <c r="C601" s="18"/>
      <c r="D601" s="18"/>
      <c r="E601" s="18"/>
      <c r="F601" s="18"/>
      <c r="G601" s="18"/>
      <c r="H601" s="18"/>
      <c r="I601" s="18"/>
      <c r="J601" s="19"/>
      <c r="K601" s="20"/>
      <c r="L601" s="20"/>
      <c r="M601" s="19"/>
      <c r="N601" s="18"/>
      <c r="O601" s="18"/>
      <c r="P601" s="18"/>
      <c r="Q601" s="18"/>
      <c r="R601" s="21" t="str">
        <f>IF(C601="","",IFERROR(INDEX('THAM SỐ'!$F$5:$F$7,MATCH(C601,'THAM SỐ'!$A$5:$A$7,0)),""))</f>
        <v/>
      </c>
      <c r="S601" s="22" t="str">
        <f t="shared" si="27"/>
        <v/>
      </c>
      <c r="T601" s="16" t="str">
        <f t="shared" si="28"/>
        <v/>
      </c>
      <c r="U601" s="23" t="str">
        <f t="shared" si="29"/>
        <v/>
      </c>
      <c r="V601" s="18"/>
    </row>
    <row r="602" spans="1:22" x14ac:dyDescent="0.45">
      <c r="A602" s="16" t="str">
        <f>IF(B602="","","LDX-"&amp;TEXT(B602,"yymmdd")&amp;"-"&amp;TEXT(COUNTIFS(B$5:B602,B602),"00"))</f>
        <v/>
      </c>
      <c r="B602" s="17"/>
      <c r="C602" s="18"/>
      <c r="D602" s="18"/>
      <c r="E602" s="18"/>
      <c r="F602" s="18"/>
      <c r="G602" s="18"/>
      <c r="H602" s="18"/>
      <c r="I602" s="18"/>
      <c r="J602" s="19"/>
      <c r="K602" s="20"/>
      <c r="L602" s="20"/>
      <c r="M602" s="19"/>
      <c r="N602" s="18"/>
      <c r="O602" s="18"/>
      <c r="P602" s="18"/>
      <c r="Q602" s="18"/>
      <c r="R602" s="21" t="str">
        <f>IF(C602="","",IFERROR(INDEX('THAM SỐ'!$F$5:$F$7,MATCH(C602,'THAM SỐ'!$A$5:$A$7,0)),""))</f>
        <v/>
      </c>
      <c r="S602" s="22" t="str">
        <f t="shared" si="27"/>
        <v/>
      </c>
      <c r="T602" s="16" t="str">
        <f t="shared" si="28"/>
        <v/>
      </c>
      <c r="U602" s="23" t="str">
        <f t="shared" si="29"/>
        <v/>
      </c>
      <c r="V602" s="18"/>
    </row>
    <row r="603" spans="1:22" x14ac:dyDescent="0.45">
      <c r="A603" s="16" t="str">
        <f>IF(B603="","","LDX-"&amp;TEXT(B603,"yymmdd")&amp;"-"&amp;TEXT(COUNTIFS(B$5:B603,B603),"00"))</f>
        <v/>
      </c>
      <c r="B603" s="17"/>
      <c r="C603" s="18"/>
      <c r="D603" s="18"/>
      <c r="E603" s="18"/>
      <c r="F603" s="18"/>
      <c r="G603" s="18"/>
      <c r="H603" s="18"/>
      <c r="I603" s="18"/>
      <c r="J603" s="19"/>
      <c r="K603" s="20"/>
      <c r="L603" s="20"/>
      <c r="M603" s="19"/>
      <c r="N603" s="18"/>
      <c r="O603" s="18"/>
      <c r="P603" s="18"/>
      <c r="Q603" s="18"/>
      <c r="R603" s="21" t="str">
        <f>IF(C603="","",IFERROR(INDEX('THAM SỐ'!$F$5:$F$7,MATCH(C603,'THAM SỐ'!$A$5:$A$7,0)),""))</f>
        <v/>
      </c>
      <c r="S603" s="22" t="str">
        <f t="shared" si="27"/>
        <v/>
      </c>
      <c r="T603" s="16" t="str">
        <f t="shared" si="28"/>
        <v/>
      </c>
      <c r="U603" s="23" t="str">
        <f t="shared" si="29"/>
        <v/>
      </c>
      <c r="V603" s="18"/>
    </row>
    <row r="604" spans="1:22" x14ac:dyDescent="0.45">
      <c r="A604" s="16" t="str">
        <f>IF(B604="","","LDX-"&amp;TEXT(B604,"yymmdd")&amp;"-"&amp;TEXT(COUNTIFS(B$5:B604,B604),"00"))</f>
        <v/>
      </c>
      <c r="B604" s="17"/>
      <c r="C604" s="18"/>
      <c r="D604" s="18"/>
      <c r="E604" s="18"/>
      <c r="F604" s="18"/>
      <c r="G604" s="18"/>
      <c r="H604" s="18"/>
      <c r="I604" s="18"/>
      <c r="J604" s="19"/>
      <c r="K604" s="20"/>
      <c r="L604" s="20"/>
      <c r="M604" s="19"/>
      <c r="N604" s="18"/>
      <c r="O604" s="18"/>
      <c r="P604" s="18"/>
      <c r="Q604" s="18"/>
      <c r="R604" s="21" t="str">
        <f>IF(C604="","",IFERROR(INDEX('THAM SỐ'!$F$5:$F$7,MATCH(C604,'THAM SỐ'!$A$5:$A$7,0)),""))</f>
        <v/>
      </c>
      <c r="S604" s="22" t="str">
        <f t="shared" si="27"/>
        <v/>
      </c>
      <c r="T604" s="16" t="str">
        <f t="shared" si="28"/>
        <v/>
      </c>
      <c r="U604" s="23" t="str">
        <f t="shared" si="29"/>
        <v/>
      </c>
      <c r="V604" s="18"/>
    </row>
  </sheetData>
  <mergeCells count="2">
    <mergeCell ref="B3:Q3"/>
    <mergeCell ref="R3:U3"/>
  </mergeCells>
  <conditionalFormatting sqref="Q5:Q604">
    <cfRule type="expression" dxfId="25" priority="4">
      <formula>$Q5="Lập bù"</formula>
    </cfRule>
  </conditionalFormatting>
  <conditionalFormatting sqref="T5:T604">
    <cfRule type="expression" dxfId="24" priority="2">
      <formula>$T5="QUÁ TẢI"</formula>
    </cfRule>
    <cfRule type="expression" dxfId="23" priority="3">
      <formula>$T5="Sát tải"</formula>
    </cfRule>
  </conditionalFormatting>
  <dataValidations count="1">
    <dataValidation type="list" allowBlank="1" sqref="N5:N604" xr:uid="{00000000-0002-0000-0100-000004000000}">
      <formula1>"Có,Không"</formula1>
      <formula2>0</formula2>
    </dataValidation>
  </dataValidations>
  <pageMargins left="0.75" right="0.75" top="1" bottom="1" header="0.511811023622047" footer="0.511811023622047"/>
  <pageSetup paperSize="9" orientation="portrait" horizontalDpi="300" verticalDpi="300"/>
  <legacyDrawing r:id="rId1"/>
  <extLst>
    <ext xmlns:x14="http://schemas.microsoft.com/office/spreadsheetml/2009/9/main" uri="{CCE6A557-97BC-4b89-ADB6-D9C93CAAB3DF}">
      <x14:dataValidations xmlns:xm="http://schemas.microsoft.com/office/excel/2006/main" count="5">
        <x14:dataValidation type="list" allowBlank="1" xr:uid="{00000000-0002-0000-0100-000000000000}">
          <x14:formula1>
            <xm:f>'THAM SỐ'!$A$5:$A$7</xm:f>
          </x14:formula1>
          <x14:formula2>
            <xm:f>0</xm:f>
          </x14:formula2>
          <xm:sqref>C5:C604</xm:sqref>
        </x14:dataValidation>
        <x14:dataValidation type="list" allowBlank="1" xr:uid="{00000000-0002-0000-0100-000001000000}">
          <x14:formula1>
            <xm:f>'THAM SỐ'!$A$11:$A$14</xm:f>
          </x14:formula1>
          <x14:formula2>
            <xm:f>0</xm:f>
          </x14:formula2>
          <xm:sqref>D5:D604</xm:sqref>
        </x14:dataValidation>
        <x14:dataValidation type="list" allowBlank="1" xr:uid="{00000000-0002-0000-0100-000002000000}">
          <x14:formula1>
            <xm:f>'THAM SỐ'!$I$5:$I$8</xm:f>
          </x14:formula1>
          <x14:formula2>
            <xm:f>0</xm:f>
          </x14:formula2>
          <xm:sqref>E5:E604</xm:sqref>
        </x14:dataValidation>
        <x14:dataValidation type="list" allowBlank="1" xr:uid="{00000000-0002-0000-0100-000003000000}">
          <x14:formula1>
            <xm:f>'THAM SỐ'!$M$5:$M$34</xm:f>
          </x14:formula1>
          <x14:formula2>
            <xm:f>0</xm:f>
          </x14:formula2>
          <xm:sqref>F5:F604</xm:sqref>
        </x14:dataValidation>
        <x14:dataValidation type="list" allowBlank="1" xr:uid="{00000000-0002-0000-0100-000005000000}">
          <x14:formula1>
            <xm:f>'THAM SỐ'!$L$5:$L$7</xm:f>
          </x14:formula1>
          <x14:formula2>
            <xm:f>0</xm:f>
          </x14:formula2>
          <xm:sqref>Q5:Q604</xm:sqref>
        </x14:dataValidation>
      </x14:dataValidation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2E75B6"/>
  </sheetPr>
  <dimension ref="A1:AQ404"/>
  <sheetViews>
    <sheetView showGridLines="0" zoomScaleNormal="100" workbookViewId="0">
      <pane xSplit="3" ySplit="4" topLeftCell="AL5" activePane="bottomRight" state="frozen"/>
      <selection pane="topRight" activeCell="D1" sqref="D1"/>
      <selection pane="bottomLeft" activeCell="A5" sqref="A5"/>
      <selection pane="bottomRight"/>
    </sheetView>
  </sheetViews>
  <sheetFormatPr defaultColWidth="8.6640625" defaultRowHeight="14.25" x14ac:dyDescent="0.45"/>
  <cols>
    <col min="1" max="2" width="11" customWidth="1"/>
    <col min="3" max="3" width="16" customWidth="1"/>
    <col min="4" max="8" width="8" customWidth="1"/>
    <col min="9" max="11" width="7" customWidth="1"/>
    <col min="12" max="13" width="9" customWidth="1"/>
    <col min="14" max="18" width="8" customWidth="1"/>
    <col min="19" max="19" width="10" customWidth="1"/>
    <col min="20" max="20" width="6" customWidth="1"/>
    <col min="21" max="21" width="8" customWidth="1"/>
    <col min="22" max="22" width="7" customWidth="1"/>
    <col min="23" max="24" width="8" customWidth="1"/>
    <col min="25" max="25" width="7" customWidth="1"/>
    <col min="26" max="26" width="8" customWidth="1"/>
    <col min="27" max="27" width="9" customWidth="1"/>
    <col min="28" max="28" width="8" customWidth="1"/>
    <col min="29" max="32" width="7" customWidth="1"/>
    <col min="33" max="35" width="8" customWidth="1"/>
    <col min="36" max="36" width="11" customWidth="1"/>
    <col min="37" max="37" width="13" customWidth="1"/>
    <col min="38" max="38" width="38" customWidth="1"/>
    <col min="39" max="39" width="14" customWidth="1"/>
    <col min="40" max="40" width="10" customWidth="1"/>
    <col min="41" max="41" width="9" customWidth="1"/>
    <col min="42" max="42" width="11" customWidth="1"/>
    <col min="43" max="43" width="24" customWidth="1"/>
  </cols>
  <sheetData>
    <row r="1" spans="1:43" ht="17.649999999999999" x14ac:dyDescent="0.5">
      <c r="A1" s="5" t="s">
        <v>12</v>
      </c>
    </row>
    <row r="2" spans="1:43" x14ac:dyDescent="0.45">
      <c r="A2" s="6" t="s">
        <v>102</v>
      </c>
    </row>
    <row r="3" spans="1:43" x14ac:dyDescent="0.45">
      <c r="A3" s="4" t="s">
        <v>103</v>
      </c>
      <c r="B3" s="4"/>
      <c r="C3" s="4"/>
      <c r="D3" s="4"/>
      <c r="E3" s="4"/>
      <c r="F3" s="4"/>
      <c r="G3" s="4"/>
      <c r="H3" s="4"/>
      <c r="I3" s="4"/>
      <c r="J3" s="4"/>
      <c r="K3" s="4"/>
      <c r="L3" s="4"/>
      <c r="M3" s="4"/>
      <c r="N3" s="4" t="s">
        <v>104</v>
      </c>
      <c r="O3" s="4"/>
      <c r="P3" s="4" t="s">
        <v>105</v>
      </c>
      <c r="Q3" s="4"/>
      <c r="R3" s="4"/>
      <c r="S3" s="4"/>
      <c r="T3" s="3" t="s">
        <v>106</v>
      </c>
      <c r="U3" s="3"/>
      <c r="V3" s="3"/>
      <c r="W3" s="3"/>
      <c r="X3" s="3"/>
      <c r="Y3" s="3"/>
      <c r="Z3" s="3"/>
      <c r="AA3" s="3"/>
      <c r="AB3" s="3"/>
      <c r="AC3" s="2" t="s">
        <v>107</v>
      </c>
      <c r="AD3" s="2"/>
      <c r="AE3" s="2"/>
      <c r="AF3" s="2"/>
      <c r="AG3" s="2"/>
      <c r="AH3" s="2"/>
      <c r="AI3" s="2"/>
      <c r="AJ3" s="2"/>
      <c r="AK3" s="2"/>
      <c r="AL3" s="2"/>
      <c r="AM3" s="1" t="s">
        <v>108</v>
      </c>
      <c r="AN3" s="1"/>
      <c r="AO3" s="1"/>
      <c r="AP3" s="1"/>
    </row>
    <row r="4" spans="1:43" ht="51.75" customHeight="1" x14ac:dyDescent="0.45">
      <c r="A4" s="15" t="s">
        <v>55</v>
      </c>
      <c r="B4" s="15" t="s">
        <v>56</v>
      </c>
      <c r="C4" s="15" t="s">
        <v>57</v>
      </c>
      <c r="D4" s="15" t="s">
        <v>109</v>
      </c>
      <c r="E4" s="15" t="s">
        <v>110</v>
      </c>
      <c r="F4" s="15" t="s">
        <v>111</v>
      </c>
      <c r="G4" s="15" t="s">
        <v>112</v>
      </c>
      <c r="H4" s="15" t="s">
        <v>113</v>
      </c>
      <c r="I4" s="15" t="s">
        <v>114</v>
      </c>
      <c r="J4" s="15" t="s">
        <v>115</v>
      </c>
      <c r="K4" s="15" t="s">
        <v>116</v>
      </c>
      <c r="L4" s="15" t="s">
        <v>117</v>
      </c>
      <c r="M4" s="15" t="s">
        <v>118</v>
      </c>
      <c r="N4" s="15" t="s">
        <v>119</v>
      </c>
      <c r="O4" s="15" t="s">
        <v>120</v>
      </c>
      <c r="P4" s="15" t="s">
        <v>121</v>
      </c>
      <c r="Q4" s="15" t="s">
        <v>122</v>
      </c>
      <c r="R4" s="15" t="s">
        <v>123</v>
      </c>
      <c r="S4" s="15" t="s">
        <v>124</v>
      </c>
      <c r="T4" s="14" t="s">
        <v>125</v>
      </c>
      <c r="U4" s="14" t="s">
        <v>63</v>
      </c>
      <c r="V4" s="14" t="s">
        <v>126</v>
      </c>
      <c r="W4" s="14" t="s">
        <v>127</v>
      </c>
      <c r="X4" s="14" t="s">
        <v>128</v>
      </c>
      <c r="Y4" s="14" t="s">
        <v>129</v>
      </c>
      <c r="Z4" s="14" t="s">
        <v>130</v>
      </c>
      <c r="AA4" s="14" t="s">
        <v>131</v>
      </c>
      <c r="AB4" s="14" t="s">
        <v>132</v>
      </c>
      <c r="AC4" s="14" t="s">
        <v>133</v>
      </c>
      <c r="AD4" s="14" t="s">
        <v>134</v>
      </c>
      <c r="AE4" s="14" t="s">
        <v>135</v>
      </c>
      <c r="AF4" s="14" t="s">
        <v>136</v>
      </c>
      <c r="AG4" s="14" t="s">
        <v>137</v>
      </c>
      <c r="AH4" s="14" t="s">
        <v>138</v>
      </c>
      <c r="AI4" s="14" t="s">
        <v>139</v>
      </c>
      <c r="AJ4" s="14" t="s">
        <v>140</v>
      </c>
      <c r="AK4" s="14" t="s">
        <v>141</v>
      </c>
      <c r="AL4" s="14" t="s">
        <v>142</v>
      </c>
      <c r="AM4" s="24" t="s">
        <v>143</v>
      </c>
      <c r="AN4" s="24" t="s">
        <v>144</v>
      </c>
      <c r="AO4" s="24" t="s">
        <v>145</v>
      </c>
      <c r="AP4" s="24" t="s">
        <v>146</v>
      </c>
      <c r="AQ4" s="15" t="s">
        <v>75</v>
      </c>
    </row>
    <row r="5" spans="1:43" x14ac:dyDescent="0.45">
      <c r="A5" s="17">
        <v>46300</v>
      </c>
      <c r="B5" s="18" t="s">
        <v>76</v>
      </c>
      <c r="C5" s="18" t="s">
        <v>77</v>
      </c>
      <c r="D5" s="25">
        <v>181</v>
      </c>
      <c r="E5" s="26">
        <v>0.180555555555556</v>
      </c>
      <c r="F5" s="26">
        <v>0.21527777777777801</v>
      </c>
      <c r="G5" s="20">
        <v>0.265277777777778</v>
      </c>
      <c r="H5" s="20">
        <v>0.77777777777777801</v>
      </c>
      <c r="I5" s="18">
        <v>6</v>
      </c>
      <c r="J5" s="18">
        <v>0</v>
      </c>
      <c r="K5" s="18">
        <v>0</v>
      </c>
      <c r="L5" s="18">
        <v>0</v>
      </c>
      <c r="M5" s="18">
        <v>20.5</v>
      </c>
      <c r="N5" s="18">
        <v>0</v>
      </c>
      <c r="O5" s="18">
        <v>0</v>
      </c>
      <c r="P5" s="18" t="s">
        <v>147</v>
      </c>
      <c r="Q5" s="18" t="s">
        <v>147</v>
      </c>
      <c r="R5" s="18" t="s">
        <v>147</v>
      </c>
      <c r="S5" s="18" t="s">
        <v>148</v>
      </c>
      <c r="T5" s="16">
        <f>IF($A5="","",COUNTIFS('LỆNH ĐIỀU XE'!$B$5:$B$604,$A5,'LỆNH ĐIỀU XE'!$C$5:$C$604,$B5))</f>
        <v>1</v>
      </c>
      <c r="U5" s="27">
        <f>IF($A5="","",SUMIFS('LỆNH ĐIỀU XE'!$J$5:$J$604,'LỆNH ĐIỀU XE'!$B$5:$B$604,$A5,'LỆNH ĐIỀU XE'!$C$5:$C$604,$B5))</f>
        <v>175</v>
      </c>
      <c r="V5" s="22">
        <f t="shared" ref="V5:V68" si="0">IF(OR($A5="",D5="",N(U5)=0),"",(D5-U5)/U5)</f>
        <v>3.4285714285714287E-2</v>
      </c>
      <c r="W5" s="28">
        <f t="shared" ref="W5:W68" si="1">IF(OR($A5="",G5="",H5=""),"",ROUND((H5+(H5&lt;G5)-G5)*24,2))</f>
        <v>12.3</v>
      </c>
      <c r="X5" s="28">
        <f t="shared" ref="X5:X68" si="2">IF(OR($A5="",E5=""),"",ROUND(E5*24,2))</f>
        <v>4.33</v>
      </c>
      <c r="Y5" s="28">
        <f t="shared" ref="Y5:Y68" si="3">IF(OR(W5="",X5=""),"",MAX(0,W5-X5))</f>
        <v>7.9700000000000006</v>
      </c>
      <c r="Z5" s="22">
        <f t="shared" ref="Z5:Z68" si="4">IF(OR(W5="",X5="",N(W5)=0),"",X5/W5)</f>
        <v>0.35203252032520321</v>
      </c>
      <c r="AA5" s="28">
        <f t="shared" ref="AA5:AA68" si="5">IF(OR($A5="",F5="",X5=""),"",MAX(0,ROUND(F5*24-X5,2)))</f>
        <v>0.84</v>
      </c>
      <c r="AB5" s="28">
        <f t="shared" ref="AB5:AB68" si="6">IF(OR($A5="",M5="",N(D5)=0),"",M5/D5*100)</f>
        <v>11.325966850828729</v>
      </c>
      <c r="AC5" s="28">
        <f>IF($A5="","",SUMIFS('CHẶNG TĂNG CA'!$E$5:$E$304,'CHẶNG TĂNG CA'!$A$5:$A$304,$A5,'CHẶNG TĂNG CA'!$B$5:$B$304,$B5))</f>
        <v>1.63</v>
      </c>
      <c r="AD5" s="28">
        <f>IF($A5="","",SUMIFS('CHẶNG TĂNG CA'!$F$5:$F$304,'CHẶNG TĂNG CA'!$A$5:$A$304,$A5,'CHẶNG TĂNG CA'!$B$5:$B$304,$B5))</f>
        <v>1.67</v>
      </c>
      <c r="AE5" s="28">
        <f>IF($A5="","",SUMIFS('CHẶNG TĂNG CA'!$G$5:$G$304,'CHẶNG TĂNG CA'!$A$5:$A$304,$A5,'CHẶNG TĂNG CA'!$B$5:$B$304,$B5))</f>
        <v>0</v>
      </c>
      <c r="AF5" s="28">
        <f>IF($A5="","",SUMIFS('CHẶNG TĂNG CA'!$H$5:$H$304,'CHẶNG TĂNG CA'!$A$5:$A$304,$A5,'CHẶNG TĂNG CA'!$B$5:$B$304,$B5))</f>
        <v>0</v>
      </c>
      <c r="AG5" s="28">
        <f t="shared" ref="AG5:AG68" si="7">IF($A5="","",SUM(AC5:AF5))</f>
        <v>3.3</v>
      </c>
      <c r="AH5" s="16" t="str">
        <f>IF($A5="","",IF(COUNTIFS('LỆNH ĐIỀU XE'!$B$5:$B$604,$A5,'LỆNH ĐIỀU XE'!$C$5:$C$604,$B5,'LỆNH ĐIỀU XE'!$N$5:$N$604,"Có")&gt;0,"Có","Không"))</f>
        <v>Có</v>
      </c>
      <c r="AI5" s="16">
        <f>IF(OR($A5="",H5="",N(T5)=0),"",IF(_xlfn.MAXIFS('LỆNH ĐIỀU XE'!$U$5:$U$604,'LỆNH ĐIỀU XE'!$B$5:$B$604,$A5,'LỆNH ĐIỀU XE'!$C$5:$C$604,$B5)=0,"",ROUND((H5+(H5&lt;4/24)-_xlfn.MAXIFS('LỆNH ĐIỀU XE'!$U$5:$U$604,'LỆNH ĐIỀU XE'!$B$5:$B$604,$A5,'LỆNH ĐIỀU XE'!$C$5:$C$604,$B5))*1440,0)))</f>
        <v>10</v>
      </c>
      <c r="AJ5" s="16" t="str">
        <f>IF($A5="","",IF(OR(AI5="",V5=""),"Thiếu dữ liệu",IF(AND(AI5&lt;='THAM SỐ'!$B$29,ABS(V5)&lt;='THAM SỐ'!$B$28),"Đạt","Không đạt")))</f>
        <v>Đạt</v>
      </c>
      <c r="AK5" s="16" t="str">
        <f t="shared" ref="AK5:AK68" si="8">IF($A5="","",IF(AG5=0,"Không có OT",IF(AND(AH5="Có",AJ5="Đạt"),"Đủ điều kiện","Cần giải trình")))</f>
        <v>Đủ điều kiện</v>
      </c>
      <c r="AL5" s="16" t="str">
        <f>IF($A5="","",TRIM(IF(T5=0,"Không có lệnh; ","")&amp;IF(N(N5)&gt;0,"Dừng ngoài lệnh; ","")&amp;IF(N(J5)&gt;0,"Quá tốc độ; ","")&amp;IF(N(K5)&gt;0,"Lái quá 4h; ","")&amp;IF(N(L5)&gt;0,"Không tắt máy; ","")&amp;IF(OR(P5&lt;&gt;"Đủ",Q5&lt;&gt;"Đủ",R5&lt;&gt;"Đủ"),"Thiếu ảnh; ","")&amp;IF(S5&lt;&gt;"Đạt","Lốp chưa đạt; ","")&amp;IF(N(W5)&gt;'THAM SỐ'!$B$27,"Có mặt quá giờ; ","")&amp;IF(N(X5)&gt;'THAM SỐ'!$B$25,"Lái quá giờ ngày; ","")&amp;IF(ISNUMBER(V5),IF(ABS(V5)&gt;'THAM SỐ'!$B$28,"Lệch km; ",""),"")))</f>
        <v>Có mặt quá giờ;</v>
      </c>
      <c r="AM5" s="29" t="s">
        <v>149</v>
      </c>
      <c r="AN5" s="30"/>
      <c r="AO5" s="28">
        <f t="shared" ref="AO5:AO68" si="9">IF($A5="","",IF(AM5="Duyệt đủ",AG5,IF(AM5="Duyệt một phần",N(AN5),IF(AM5="Không duyệt",0,""))))</f>
        <v>3.3</v>
      </c>
      <c r="AP5" s="21">
        <f>IF(OR($A5="",AO5=""),"",IF(AG5=0,0,ROUND((AC5*'THAM SỐ'!$B$18+AD5*'THAM SỐ'!$B$19+AE5*'THAM SỐ'!$B$20+AF5*'THAM SỐ'!$B$21)*MIN(1,AO5/AG5),0)))</f>
        <v>205750</v>
      </c>
      <c r="AQ5" s="18" t="s">
        <v>84</v>
      </c>
    </row>
    <row r="6" spans="1:43" x14ac:dyDescent="0.45">
      <c r="A6" s="17">
        <v>46300</v>
      </c>
      <c r="B6" s="18" t="s">
        <v>85</v>
      </c>
      <c r="C6" s="18" t="s">
        <v>86</v>
      </c>
      <c r="D6" s="25">
        <v>41</v>
      </c>
      <c r="E6" s="26">
        <v>8.6805555555555594E-2</v>
      </c>
      <c r="F6" s="26">
        <v>0.15277777777777801</v>
      </c>
      <c r="G6" s="20">
        <v>0.33680555555555602</v>
      </c>
      <c r="H6" s="20">
        <v>0.63888888888888895</v>
      </c>
      <c r="I6" s="18">
        <v>5</v>
      </c>
      <c r="J6" s="18">
        <v>0</v>
      </c>
      <c r="K6" s="18">
        <v>0</v>
      </c>
      <c r="L6" s="18">
        <v>1</v>
      </c>
      <c r="M6" s="18">
        <v>5.8</v>
      </c>
      <c r="N6" s="18">
        <v>0</v>
      </c>
      <c r="O6" s="18">
        <v>0</v>
      </c>
      <c r="P6" s="18" t="s">
        <v>147</v>
      </c>
      <c r="Q6" s="18" t="s">
        <v>147</v>
      </c>
      <c r="R6" s="18" t="s">
        <v>150</v>
      </c>
      <c r="S6" s="18" t="s">
        <v>148</v>
      </c>
      <c r="T6" s="16">
        <f>IF($A6="","",COUNTIFS('LỆNH ĐIỀU XE'!$B$5:$B$604,$A6,'LỆNH ĐIỀU XE'!$C$5:$C$604,$B6))</f>
        <v>1</v>
      </c>
      <c r="U6" s="27">
        <f>IF($A6="","",SUMIFS('LỆNH ĐIỀU XE'!$J$5:$J$604,'LỆNH ĐIỀU XE'!$B$5:$B$604,$A6,'LỆNH ĐIỀU XE'!$C$5:$C$604,$B6))</f>
        <v>38</v>
      </c>
      <c r="V6" s="22">
        <f t="shared" si="0"/>
        <v>7.8947368421052627E-2</v>
      </c>
      <c r="W6" s="28">
        <f t="shared" si="1"/>
        <v>7.25</v>
      </c>
      <c r="X6" s="28">
        <f t="shared" si="2"/>
        <v>2.08</v>
      </c>
      <c r="Y6" s="28">
        <f t="shared" si="3"/>
        <v>5.17</v>
      </c>
      <c r="Z6" s="22">
        <f t="shared" si="4"/>
        <v>0.28689655172413792</v>
      </c>
      <c r="AA6" s="28">
        <f t="shared" si="5"/>
        <v>1.59</v>
      </c>
      <c r="AB6" s="28">
        <f t="shared" si="6"/>
        <v>14.146341463414632</v>
      </c>
      <c r="AC6" s="28">
        <f>IF($A6="","",SUMIFS('CHẶNG TĂNG CA'!$E$5:$E$304,'CHẶNG TĂNG CA'!$A$5:$A$304,$A6,'CHẶNG TĂNG CA'!$B$5:$B$304,$B6))</f>
        <v>0</v>
      </c>
      <c r="AD6" s="28">
        <f>IF($A6="","",SUMIFS('CHẶNG TĂNG CA'!$F$5:$F$304,'CHẶNG TĂNG CA'!$A$5:$A$304,$A6,'CHẶNG TĂNG CA'!$B$5:$B$304,$B6))</f>
        <v>0</v>
      </c>
      <c r="AE6" s="28">
        <f>IF($A6="","",SUMIFS('CHẶNG TĂNG CA'!$G$5:$G$304,'CHẶNG TĂNG CA'!$A$5:$A$304,$A6,'CHẶNG TĂNG CA'!$B$5:$B$304,$B6))</f>
        <v>0</v>
      </c>
      <c r="AF6" s="28">
        <f>IF($A6="","",SUMIFS('CHẶNG TĂNG CA'!$H$5:$H$304,'CHẶNG TĂNG CA'!$A$5:$A$304,$A6,'CHẶNG TĂNG CA'!$B$5:$B$304,$B6))</f>
        <v>0</v>
      </c>
      <c r="AG6" s="28">
        <f t="shared" si="7"/>
        <v>0</v>
      </c>
      <c r="AH6" s="16" t="str">
        <f>IF($A6="","",IF(COUNTIFS('LỆNH ĐIỀU XE'!$B$5:$B$604,$A6,'LỆNH ĐIỀU XE'!$C$5:$C$604,$B6,'LỆNH ĐIỀU XE'!$N$5:$N$604,"Có")&gt;0,"Có","Không"))</f>
        <v>Không</v>
      </c>
      <c r="AI6" s="16">
        <f>IF(OR($A6="",H6="",N(T6)=0),"",IF(_xlfn.MAXIFS('LỆNH ĐIỀU XE'!$U$5:$U$604,'LỆNH ĐIỀU XE'!$B$5:$B$604,$A6,'LỆNH ĐIỀU XE'!$C$5:$C$604,$B6)=0,"",ROUND((H6+(H6&lt;4/24)-_xlfn.MAXIFS('LỆNH ĐIỀU XE'!$U$5:$U$604,'LỆNH ĐIỀU XE'!$B$5:$B$604,$A6,'LỆNH ĐIỀU XE'!$C$5:$C$604,$B6))*1440,0)))</f>
        <v>20</v>
      </c>
      <c r="AJ6" s="16" t="str">
        <f>IF($A6="","",IF(OR(AI6="",V6=""),"Thiếu dữ liệu",IF(AND(AI6&lt;='THAM SỐ'!$B$29,ABS(V6)&lt;='THAM SỐ'!$B$28),"Đạt","Không đạt")))</f>
        <v>Đạt</v>
      </c>
      <c r="AK6" s="16" t="str">
        <f t="shared" si="8"/>
        <v>Không có OT</v>
      </c>
      <c r="AL6" s="16" t="str">
        <f>IF($A6="","",TRIM(IF(T6=0,"Không có lệnh; ","")&amp;IF(N(N6)&gt;0,"Dừng ngoài lệnh; ","")&amp;IF(N(J6)&gt;0,"Quá tốc độ; ","")&amp;IF(N(K6)&gt;0,"Lái quá 4h; ","")&amp;IF(N(L6)&gt;0,"Không tắt máy; ","")&amp;IF(OR(P6&lt;&gt;"Đủ",Q6&lt;&gt;"Đủ",R6&lt;&gt;"Đủ"),"Thiếu ảnh; ","")&amp;IF(S6&lt;&gt;"Đạt","Lốp chưa đạt; ","")&amp;IF(N(W6)&gt;'THAM SỐ'!$B$27,"Có mặt quá giờ; ","")&amp;IF(N(X6)&gt;'THAM SỐ'!$B$25,"Lái quá giờ ngày; ","")&amp;IF(ISNUMBER(V6),IF(ABS(V6)&gt;'THAM SỐ'!$B$28,"Lệch km; ",""),"")))</f>
        <v>Không tắt máy; Thiếu ảnh;</v>
      </c>
      <c r="AM6" s="29"/>
      <c r="AN6" s="30"/>
      <c r="AO6" s="28" t="str">
        <f t="shared" si="9"/>
        <v/>
      </c>
      <c r="AP6" s="21" t="str">
        <f>IF(OR($A6="",AO6=""),"",IF(AG6=0,0,ROUND((AC6*'THAM SỐ'!$B$18+AD6*'THAM SỐ'!$B$19+AE6*'THAM SỐ'!$B$20+AF6*'THAM SỐ'!$B$21)*MIN(1,AO6/AG6),0)))</f>
        <v/>
      </c>
      <c r="AQ6" s="18" t="s">
        <v>84</v>
      </c>
    </row>
    <row r="7" spans="1:43" x14ac:dyDescent="0.45">
      <c r="A7" s="17">
        <v>46301</v>
      </c>
      <c r="B7" s="18" t="s">
        <v>76</v>
      </c>
      <c r="C7" s="18" t="s">
        <v>77</v>
      </c>
      <c r="D7" s="25">
        <v>178</v>
      </c>
      <c r="E7" s="26">
        <v>0.17708333333333301</v>
      </c>
      <c r="F7" s="26">
        <v>0.20138888888888901</v>
      </c>
      <c r="G7" s="20">
        <v>0.33472222222222198</v>
      </c>
      <c r="H7" s="20">
        <v>0.59027777777777801</v>
      </c>
      <c r="I7" s="18">
        <v>4</v>
      </c>
      <c r="J7" s="18">
        <v>1</v>
      </c>
      <c r="K7" s="18">
        <v>0</v>
      </c>
      <c r="L7" s="18">
        <v>0</v>
      </c>
      <c r="M7" s="18">
        <v>19.600000000000001</v>
      </c>
      <c r="N7" s="18">
        <v>0</v>
      </c>
      <c r="O7" s="18">
        <v>0</v>
      </c>
      <c r="P7" s="18" t="s">
        <v>147</v>
      </c>
      <c r="Q7" s="18" t="s">
        <v>147</v>
      </c>
      <c r="R7" s="18" t="s">
        <v>147</v>
      </c>
      <c r="S7" s="18" t="s">
        <v>148</v>
      </c>
      <c r="T7" s="16">
        <f>IF($A7="","",COUNTIFS('LỆNH ĐIỀU XE'!$B$5:$B$604,$A7,'LỆNH ĐIỀU XE'!$C$5:$C$604,$B7))</f>
        <v>1</v>
      </c>
      <c r="U7" s="27">
        <f>IF($A7="","",SUMIFS('LỆNH ĐIỀU XE'!$J$5:$J$604,'LỆNH ĐIỀU XE'!$B$5:$B$604,$A7,'LỆNH ĐIỀU XE'!$C$5:$C$604,$B7))</f>
        <v>175</v>
      </c>
      <c r="V7" s="22">
        <f t="shared" si="0"/>
        <v>1.7142857142857144E-2</v>
      </c>
      <c r="W7" s="28">
        <f t="shared" si="1"/>
        <v>6.13</v>
      </c>
      <c r="X7" s="28">
        <f t="shared" si="2"/>
        <v>4.25</v>
      </c>
      <c r="Y7" s="28">
        <f t="shared" si="3"/>
        <v>1.88</v>
      </c>
      <c r="Z7" s="22">
        <f t="shared" si="4"/>
        <v>0.69331158238172919</v>
      </c>
      <c r="AA7" s="28">
        <f t="shared" si="5"/>
        <v>0.57999999999999996</v>
      </c>
      <c r="AB7" s="28">
        <f t="shared" si="6"/>
        <v>11.011235955056181</v>
      </c>
      <c r="AC7" s="28">
        <f>IF($A7="","",SUMIFS('CHẶNG TĂNG CA'!$E$5:$E$304,'CHẶNG TĂNG CA'!$A$5:$A$304,$A7,'CHẶNG TĂNG CA'!$B$5:$B$304,$B7))</f>
        <v>0</v>
      </c>
      <c r="AD7" s="28">
        <f>IF($A7="","",SUMIFS('CHẶNG TĂNG CA'!$F$5:$F$304,'CHẶNG TĂNG CA'!$A$5:$A$304,$A7,'CHẶNG TĂNG CA'!$B$5:$B$304,$B7))</f>
        <v>0</v>
      </c>
      <c r="AE7" s="28">
        <f>IF($A7="","",SUMIFS('CHẶNG TĂNG CA'!$G$5:$G$304,'CHẶNG TĂNG CA'!$A$5:$A$304,$A7,'CHẶNG TĂNG CA'!$B$5:$B$304,$B7))</f>
        <v>0</v>
      </c>
      <c r="AF7" s="28">
        <f>IF($A7="","",SUMIFS('CHẶNG TĂNG CA'!$H$5:$H$304,'CHẶNG TĂNG CA'!$A$5:$A$304,$A7,'CHẶNG TĂNG CA'!$B$5:$B$304,$B7))</f>
        <v>0</v>
      </c>
      <c r="AG7" s="28">
        <f t="shared" si="7"/>
        <v>0</v>
      </c>
      <c r="AH7" s="16" t="str">
        <f>IF($A7="","",IF(COUNTIFS('LỆNH ĐIỀU XE'!$B$5:$B$604,$A7,'LỆNH ĐIỀU XE'!$C$5:$C$604,$B7,'LỆNH ĐIỀU XE'!$N$5:$N$604,"Có")&gt;0,"Có","Không"))</f>
        <v>Không</v>
      </c>
      <c r="AI7" s="16">
        <f>IF(OR($A7="",H7="",N(T7)=0),"",IF(_xlfn.MAXIFS('LỆNH ĐIỀU XE'!$U$5:$U$604,'LỆNH ĐIỀU XE'!$B$5:$B$604,$A7,'LỆNH ĐIỀU XE'!$C$5:$C$604,$B7)=0,"",ROUND((H7+(H7&lt;4/24)-_xlfn.MAXIFS('LỆNH ĐIỀU XE'!$U$5:$U$604,'LỆNH ĐIỀU XE'!$B$5:$B$604,$A7,'LỆNH ĐIỀU XE'!$C$5:$C$604,$B7))*1440,0)))</f>
        <v>10</v>
      </c>
      <c r="AJ7" s="16" t="str">
        <f>IF($A7="","",IF(OR(AI7="",V7=""),"Thiếu dữ liệu",IF(AND(AI7&lt;='THAM SỐ'!$B$29,ABS(V7)&lt;='THAM SỐ'!$B$28),"Đạt","Không đạt")))</f>
        <v>Đạt</v>
      </c>
      <c r="AK7" s="16" t="str">
        <f t="shared" si="8"/>
        <v>Không có OT</v>
      </c>
      <c r="AL7" s="16" t="str">
        <f>IF($A7="","",TRIM(IF(T7=0,"Không có lệnh; ","")&amp;IF(N(N7)&gt;0,"Dừng ngoài lệnh; ","")&amp;IF(N(J7)&gt;0,"Quá tốc độ; ","")&amp;IF(N(K7)&gt;0,"Lái quá 4h; ","")&amp;IF(N(L7)&gt;0,"Không tắt máy; ","")&amp;IF(OR(P7&lt;&gt;"Đủ",Q7&lt;&gt;"Đủ",R7&lt;&gt;"Đủ"),"Thiếu ảnh; ","")&amp;IF(S7&lt;&gt;"Đạt","Lốp chưa đạt; ","")&amp;IF(N(W7)&gt;'THAM SỐ'!$B$27,"Có mặt quá giờ; ","")&amp;IF(N(X7)&gt;'THAM SỐ'!$B$25,"Lái quá giờ ngày; ","")&amp;IF(ISNUMBER(V7),IF(ABS(V7)&gt;'THAM SỐ'!$B$28,"Lệch km; ",""),"")))</f>
        <v>Quá tốc độ;</v>
      </c>
      <c r="AM7" s="29"/>
      <c r="AN7" s="30"/>
      <c r="AO7" s="28" t="str">
        <f t="shared" si="9"/>
        <v/>
      </c>
      <c r="AP7" s="21" t="str">
        <f>IF(OR($A7="",AO7=""),"",IF(AG7=0,0,ROUND((AC7*'THAM SỐ'!$B$18+AD7*'THAM SỐ'!$B$19+AE7*'THAM SỐ'!$B$20+AF7*'THAM SỐ'!$B$21)*MIN(1,AO7/AG7),0)))</f>
        <v/>
      </c>
      <c r="AQ7" s="18" t="s">
        <v>84</v>
      </c>
    </row>
    <row r="8" spans="1:43" x14ac:dyDescent="0.45">
      <c r="A8" s="17">
        <v>46301</v>
      </c>
      <c r="B8" s="18" t="s">
        <v>85</v>
      </c>
      <c r="C8" s="18" t="s">
        <v>86</v>
      </c>
      <c r="D8" s="25">
        <v>97</v>
      </c>
      <c r="E8" s="26">
        <v>0.14583333333333301</v>
      </c>
      <c r="F8" s="26">
        <v>0.23958333333333301</v>
      </c>
      <c r="G8" s="20">
        <v>0.32986111111111099</v>
      </c>
      <c r="H8" s="20">
        <v>0.73263888888888895</v>
      </c>
      <c r="I8" s="18">
        <v>8</v>
      </c>
      <c r="J8" s="18">
        <v>0</v>
      </c>
      <c r="K8" s="18">
        <v>0</v>
      </c>
      <c r="L8" s="18">
        <v>2</v>
      </c>
      <c r="M8" s="18">
        <v>11.2</v>
      </c>
      <c r="N8" s="18">
        <v>1</v>
      </c>
      <c r="O8" s="18">
        <v>25</v>
      </c>
      <c r="P8" s="18" t="s">
        <v>147</v>
      </c>
      <c r="Q8" s="18" t="s">
        <v>147</v>
      </c>
      <c r="R8" s="18" t="s">
        <v>147</v>
      </c>
      <c r="S8" s="18" t="s">
        <v>151</v>
      </c>
      <c r="T8" s="16">
        <f>IF($A8="","",COUNTIFS('LỆNH ĐIỀU XE'!$B$5:$B$604,$A8,'LỆNH ĐIỀU XE'!$C$5:$C$604,$B8))</f>
        <v>1</v>
      </c>
      <c r="U8" s="27">
        <f>IF($A8="","",SUMIFS('LỆNH ĐIỀU XE'!$J$5:$J$604,'LỆNH ĐIỀU XE'!$B$5:$B$604,$A8,'LỆNH ĐIỀU XE'!$C$5:$C$604,$B8))</f>
        <v>85</v>
      </c>
      <c r="V8" s="22">
        <f t="shared" si="0"/>
        <v>0.14117647058823529</v>
      </c>
      <c r="W8" s="28">
        <f t="shared" si="1"/>
        <v>9.67</v>
      </c>
      <c r="X8" s="28">
        <f t="shared" si="2"/>
        <v>3.5</v>
      </c>
      <c r="Y8" s="28">
        <f t="shared" si="3"/>
        <v>6.17</v>
      </c>
      <c r="Z8" s="22">
        <f t="shared" si="4"/>
        <v>0.36194415718717682</v>
      </c>
      <c r="AA8" s="28">
        <f t="shared" si="5"/>
        <v>2.25</v>
      </c>
      <c r="AB8" s="28">
        <f t="shared" si="6"/>
        <v>11.546391752577319</v>
      </c>
      <c r="AC8" s="28">
        <f>IF($A8="","",SUMIFS('CHẶNG TĂNG CA'!$E$5:$E$304,'CHẶNG TĂNG CA'!$A$5:$A$304,$A8,'CHẶNG TĂNG CA'!$B$5:$B$304,$B8))</f>
        <v>0.08</v>
      </c>
      <c r="AD8" s="28">
        <f>IF($A8="","",SUMIFS('CHẶNG TĂNG CA'!$F$5:$F$304,'CHẶNG TĂNG CA'!$A$5:$A$304,$A8,'CHẶNG TĂNG CA'!$B$5:$B$304,$B8))</f>
        <v>0.57999999999999996</v>
      </c>
      <c r="AE8" s="28">
        <f>IF($A8="","",SUMIFS('CHẶNG TĂNG CA'!$G$5:$G$304,'CHẶNG TĂNG CA'!$A$5:$A$304,$A8,'CHẶNG TĂNG CA'!$B$5:$B$304,$B8))</f>
        <v>0</v>
      </c>
      <c r="AF8" s="28">
        <f>IF($A8="","",SUMIFS('CHẶNG TĂNG CA'!$H$5:$H$304,'CHẶNG TĂNG CA'!$A$5:$A$304,$A8,'CHẶNG TĂNG CA'!$B$5:$B$304,$B8))</f>
        <v>0</v>
      </c>
      <c r="AG8" s="28">
        <f t="shared" si="7"/>
        <v>0.65999999999999992</v>
      </c>
      <c r="AH8" s="16" t="str">
        <f>IF($A8="","",IF(COUNTIFS('LỆNH ĐIỀU XE'!$B$5:$B$604,$A8,'LỆNH ĐIỀU XE'!$C$5:$C$604,$B8,'LỆNH ĐIỀU XE'!$N$5:$N$604,"Có")&gt;0,"Có","Không"))</f>
        <v>Không</v>
      </c>
      <c r="AI8" s="16">
        <f>IF(OR($A8="",H8="",N(T8)=0),"",IF(_xlfn.MAXIFS('LỆNH ĐIỀU XE'!$U$5:$U$604,'LỆNH ĐIỀU XE'!$B$5:$B$604,$A8,'LỆNH ĐIỀU XE'!$C$5:$C$604,$B8)=0,"",ROUND((H8+(H8&lt;4/24)-_xlfn.MAXIFS('LỆNH ĐIỀU XE'!$U$5:$U$604,'LỆNH ĐIỀU XE'!$B$5:$B$604,$A8,'LỆNH ĐIỀU XE'!$C$5:$C$604,$B8))*1440,0)))</f>
        <v>35</v>
      </c>
      <c r="AJ8" s="16" t="str">
        <f>IF($A8="","",IF(OR(AI8="",V8=""),"Thiếu dữ liệu",IF(AND(AI8&lt;='THAM SỐ'!$B$29,ABS(V8)&lt;='THAM SỐ'!$B$28),"Đạt","Không đạt")))</f>
        <v>Không đạt</v>
      </c>
      <c r="AK8" s="16" t="str">
        <f t="shared" si="8"/>
        <v>Cần giải trình</v>
      </c>
      <c r="AL8" s="16" t="str">
        <f>IF($A8="","",TRIM(IF(T8=0,"Không có lệnh; ","")&amp;IF(N(N8)&gt;0,"Dừng ngoài lệnh; ","")&amp;IF(N(J8)&gt;0,"Quá tốc độ; ","")&amp;IF(N(K8)&gt;0,"Lái quá 4h; ","")&amp;IF(N(L8)&gt;0,"Không tắt máy; ","")&amp;IF(OR(P8&lt;&gt;"Đủ",Q8&lt;&gt;"Đủ",R8&lt;&gt;"Đủ"),"Thiếu ảnh; ","")&amp;IF(S8&lt;&gt;"Đạt","Lốp chưa đạt; ","")&amp;IF(N(W8)&gt;'THAM SỐ'!$B$27,"Có mặt quá giờ; ","")&amp;IF(N(X8)&gt;'THAM SỐ'!$B$25,"Lái quá giờ ngày; ","")&amp;IF(ISNUMBER(V8),IF(ABS(V8)&gt;'THAM SỐ'!$B$28,"Lệch km; ",""),"")))</f>
        <v>Dừng ngoài lệnh; Không tắt máy; Lốp chưa đạt;</v>
      </c>
      <c r="AM8" s="29"/>
      <c r="AN8" s="30"/>
      <c r="AO8" s="28" t="str">
        <f t="shared" si="9"/>
        <v/>
      </c>
      <c r="AP8" s="21" t="str">
        <f>IF(OR($A8="",AO8=""),"",IF(AG8=0,0,ROUND((AC8*'THAM SỐ'!$B$18+AD8*'THAM SỐ'!$B$19+AE8*'THAM SỐ'!$B$20+AF8*'THAM SỐ'!$B$21)*MIN(1,AO8/AG8),0)))</f>
        <v/>
      </c>
      <c r="AQ8" s="18" t="s">
        <v>84</v>
      </c>
    </row>
    <row r="9" spans="1:43" x14ac:dyDescent="0.45">
      <c r="A9" s="17">
        <v>46302</v>
      </c>
      <c r="B9" s="18" t="s">
        <v>76</v>
      </c>
      <c r="C9" s="18" t="s">
        <v>77</v>
      </c>
      <c r="D9" s="25">
        <v>49</v>
      </c>
      <c r="E9" s="26">
        <v>9.0277777777777804E-2</v>
      </c>
      <c r="F9" s="26">
        <v>0.1875</v>
      </c>
      <c r="G9" s="20">
        <v>0.32638888888888901</v>
      </c>
      <c r="H9" s="20">
        <v>0.80208333333333304</v>
      </c>
      <c r="I9" s="18">
        <v>7</v>
      </c>
      <c r="J9" s="18">
        <v>0</v>
      </c>
      <c r="K9" s="18">
        <v>0</v>
      </c>
      <c r="L9" s="18">
        <v>1</v>
      </c>
      <c r="M9" s="18">
        <v>9.4</v>
      </c>
      <c r="N9" s="18">
        <v>0</v>
      </c>
      <c r="O9" s="18">
        <v>0</v>
      </c>
      <c r="P9" s="18" t="s">
        <v>147</v>
      </c>
      <c r="Q9" s="18" t="s">
        <v>150</v>
      </c>
      <c r="R9" s="18" t="s">
        <v>147</v>
      </c>
      <c r="S9" s="18" t="s">
        <v>148</v>
      </c>
      <c r="T9" s="16">
        <f>IF($A9="","",COUNTIFS('LỆNH ĐIỀU XE'!$B$5:$B$604,$A9,'LỆNH ĐIỀU XE'!$C$5:$C$604,$B9))</f>
        <v>1</v>
      </c>
      <c r="U9" s="27">
        <f>IF($A9="","",SUMIFS('LỆNH ĐIỀU XE'!$J$5:$J$604,'LỆNH ĐIỀU XE'!$B$5:$B$604,$A9,'LỆNH ĐIỀU XE'!$C$5:$C$604,$B9))</f>
        <v>46</v>
      </c>
      <c r="V9" s="22">
        <f t="shared" si="0"/>
        <v>6.5217391304347824E-2</v>
      </c>
      <c r="W9" s="28">
        <f t="shared" si="1"/>
        <v>11.42</v>
      </c>
      <c r="X9" s="28">
        <f t="shared" si="2"/>
        <v>2.17</v>
      </c>
      <c r="Y9" s="28">
        <f t="shared" si="3"/>
        <v>9.25</v>
      </c>
      <c r="Z9" s="22">
        <f t="shared" si="4"/>
        <v>0.19001751313485113</v>
      </c>
      <c r="AA9" s="28">
        <f t="shared" si="5"/>
        <v>2.33</v>
      </c>
      <c r="AB9" s="28">
        <f t="shared" si="6"/>
        <v>19.183673469387756</v>
      </c>
      <c r="AC9" s="28">
        <f>IF($A9="","",SUMIFS('CHẶNG TĂNG CA'!$E$5:$E$304,'CHẶNG TĂNG CA'!$A$5:$A$304,$A9,'CHẶNG TĂNG CA'!$B$5:$B$304,$B9))</f>
        <v>0</v>
      </c>
      <c r="AD9" s="28">
        <f>IF($A9="","",SUMIFS('CHẶNG TĂNG CA'!$F$5:$F$304,'CHẶNG TĂNG CA'!$A$5:$A$304,$A9,'CHẶNG TĂNG CA'!$B$5:$B$304,$B9))</f>
        <v>2.25</v>
      </c>
      <c r="AE9" s="28">
        <f>IF($A9="","",SUMIFS('CHẶNG TĂNG CA'!$G$5:$G$304,'CHẶNG TĂNG CA'!$A$5:$A$304,$A9,'CHẶNG TĂNG CA'!$B$5:$B$304,$B9))</f>
        <v>0</v>
      </c>
      <c r="AF9" s="28">
        <f>IF($A9="","",SUMIFS('CHẶNG TĂNG CA'!$H$5:$H$304,'CHẶNG TĂNG CA'!$A$5:$A$304,$A9,'CHẶNG TĂNG CA'!$B$5:$B$304,$B9))</f>
        <v>0</v>
      </c>
      <c r="AG9" s="28">
        <f t="shared" si="7"/>
        <v>2.25</v>
      </c>
      <c r="AH9" s="16" t="str">
        <f>IF($A9="","",IF(COUNTIFS('LỆNH ĐIỀU XE'!$B$5:$B$604,$A9,'LỆNH ĐIỀU XE'!$C$5:$C$604,$B9,'LỆNH ĐIỀU XE'!$N$5:$N$604,"Có")&gt;0,"Có","Không"))</f>
        <v>Có</v>
      </c>
      <c r="AI9" s="16">
        <f>IF(OR($A9="",H9="",N(T9)=0),"",IF(_xlfn.MAXIFS('LỆNH ĐIỀU XE'!$U$5:$U$604,'LỆNH ĐIỀU XE'!$B$5:$B$604,$A9,'LỆNH ĐIỀU XE'!$C$5:$C$604,$B9)=0,"",ROUND((H9+(H9&lt;4/24)-_xlfn.MAXIFS('LỆNH ĐIỀU XE'!$U$5:$U$604,'LỆNH ĐIỀU XE'!$B$5:$B$604,$A9,'LỆNH ĐIỀU XE'!$C$5:$C$604,$B9))*1440,0)))</f>
        <v>15</v>
      </c>
      <c r="AJ9" s="16" t="str">
        <f>IF($A9="","",IF(OR(AI9="",V9=""),"Thiếu dữ liệu",IF(AND(AI9&lt;='THAM SỐ'!$B$29,ABS(V9)&lt;='THAM SỐ'!$B$28),"Đạt","Không đạt")))</f>
        <v>Đạt</v>
      </c>
      <c r="AK9" s="16" t="str">
        <f t="shared" si="8"/>
        <v>Đủ điều kiện</v>
      </c>
      <c r="AL9" s="16" t="str">
        <f>IF($A9="","",TRIM(IF(T9=0,"Không có lệnh; ","")&amp;IF(N(N9)&gt;0,"Dừng ngoài lệnh; ","")&amp;IF(N(J9)&gt;0,"Quá tốc độ; ","")&amp;IF(N(K9)&gt;0,"Lái quá 4h; ","")&amp;IF(N(L9)&gt;0,"Không tắt máy; ","")&amp;IF(OR(P9&lt;&gt;"Đủ",Q9&lt;&gt;"Đủ",R9&lt;&gt;"Đủ"),"Thiếu ảnh; ","")&amp;IF(S9&lt;&gt;"Đạt","Lốp chưa đạt; ","")&amp;IF(N(W9)&gt;'THAM SỐ'!$B$27,"Có mặt quá giờ; ","")&amp;IF(N(X9)&gt;'THAM SỐ'!$B$25,"Lái quá giờ ngày; ","")&amp;IF(ISNUMBER(V9),IF(ABS(V9)&gt;'THAM SỐ'!$B$28,"Lệch km; ",""),"")))</f>
        <v>Không tắt máy; Thiếu ảnh;</v>
      </c>
      <c r="AM9" s="29" t="s">
        <v>152</v>
      </c>
      <c r="AN9" s="30">
        <v>1</v>
      </c>
      <c r="AO9" s="28">
        <f t="shared" si="9"/>
        <v>1</v>
      </c>
      <c r="AP9" s="21">
        <f>IF(OR($A9="",AO9=""),"",IF(AG9=0,0,ROUND((AC9*'THAM SỐ'!$B$18+AD9*'THAM SỐ'!$B$19+AE9*'THAM SỐ'!$B$20+AF9*'THAM SỐ'!$B$21)*MIN(1,AO9/AG9),0)))</f>
        <v>50000</v>
      </c>
      <c r="AQ9" s="18" t="s">
        <v>84</v>
      </c>
    </row>
    <row r="10" spans="1:43" x14ac:dyDescent="0.45">
      <c r="A10" s="17">
        <v>46302</v>
      </c>
      <c r="B10" s="18" t="s">
        <v>85</v>
      </c>
      <c r="C10" s="18" t="s">
        <v>86</v>
      </c>
      <c r="D10" s="25">
        <v>44</v>
      </c>
      <c r="E10" s="26">
        <v>9.7222222222222196E-2</v>
      </c>
      <c r="F10" s="26">
        <v>0.118055555555556</v>
      </c>
      <c r="G10" s="20">
        <v>0.33333333333333298</v>
      </c>
      <c r="H10" s="20">
        <v>0.65972222222222199</v>
      </c>
      <c r="I10" s="18">
        <v>6</v>
      </c>
      <c r="J10" s="18">
        <v>0</v>
      </c>
      <c r="K10" s="18">
        <v>0</v>
      </c>
      <c r="L10" s="18">
        <v>0</v>
      </c>
      <c r="M10" s="18">
        <v>5.0999999999999996</v>
      </c>
      <c r="N10" s="18">
        <v>0</v>
      </c>
      <c r="O10" s="18">
        <v>0</v>
      </c>
      <c r="P10" s="18" t="s">
        <v>147</v>
      </c>
      <c r="Q10" s="18" t="s">
        <v>147</v>
      </c>
      <c r="R10" s="18" t="s">
        <v>147</v>
      </c>
      <c r="S10" s="18" t="s">
        <v>148</v>
      </c>
      <c r="T10" s="16">
        <f>IF($A10="","",COUNTIFS('LỆNH ĐIỀU XE'!$B$5:$B$604,$A10,'LỆNH ĐIỀU XE'!$C$5:$C$604,$B10))</f>
        <v>1</v>
      </c>
      <c r="U10" s="27">
        <f>IF($A10="","",SUMIFS('LỆNH ĐIỀU XE'!$J$5:$J$604,'LỆNH ĐIỀU XE'!$B$5:$B$604,$A10,'LỆNH ĐIỀU XE'!$C$5:$C$604,$B10))</f>
        <v>42</v>
      </c>
      <c r="V10" s="22">
        <f t="shared" si="0"/>
        <v>4.7619047619047616E-2</v>
      </c>
      <c r="W10" s="28">
        <f t="shared" si="1"/>
        <v>7.83</v>
      </c>
      <c r="X10" s="28">
        <f t="shared" si="2"/>
        <v>2.33</v>
      </c>
      <c r="Y10" s="28">
        <f t="shared" si="3"/>
        <v>5.5</v>
      </c>
      <c r="Z10" s="22">
        <f t="shared" si="4"/>
        <v>0.29757343550447002</v>
      </c>
      <c r="AA10" s="28">
        <f t="shared" si="5"/>
        <v>0.5</v>
      </c>
      <c r="AB10" s="28">
        <f t="shared" si="6"/>
        <v>11.59090909090909</v>
      </c>
      <c r="AC10" s="28">
        <f>IF($A10="","",SUMIFS('CHẶNG TĂNG CA'!$E$5:$E$304,'CHẶNG TĂNG CA'!$A$5:$A$304,$A10,'CHẶNG TĂNG CA'!$B$5:$B$304,$B10))</f>
        <v>0</v>
      </c>
      <c r="AD10" s="28">
        <f>IF($A10="","",SUMIFS('CHẶNG TĂNG CA'!$F$5:$F$304,'CHẶNG TĂNG CA'!$A$5:$A$304,$A10,'CHẶNG TĂNG CA'!$B$5:$B$304,$B10))</f>
        <v>0</v>
      </c>
      <c r="AE10" s="28">
        <f>IF($A10="","",SUMIFS('CHẶNG TĂNG CA'!$G$5:$G$304,'CHẶNG TĂNG CA'!$A$5:$A$304,$A10,'CHẶNG TĂNG CA'!$B$5:$B$304,$B10))</f>
        <v>0</v>
      </c>
      <c r="AF10" s="28">
        <f>IF($A10="","",SUMIFS('CHẶNG TĂNG CA'!$H$5:$H$304,'CHẶNG TĂNG CA'!$A$5:$A$304,$A10,'CHẶNG TĂNG CA'!$B$5:$B$304,$B10))</f>
        <v>0</v>
      </c>
      <c r="AG10" s="28">
        <f t="shared" si="7"/>
        <v>0</v>
      </c>
      <c r="AH10" s="16" t="str">
        <f>IF($A10="","",IF(COUNTIFS('LỆNH ĐIỀU XE'!$B$5:$B$604,$A10,'LỆNH ĐIỀU XE'!$C$5:$C$604,$B10,'LỆNH ĐIỀU XE'!$N$5:$N$604,"Có")&gt;0,"Có","Không"))</f>
        <v>Không</v>
      </c>
      <c r="AI10" s="16">
        <f>IF(OR($A10="",H10="",N(T10)=0),"",IF(_xlfn.MAXIFS('LỆNH ĐIỀU XE'!$U$5:$U$604,'LỆNH ĐIỀU XE'!$B$5:$B$604,$A10,'LỆNH ĐIỀU XE'!$C$5:$C$604,$B10)=0,"",ROUND((H10+(H10&lt;4/24)-_xlfn.MAXIFS('LỆNH ĐIỀU XE'!$U$5:$U$604,'LỆNH ĐIỀU XE'!$B$5:$B$604,$A10,'LỆNH ĐIỀU XE'!$C$5:$C$604,$B10))*1440,0)))</f>
        <v>-10</v>
      </c>
      <c r="AJ10" s="16" t="str">
        <f>IF($A10="","",IF(OR(AI10="",V10=""),"Thiếu dữ liệu",IF(AND(AI10&lt;='THAM SỐ'!$B$29,ABS(V10)&lt;='THAM SỐ'!$B$28),"Đạt","Không đạt")))</f>
        <v>Đạt</v>
      </c>
      <c r="AK10" s="16" t="str">
        <f t="shared" si="8"/>
        <v>Không có OT</v>
      </c>
      <c r="AL10" s="16" t="str">
        <f>IF($A10="","",TRIM(IF(T10=0,"Không có lệnh; ","")&amp;IF(N(N10)&gt;0,"Dừng ngoài lệnh; ","")&amp;IF(N(J10)&gt;0,"Quá tốc độ; ","")&amp;IF(N(K10)&gt;0,"Lái quá 4h; ","")&amp;IF(N(L10)&gt;0,"Không tắt máy; ","")&amp;IF(OR(P10&lt;&gt;"Đủ",Q10&lt;&gt;"Đủ",R10&lt;&gt;"Đủ"),"Thiếu ảnh; ","")&amp;IF(S10&lt;&gt;"Đạt","Lốp chưa đạt; ","")&amp;IF(N(W10)&gt;'THAM SỐ'!$B$27,"Có mặt quá giờ; ","")&amp;IF(N(X10)&gt;'THAM SỐ'!$B$25,"Lái quá giờ ngày; ","")&amp;IF(ISNUMBER(V10),IF(ABS(V10)&gt;'THAM SỐ'!$B$28,"Lệch km; ",""),"")))</f>
        <v/>
      </c>
      <c r="AM10" s="29"/>
      <c r="AN10" s="30"/>
      <c r="AO10" s="28" t="str">
        <f t="shared" si="9"/>
        <v/>
      </c>
      <c r="AP10" s="21" t="str">
        <f>IF(OR($A10="",AO10=""),"",IF(AG10=0,0,ROUND((AC10*'THAM SỐ'!$B$18+AD10*'THAM SỐ'!$B$19+AE10*'THAM SỐ'!$B$20+AF10*'THAM SỐ'!$B$21)*MIN(1,AO10/AG10),0)))</f>
        <v/>
      </c>
      <c r="AQ10" s="18" t="s">
        <v>84</v>
      </c>
    </row>
    <row r="11" spans="1:43" x14ac:dyDescent="0.45">
      <c r="A11" s="17">
        <v>46303</v>
      </c>
      <c r="B11" s="18" t="s">
        <v>76</v>
      </c>
      <c r="C11" s="18" t="s">
        <v>77</v>
      </c>
      <c r="D11" s="25">
        <v>166</v>
      </c>
      <c r="E11" s="26">
        <v>0.194444444444444</v>
      </c>
      <c r="F11" s="26">
        <v>0.22222222222222199</v>
      </c>
      <c r="G11" s="20">
        <v>0.28472222222222199</v>
      </c>
      <c r="H11" s="20">
        <v>0.75347222222222199</v>
      </c>
      <c r="I11" s="18">
        <v>9</v>
      </c>
      <c r="J11" s="18">
        <v>0</v>
      </c>
      <c r="K11" s="18">
        <v>1</v>
      </c>
      <c r="L11" s="18">
        <v>0</v>
      </c>
      <c r="M11" s="18">
        <v>18.3</v>
      </c>
      <c r="N11" s="18">
        <v>0</v>
      </c>
      <c r="O11" s="18">
        <v>0</v>
      </c>
      <c r="P11" s="18" t="s">
        <v>147</v>
      </c>
      <c r="Q11" s="18" t="s">
        <v>147</v>
      </c>
      <c r="R11" s="18" t="s">
        <v>147</v>
      </c>
      <c r="S11" s="18" t="s">
        <v>148</v>
      </c>
      <c r="T11" s="16">
        <f>IF($A11="","",COUNTIFS('LỆNH ĐIỀU XE'!$B$5:$B$604,$A11,'LỆNH ĐIỀU XE'!$C$5:$C$604,$B11))</f>
        <v>1</v>
      </c>
      <c r="U11" s="27">
        <f>IF($A11="","",SUMIFS('LỆNH ĐIỀU XE'!$J$5:$J$604,'LỆNH ĐIỀU XE'!$B$5:$B$604,$A11,'LỆNH ĐIỀU XE'!$C$5:$C$604,$B11))</f>
        <v>160</v>
      </c>
      <c r="V11" s="22">
        <f t="shared" si="0"/>
        <v>3.7499999999999999E-2</v>
      </c>
      <c r="W11" s="28">
        <f t="shared" si="1"/>
        <v>11.25</v>
      </c>
      <c r="X11" s="28">
        <f t="shared" si="2"/>
        <v>4.67</v>
      </c>
      <c r="Y11" s="28">
        <f t="shared" si="3"/>
        <v>6.58</v>
      </c>
      <c r="Z11" s="22">
        <f t="shared" si="4"/>
        <v>0.4151111111111111</v>
      </c>
      <c r="AA11" s="28">
        <f t="shared" si="5"/>
        <v>0.66</v>
      </c>
      <c r="AB11" s="28">
        <f t="shared" si="6"/>
        <v>11.024096385542169</v>
      </c>
      <c r="AC11" s="28">
        <f>IF($A11="","",SUMIFS('CHẶNG TĂNG CA'!$E$5:$E$304,'CHẶNG TĂNG CA'!$A$5:$A$304,$A11,'CHẶNG TĂNG CA'!$B$5:$B$304,$B11))</f>
        <v>1.17</v>
      </c>
      <c r="AD11" s="28">
        <f>IF($A11="","",SUMIFS('CHẶNG TĂNG CA'!$F$5:$F$304,'CHẶNG TĂNG CA'!$A$5:$A$304,$A11,'CHẶNG TĂNG CA'!$B$5:$B$304,$B11))</f>
        <v>1.08</v>
      </c>
      <c r="AE11" s="28">
        <f>IF($A11="","",SUMIFS('CHẶNG TĂNG CA'!$G$5:$G$304,'CHẶNG TĂNG CA'!$A$5:$A$304,$A11,'CHẶNG TĂNG CA'!$B$5:$B$304,$B11))</f>
        <v>0</v>
      </c>
      <c r="AF11" s="28">
        <f>IF($A11="","",SUMIFS('CHẶNG TĂNG CA'!$H$5:$H$304,'CHẶNG TĂNG CA'!$A$5:$A$304,$A11,'CHẶNG TĂNG CA'!$B$5:$B$304,$B11))</f>
        <v>0</v>
      </c>
      <c r="AG11" s="28">
        <f t="shared" si="7"/>
        <v>2.25</v>
      </c>
      <c r="AH11" s="16" t="str">
        <f>IF($A11="","",IF(COUNTIFS('LỆNH ĐIỀU XE'!$B$5:$B$604,$A11,'LỆNH ĐIỀU XE'!$C$5:$C$604,$B11,'LỆNH ĐIỀU XE'!$N$5:$N$604,"Có")&gt;0,"Có","Không"))</f>
        <v>Có</v>
      </c>
      <c r="AI11" s="16">
        <f>IF(OR($A11="",H11="",N(T11)=0),"",IF(_xlfn.MAXIFS('LỆNH ĐIỀU XE'!$U$5:$U$604,'LỆNH ĐIỀU XE'!$B$5:$B$604,$A11,'LỆNH ĐIỀU XE'!$C$5:$C$604,$B11)=0,"",ROUND((H11+(H11&lt;4/24)-_xlfn.MAXIFS('LỆNH ĐIỀU XE'!$U$5:$U$604,'LỆNH ĐIỀU XE'!$B$5:$B$604,$A11,'LỆNH ĐIỀU XE'!$C$5:$C$604,$B11))*1440,0)))</f>
        <v>35</v>
      </c>
      <c r="AJ11" s="16" t="str">
        <f>IF($A11="","",IF(OR(AI11="",V11=""),"Thiếu dữ liệu",IF(AND(AI11&lt;='THAM SỐ'!$B$29,ABS(V11)&lt;='THAM SỐ'!$B$28),"Đạt","Không đạt")))</f>
        <v>Không đạt</v>
      </c>
      <c r="AK11" s="16" t="str">
        <f t="shared" si="8"/>
        <v>Cần giải trình</v>
      </c>
      <c r="AL11" s="16" t="str">
        <f>IF($A11="","",TRIM(IF(T11=0,"Không có lệnh; ","")&amp;IF(N(N11)&gt;0,"Dừng ngoài lệnh; ","")&amp;IF(N(J11)&gt;0,"Quá tốc độ; ","")&amp;IF(N(K11)&gt;0,"Lái quá 4h; ","")&amp;IF(N(L11)&gt;0,"Không tắt máy; ","")&amp;IF(OR(P11&lt;&gt;"Đủ",Q11&lt;&gt;"Đủ",R11&lt;&gt;"Đủ"),"Thiếu ảnh; ","")&amp;IF(S11&lt;&gt;"Đạt","Lốp chưa đạt; ","")&amp;IF(N(W11)&gt;'THAM SỐ'!$B$27,"Có mặt quá giờ; ","")&amp;IF(N(X11)&gt;'THAM SỐ'!$B$25,"Lái quá giờ ngày; ","")&amp;IF(ISNUMBER(V11),IF(ABS(V11)&gt;'THAM SỐ'!$B$28,"Lệch km; ",""),"")))</f>
        <v>Lái quá 4h;</v>
      </c>
      <c r="AM11" s="29"/>
      <c r="AN11" s="30"/>
      <c r="AO11" s="28" t="str">
        <f t="shared" si="9"/>
        <v/>
      </c>
      <c r="AP11" s="21" t="str">
        <f>IF(OR($A11="",AO11=""),"",IF(AG11=0,0,ROUND((AC11*'THAM SỐ'!$B$18+AD11*'THAM SỐ'!$B$19+AE11*'THAM SỐ'!$B$20+AF11*'THAM SỐ'!$B$21)*MIN(1,AO11/AG11),0)))</f>
        <v/>
      </c>
      <c r="AQ11" s="18" t="s">
        <v>84</v>
      </c>
    </row>
    <row r="12" spans="1:43" x14ac:dyDescent="0.45">
      <c r="A12" s="17">
        <v>46303</v>
      </c>
      <c r="B12" s="18" t="s">
        <v>85</v>
      </c>
      <c r="C12" s="18" t="s">
        <v>86</v>
      </c>
      <c r="D12" s="25">
        <v>55</v>
      </c>
      <c r="E12" s="26">
        <v>8.3333333333333301E-2</v>
      </c>
      <c r="F12" s="26">
        <v>0.104166666666667</v>
      </c>
      <c r="G12" s="20">
        <v>0.38194444444444398</v>
      </c>
      <c r="H12" s="20">
        <v>0.58680555555555602</v>
      </c>
      <c r="I12" s="18">
        <v>3</v>
      </c>
      <c r="J12" s="18">
        <v>0</v>
      </c>
      <c r="K12" s="18">
        <v>0</v>
      </c>
      <c r="L12" s="18">
        <v>0</v>
      </c>
      <c r="M12" s="18">
        <v>6.4</v>
      </c>
      <c r="N12" s="18">
        <v>0</v>
      </c>
      <c r="O12" s="18">
        <v>0</v>
      </c>
      <c r="P12" s="18" t="s">
        <v>147</v>
      </c>
      <c r="Q12" s="18" t="s">
        <v>147</v>
      </c>
      <c r="R12" s="18" t="s">
        <v>147</v>
      </c>
      <c r="S12" s="18" t="s">
        <v>148</v>
      </c>
      <c r="T12" s="16">
        <f>IF($A12="","",COUNTIFS('LỆNH ĐIỀU XE'!$B$5:$B$604,$A12,'LỆNH ĐIỀU XE'!$C$5:$C$604,$B12))</f>
        <v>1</v>
      </c>
      <c r="U12" s="27">
        <f>IF($A12="","",SUMIFS('LỆNH ĐIỀU XE'!$J$5:$J$604,'LỆNH ĐIỀU XE'!$B$5:$B$604,$A12,'LỆNH ĐIỀU XE'!$C$5:$C$604,$B12))</f>
        <v>52</v>
      </c>
      <c r="V12" s="22">
        <f t="shared" si="0"/>
        <v>5.7692307692307696E-2</v>
      </c>
      <c r="W12" s="28">
        <f t="shared" si="1"/>
        <v>4.92</v>
      </c>
      <c r="X12" s="28">
        <f t="shared" si="2"/>
        <v>2</v>
      </c>
      <c r="Y12" s="28">
        <f t="shared" si="3"/>
        <v>2.92</v>
      </c>
      <c r="Z12" s="22">
        <f t="shared" si="4"/>
        <v>0.4065040650406504</v>
      </c>
      <c r="AA12" s="28">
        <f t="shared" si="5"/>
        <v>0.5</v>
      </c>
      <c r="AB12" s="28">
        <f t="shared" si="6"/>
        <v>11.636363636363637</v>
      </c>
      <c r="AC12" s="28">
        <f>IF($A12="","",SUMIFS('CHẶNG TĂNG CA'!$E$5:$E$304,'CHẶNG TĂNG CA'!$A$5:$A$304,$A12,'CHẶNG TĂNG CA'!$B$5:$B$304,$B12))</f>
        <v>0</v>
      </c>
      <c r="AD12" s="28">
        <f>IF($A12="","",SUMIFS('CHẶNG TĂNG CA'!$F$5:$F$304,'CHẶNG TĂNG CA'!$A$5:$A$304,$A12,'CHẶNG TĂNG CA'!$B$5:$B$304,$B12))</f>
        <v>0</v>
      </c>
      <c r="AE12" s="28">
        <f>IF($A12="","",SUMIFS('CHẶNG TĂNG CA'!$G$5:$G$304,'CHẶNG TĂNG CA'!$A$5:$A$304,$A12,'CHẶNG TĂNG CA'!$B$5:$B$304,$B12))</f>
        <v>0</v>
      </c>
      <c r="AF12" s="28">
        <f>IF($A12="","",SUMIFS('CHẶNG TĂNG CA'!$H$5:$H$304,'CHẶNG TĂNG CA'!$A$5:$A$304,$A12,'CHẶNG TĂNG CA'!$B$5:$B$304,$B12))</f>
        <v>0</v>
      </c>
      <c r="AG12" s="28">
        <f t="shared" si="7"/>
        <v>0</v>
      </c>
      <c r="AH12" s="16" t="str">
        <f>IF($A12="","",IF(COUNTIFS('LỆNH ĐIỀU XE'!$B$5:$B$604,$A12,'LỆNH ĐIỀU XE'!$C$5:$C$604,$B12,'LỆNH ĐIỀU XE'!$N$5:$N$604,"Có")&gt;0,"Có","Không"))</f>
        <v>Không</v>
      </c>
      <c r="AI12" s="16">
        <f>IF(OR($A12="",H12="",N(T12)=0),"",IF(_xlfn.MAXIFS('LỆNH ĐIỀU XE'!$U$5:$U$604,'LỆNH ĐIỀU XE'!$B$5:$B$604,$A12,'LỆNH ĐIỀU XE'!$C$5:$C$604,$B12)=0,"",ROUND((H12+(H12&lt;4/24)-_xlfn.MAXIFS('LỆNH ĐIỀU XE'!$U$5:$U$604,'LỆNH ĐIỀU XE'!$B$5:$B$604,$A12,'LỆNH ĐIỀU XE'!$C$5:$C$604,$B12))*1440,0)))</f>
        <v>5</v>
      </c>
      <c r="AJ12" s="16" t="str">
        <f>IF($A12="","",IF(OR(AI12="",V12=""),"Thiếu dữ liệu",IF(AND(AI12&lt;='THAM SỐ'!$B$29,ABS(V12)&lt;='THAM SỐ'!$B$28),"Đạt","Không đạt")))</f>
        <v>Đạt</v>
      </c>
      <c r="AK12" s="16" t="str">
        <f t="shared" si="8"/>
        <v>Không có OT</v>
      </c>
      <c r="AL12" s="16" t="str">
        <f>IF($A12="","",TRIM(IF(T12=0,"Không có lệnh; ","")&amp;IF(N(N12)&gt;0,"Dừng ngoài lệnh; ","")&amp;IF(N(J12)&gt;0,"Quá tốc độ; ","")&amp;IF(N(K12)&gt;0,"Lái quá 4h; ","")&amp;IF(N(L12)&gt;0,"Không tắt máy; ","")&amp;IF(OR(P12&lt;&gt;"Đủ",Q12&lt;&gt;"Đủ",R12&lt;&gt;"Đủ"),"Thiếu ảnh; ","")&amp;IF(S12&lt;&gt;"Đạt","Lốp chưa đạt; ","")&amp;IF(N(W12)&gt;'THAM SỐ'!$B$27,"Có mặt quá giờ; ","")&amp;IF(N(X12)&gt;'THAM SỐ'!$B$25,"Lái quá giờ ngày; ","")&amp;IF(ISNUMBER(V12),IF(ABS(V12)&gt;'THAM SỐ'!$B$28,"Lệch km; ",""),"")))</f>
        <v/>
      </c>
      <c r="AM12" s="29"/>
      <c r="AN12" s="30"/>
      <c r="AO12" s="28" t="str">
        <f t="shared" si="9"/>
        <v/>
      </c>
      <c r="AP12" s="21" t="str">
        <f>IF(OR($A12="",AO12=""),"",IF(AG12=0,0,ROUND((AC12*'THAM SỐ'!$B$18+AD12*'THAM SỐ'!$B$19+AE12*'THAM SỐ'!$B$20+AF12*'THAM SỐ'!$B$21)*MIN(1,AO12/AG12),0)))</f>
        <v/>
      </c>
      <c r="AQ12" s="18" t="s">
        <v>84</v>
      </c>
    </row>
    <row r="13" spans="1:43" x14ac:dyDescent="0.45">
      <c r="A13" s="17">
        <v>46304</v>
      </c>
      <c r="B13" s="18" t="s">
        <v>76</v>
      </c>
      <c r="C13" s="18" t="s">
        <v>77</v>
      </c>
      <c r="D13" s="25">
        <v>356</v>
      </c>
      <c r="E13" s="26">
        <v>0.35416666666666702</v>
      </c>
      <c r="F13" s="26">
        <v>0.38541666666666702</v>
      </c>
      <c r="G13" s="20">
        <v>0.225694444444444</v>
      </c>
      <c r="H13" s="20">
        <v>0.84027777777777801</v>
      </c>
      <c r="I13" s="18">
        <v>8</v>
      </c>
      <c r="J13" s="18">
        <v>2</v>
      </c>
      <c r="K13" s="18">
        <v>1</v>
      </c>
      <c r="L13" s="18">
        <v>0</v>
      </c>
      <c r="M13" s="18">
        <v>38.9</v>
      </c>
      <c r="N13" s="18">
        <v>0</v>
      </c>
      <c r="O13" s="18">
        <v>0</v>
      </c>
      <c r="P13" s="18" t="s">
        <v>147</v>
      </c>
      <c r="Q13" s="18" t="s">
        <v>147</v>
      </c>
      <c r="R13" s="18" t="s">
        <v>147</v>
      </c>
      <c r="S13" s="18" t="s">
        <v>148</v>
      </c>
      <c r="T13" s="16">
        <f>IF($A13="","",COUNTIFS('LỆNH ĐIỀU XE'!$B$5:$B$604,$A13,'LỆNH ĐIỀU XE'!$C$5:$C$604,$B13))</f>
        <v>1</v>
      </c>
      <c r="U13" s="27">
        <f>IF($A13="","",SUMIFS('LỆNH ĐIỀU XE'!$J$5:$J$604,'LỆNH ĐIỀU XE'!$B$5:$B$604,$A13,'LỆNH ĐIỀU XE'!$C$5:$C$604,$B13))</f>
        <v>350</v>
      </c>
      <c r="V13" s="22">
        <f t="shared" si="0"/>
        <v>1.7142857142857144E-2</v>
      </c>
      <c r="W13" s="28">
        <f t="shared" si="1"/>
        <v>14.75</v>
      </c>
      <c r="X13" s="28">
        <f t="shared" si="2"/>
        <v>8.5</v>
      </c>
      <c r="Y13" s="28">
        <f t="shared" si="3"/>
        <v>6.25</v>
      </c>
      <c r="Z13" s="22">
        <f t="shared" si="4"/>
        <v>0.57627118644067798</v>
      </c>
      <c r="AA13" s="28">
        <f t="shared" si="5"/>
        <v>0.75</v>
      </c>
      <c r="AB13" s="28">
        <f t="shared" si="6"/>
        <v>10.92696629213483</v>
      </c>
      <c r="AC13" s="28">
        <f>IF($A13="","",SUMIFS('CHẶNG TĂNG CA'!$E$5:$E$304,'CHẶNG TĂNG CA'!$A$5:$A$304,$A13,'CHẶNG TĂNG CA'!$B$5:$B$304,$B13))</f>
        <v>2.58</v>
      </c>
      <c r="AD13" s="28">
        <f>IF($A13="","",SUMIFS('CHẶNG TĂNG CA'!$F$5:$F$304,'CHẶNG TĂNG CA'!$A$5:$A$304,$A13,'CHẶNG TĂNG CA'!$B$5:$B$304,$B13))</f>
        <v>3.17</v>
      </c>
      <c r="AE13" s="28">
        <f>IF($A13="","",SUMIFS('CHẶNG TĂNG CA'!$G$5:$G$304,'CHẶNG TĂNG CA'!$A$5:$A$304,$A13,'CHẶNG TĂNG CA'!$B$5:$B$304,$B13))</f>
        <v>0</v>
      </c>
      <c r="AF13" s="28">
        <f>IF($A13="","",SUMIFS('CHẶNG TĂNG CA'!$H$5:$H$304,'CHẶNG TĂNG CA'!$A$5:$A$304,$A13,'CHẶNG TĂNG CA'!$B$5:$B$304,$B13))</f>
        <v>0</v>
      </c>
      <c r="AG13" s="28">
        <f t="shared" si="7"/>
        <v>5.75</v>
      </c>
      <c r="AH13" s="16" t="str">
        <f>IF($A13="","",IF(COUNTIFS('LỆNH ĐIỀU XE'!$B$5:$B$604,$A13,'LỆNH ĐIỀU XE'!$C$5:$C$604,$B13,'LỆNH ĐIỀU XE'!$N$5:$N$604,"Có")&gt;0,"Có","Không"))</f>
        <v>Có</v>
      </c>
      <c r="AI13" s="16">
        <f>IF(OR($A13="",H13="",N(T13)=0),"",IF(_xlfn.MAXIFS('LỆNH ĐIỀU XE'!$U$5:$U$604,'LỆNH ĐIỀU XE'!$B$5:$B$604,$A13,'LỆNH ĐIỀU XE'!$C$5:$C$604,$B13)=0,"",ROUND((H13+(H13&lt;4/24)-_xlfn.MAXIFS('LỆNH ĐIỀU XE'!$U$5:$U$604,'LỆNH ĐIỀU XE'!$B$5:$B$604,$A13,'LỆNH ĐIỀU XE'!$C$5:$C$604,$B13))*1440,0)))</f>
        <v>10</v>
      </c>
      <c r="AJ13" s="16" t="str">
        <f>IF($A13="","",IF(OR(AI13="",V13=""),"Thiếu dữ liệu",IF(AND(AI13&lt;='THAM SỐ'!$B$29,ABS(V13)&lt;='THAM SỐ'!$B$28),"Đạt","Không đạt")))</f>
        <v>Đạt</v>
      </c>
      <c r="AK13" s="16" t="str">
        <f t="shared" si="8"/>
        <v>Đủ điều kiện</v>
      </c>
      <c r="AL13" s="16" t="str">
        <f>IF($A13="","",TRIM(IF(T13=0,"Không có lệnh; ","")&amp;IF(N(N13)&gt;0,"Dừng ngoài lệnh; ","")&amp;IF(N(J13)&gt;0,"Quá tốc độ; ","")&amp;IF(N(K13)&gt;0,"Lái quá 4h; ","")&amp;IF(N(L13)&gt;0,"Không tắt máy; ","")&amp;IF(OR(P13&lt;&gt;"Đủ",Q13&lt;&gt;"Đủ",R13&lt;&gt;"Đủ"),"Thiếu ảnh; ","")&amp;IF(S13&lt;&gt;"Đạt","Lốp chưa đạt; ","")&amp;IF(N(W13)&gt;'THAM SỐ'!$B$27,"Có mặt quá giờ; ","")&amp;IF(N(X13)&gt;'THAM SỐ'!$B$25,"Lái quá giờ ngày; ","")&amp;IF(ISNUMBER(V13),IF(ABS(V13)&gt;'THAM SỐ'!$B$28,"Lệch km; ",""),"")))</f>
        <v>Quá tốc độ; Lái quá 4h; Có mặt quá giờ;</v>
      </c>
      <c r="AM13" s="29"/>
      <c r="AN13" s="30"/>
      <c r="AO13" s="28" t="str">
        <f t="shared" si="9"/>
        <v/>
      </c>
      <c r="AP13" s="21" t="str">
        <f>IF(OR($A13="",AO13=""),"",IF(AG13=0,0,ROUND((AC13*'THAM SỐ'!$B$18+AD13*'THAM SỐ'!$B$19+AE13*'THAM SỐ'!$B$20+AF13*'THAM SỐ'!$B$21)*MIN(1,AO13/AG13),0)))</f>
        <v/>
      </c>
      <c r="AQ13" s="18" t="s">
        <v>84</v>
      </c>
    </row>
    <row r="14" spans="1:43" x14ac:dyDescent="0.45">
      <c r="A14" s="17"/>
      <c r="B14" s="18"/>
      <c r="C14" s="18"/>
      <c r="D14" s="25"/>
      <c r="E14" s="26"/>
      <c r="F14" s="26"/>
      <c r="G14" s="20"/>
      <c r="H14" s="20"/>
      <c r="I14" s="18"/>
      <c r="J14" s="18"/>
      <c r="K14" s="18"/>
      <c r="L14" s="18"/>
      <c r="M14" s="18"/>
      <c r="N14" s="18"/>
      <c r="O14" s="18"/>
      <c r="P14" s="18"/>
      <c r="Q14" s="18"/>
      <c r="R14" s="18"/>
      <c r="S14" s="18"/>
      <c r="T14" s="16" t="str">
        <f>IF($A14="","",COUNTIFS('LỆNH ĐIỀU XE'!$B$5:$B$604,$A14,'LỆNH ĐIỀU XE'!$C$5:$C$604,$B14))</f>
        <v/>
      </c>
      <c r="U14" s="27" t="str">
        <f>IF($A14="","",SUMIFS('LỆNH ĐIỀU XE'!$J$5:$J$604,'LỆNH ĐIỀU XE'!$B$5:$B$604,$A14,'LỆNH ĐIỀU XE'!$C$5:$C$604,$B14))</f>
        <v/>
      </c>
      <c r="V14" s="22" t="str">
        <f t="shared" si="0"/>
        <v/>
      </c>
      <c r="W14" s="28" t="str">
        <f t="shared" si="1"/>
        <v/>
      </c>
      <c r="X14" s="28" t="str">
        <f t="shared" si="2"/>
        <v/>
      </c>
      <c r="Y14" s="28" t="str">
        <f t="shared" si="3"/>
        <v/>
      </c>
      <c r="Z14" s="22" t="str">
        <f t="shared" si="4"/>
        <v/>
      </c>
      <c r="AA14" s="28" t="str">
        <f t="shared" si="5"/>
        <v/>
      </c>
      <c r="AB14" s="28" t="str">
        <f t="shared" si="6"/>
        <v/>
      </c>
      <c r="AC14" s="28" t="str">
        <f>IF($A14="","",SUMIFS('CHẶNG TĂNG CA'!$E$5:$E$304,'CHẶNG TĂNG CA'!$A$5:$A$304,$A14,'CHẶNG TĂNG CA'!$B$5:$B$304,$B14))</f>
        <v/>
      </c>
      <c r="AD14" s="28" t="str">
        <f>IF($A14="","",SUMIFS('CHẶNG TĂNG CA'!$F$5:$F$304,'CHẶNG TĂNG CA'!$A$5:$A$304,$A14,'CHẶNG TĂNG CA'!$B$5:$B$304,$B14))</f>
        <v/>
      </c>
      <c r="AE14" s="28" t="str">
        <f>IF($A14="","",SUMIFS('CHẶNG TĂNG CA'!$G$5:$G$304,'CHẶNG TĂNG CA'!$A$5:$A$304,$A14,'CHẶNG TĂNG CA'!$B$5:$B$304,$B14))</f>
        <v/>
      </c>
      <c r="AF14" s="28" t="str">
        <f>IF($A14="","",SUMIFS('CHẶNG TĂNG CA'!$H$5:$H$304,'CHẶNG TĂNG CA'!$A$5:$A$304,$A14,'CHẶNG TĂNG CA'!$B$5:$B$304,$B14))</f>
        <v/>
      </c>
      <c r="AG14" s="28" t="str">
        <f t="shared" si="7"/>
        <v/>
      </c>
      <c r="AH14" s="16" t="str">
        <f>IF($A14="","",IF(COUNTIFS('LỆNH ĐIỀU XE'!$B$5:$B$604,$A14,'LỆNH ĐIỀU XE'!$C$5:$C$604,$B14,'LỆNH ĐIỀU XE'!$N$5:$N$604,"Có")&gt;0,"Có","Không"))</f>
        <v/>
      </c>
      <c r="AI14" s="16" t="str">
        <f>IF(OR($A14="",H14="",N(T14)=0),"",IF(_xlfn.MAXIFS('LỆNH ĐIỀU XE'!$U$5:$U$604,'LỆNH ĐIỀU XE'!$B$5:$B$604,$A14,'LỆNH ĐIỀU XE'!$C$5:$C$604,$B14)=0,"",ROUND((H14+(H14&lt;4/24)-_xlfn.MAXIFS('LỆNH ĐIỀU XE'!$U$5:$U$604,'LỆNH ĐIỀU XE'!$B$5:$B$604,$A14,'LỆNH ĐIỀU XE'!$C$5:$C$604,$B14))*1440,0)))</f>
        <v/>
      </c>
      <c r="AJ14" s="16" t="str">
        <f>IF($A14="","",IF(OR(AI14="",V14=""),"Thiếu dữ liệu",IF(AND(AI14&lt;='THAM SỐ'!$B$29,ABS(V14)&lt;='THAM SỐ'!$B$28),"Đạt","Không đạt")))</f>
        <v/>
      </c>
      <c r="AK14" s="16" t="str">
        <f t="shared" si="8"/>
        <v/>
      </c>
      <c r="AL14" s="16" t="str">
        <f>IF($A14="","",TRIM(IF(T14=0,"Không có lệnh; ","")&amp;IF(N(N14)&gt;0,"Dừng ngoài lệnh; ","")&amp;IF(N(J14)&gt;0,"Quá tốc độ; ","")&amp;IF(N(K14)&gt;0,"Lái quá 4h; ","")&amp;IF(N(L14)&gt;0,"Không tắt máy; ","")&amp;IF(OR(P14&lt;&gt;"Đủ",Q14&lt;&gt;"Đủ",R14&lt;&gt;"Đủ"),"Thiếu ảnh; ","")&amp;IF(S14&lt;&gt;"Đạt","Lốp chưa đạt; ","")&amp;IF(N(W14)&gt;'THAM SỐ'!$B$27,"Có mặt quá giờ; ","")&amp;IF(N(X14)&gt;'THAM SỐ'!$B$25,"Lái quá giờ ngày; ","")&amp;IF(ISNUMBER(V14),IF(ABS(V14)&gt;'THAM SỐ'!$B$28,"Lệch km; ",""),"")))</f>
        <v/>
      </c>
      <c r="AM14" s="29"/>
      <c r="AN14" s="30"/>
      <c r="AO14" s="28" t="str">
        <f t="shared" si="9"/>
        <v/>
      </c>
      <c r="AP14" s="21" t="str">
        <f>IF(OR($A14="",AO14=""),"",IF(AG14=0,0,ROUND((AC14*'THAM SỐ'!$B$18+AD14*'THAM SỐ'!$B$19+AE14*'THAM SỐ'!$B$20+AF14*'THAM SỐ'!$B$21)*MIN(1,AO14/AG14),0)))</f>
        <v/>
      </c>
      <c r="AQ14" s="18"/>
    </row>
    <row r="15" spans="1:43" x14ac:dyDescent="0.45">
      <c r="A15" s="17"/>
      <c r="B15" s="18"/>
      <c r="C15" s="18"/>
      <c r="D15" s="25"/>
      <c r="E15" s="26"/>
      <c r="F15" s="26"/>
      <c r="G15" s="20"/>
      <c r="H15" s="20"/>
      <c r="I15" s="18"/>
      <c r="J15" s="18"/>
      <c r="K15" s="18"/>
      <c r="L15" s="18"/>
      <c r="M15" s="18"/>
      <c r="N15" s="18"/>
      <c r="O15" s="18"/>
      <c r="P15" s="18"/>
      <c r="Q15" s="18"/>
      <c r="R15" s="18"/>
      <c r="S15" s="18"/>
      <c r="T15" s="16" t="str">
        <f>IF($A15="","",COUNTIFS('LỆNH ĐIỀU XE'!$B$5:$B$604,$A15,'LỆNH ĐIỀU XE'!$C$5:$C$604,$B15))</f>
        <v/>
      </c>
      <c r="U15" s="27" t="str">
        <f>IF($A15="","",SUMIFS('LỆNH ĐIỀU XE'!$J$5:$J$604,'LỆNH ĐIỀU XE'!$B$5:$B$604,$A15,'LỆNH ĐIỀU XE'!$C$5:$C$604,$B15))</f>
        <v/>
      </c>
      <c r="V15" s="22" t="str">
        <f t="shared" si="0"/>
        <v/>
      </c>
      <c r="W15" s="28" t="str">
        <f t="shared" si="1"/>
        <v/>
      </c>
      <c r="X15" s="28" t="str">
        <f t="shared" si="2"/>
        <v/>
      </c>
      <c r="Y15" s="28" t="str">
        <f t="shared" si="3"/>
        <v/>
      </c>
      <c r="Z15" s="22" t="str">
        <f t="shared" si="4"/>
        <v/>
      </c>
      <c r="AA15" s="28" t="str">
        <f t="shared" si="5"/>
        <v/>
      </c>
      <c r="AB15" s="28" t="str">
        <f t="shared" si="6"/>
        <v/>
      </c>
      <c r="AC15" s="28" t="str">
        <f>IF($A15="","",SUMIFS('CHẶNG TĂNG CA'!$E$5:$E$304,'CHẶNG TĂNG CA'!$A$5:$A$304,$A15,'CHẶNG TĂNG CA'!$B$5:$B$304,$B15))</f>
        <v/>
      </c>
      <c r="AD15" s="28" t="str">
        <f>IF($A15="","",SUMIFS('CHẶNG TĂNG CA'!$F$5:$F$304,'CHẶNG TĂNG CA'!$A$5:$A$304,$A15,'CHẶNG TĂNG CA'!$B$5:$B$304,$B15))</f>
        <v/>
      </c>
      <c r="AE15" s="28" t="str">
        <f>IF($A15="","",SUMIFS('CHẶNG TĂNG CA'!$G$5:$G$304,'CHẶNG TĂNG CA'!$A$5:$A$304,$A15,'CHẶNG TĂNG CA'!$B$5:$B$304,$B15))</f>
        <v/>
      </c>
      <c r="AF15" s="28" t="str">
        <f>IF($A15="","",SUMIFS('CHẶNG TĂNG CA'!$H$5:$H$304,'CHẶNG TĂNG CA'!$A$5:$A$304,$A15,'CHẶNG TĂNG CA'!$B$5:$B$304,$B15))</f>
        <v/>
      </c>
      <c r="AG15" s="28" t="str">
        <f t="shared" si="7"/>
        <v/>
      </c>
      <c r="AH15" s="16" t="str">
        <f>IF($A15="","",IF(COUNTIFS('LỆNH ĐIỀU XE'!$B$5:$B$604,$A15,'LỆNH ĐIỀU XE'!$C$5:$C$604,$B15,'LỆNH ĐIỀU XE'!$N$5:$N$604,"Có")&gt;0,"Có","Không"))</f>
        <v/>
      </c>
      <c r="AI15" s="16" t="str">
        <f>IF(OR($A15="",H15="",N(T15)=0),"",IF(_xlfn.MAXIFS('LỆNH ĐIỀU XE'!$U$5:$U$604,'LỆNH ĐIỀU XE'!$B$5:$B$604,$A15,'LỆNH ĐIỀU XE'!$C$5:$C$604,$B15)=0,"",ROUND((H15+(H15&lt;4/24)-_xlfn.MAXIFS('LỆNH ĐIỀU XE'!$U$5:$U$604,'LỆNH ĐIỀU XE'!$B$5:$B$604,$A15,'LỆNH ĐIỀU XE'!$C$5:$C$604,$B15))*1440,0)))</f>
        <v/>
      </c>
      <c r="AJ15" s="16" t="str">
        <f>IF($A15="","",IF(OR(AI15="",V15=""),"Thiếu dữ liệu",IF(AND(AI15&lt;='THAM SỐ'!$B$29,ABS(V15)&lt;='THAM SỐ'!$B$28),"Đạt","Không đạt")))</f>
        <v/>
      </c>
      <c r="AK15" s="16" t="str">
        <f t="shared" si="8"/>
        <v/>
      </c>
      <c r="AL15" s="16" t="str">
        <f>IF($A15="","",TRIM(IF(T15=0,"Không có lệnh; ","")&amp;IF(N(N15)&gt;0,"Dừng ngoài lệnh; ","")&amp;IF(N(J15)&gt;0,"Quá tốc độ; ","")&amp;IF(N(K15)&gt;0,"Lái quá 4h; ","")&amp;IF(N(L15)&gt;0,"Không tắt máy; ","")&amp;IF(OR(P15&lt;&gt;"Đủ",Q15&lt;&gt;"Đủ",R15&lt;&gt;"Đủ"),"Thiếu ảnh; ","")&amp;IF(S15&lt;&gt;"Đạt","Lốp chưa đạt; ","")&amp;IF(N(W15)&gt;'THAM SỐ'!$B$27,"Có mặt quá giờ; ","")&amp;IF(N(X15)&gt;'THAM SỐ'!$B$25,"Lái quá giờ ngày; ","")&amp;IF(ISNUMBER(V15),IF(ABS(V15)&gt;'THAM SỐ'!$B$28,"Lệch km; ",""),"")))</f>
        <v/>
      </c>
      <c r="AM15" s="29"/>
      <c r="AN15" s="30"/>
      <c r="AO15" s="28" t="str">
        <f t="shared" si="9"/>
        <v/>
      </c>
      <c r="AP15" s="21" t="str">
        <f>IF(OR($A15="",AO15=""),"",IF(AG15=0,0,ROUND((AC15*'THAM SỐ'!$B$18+AD15*'THAM SỐ'!$B$19+AE15*'THAM SỐ'!$B$20+AF15*'THAM SỐ'!$B$21)*MIN(1,AO15/AG15),0)))</f>
        <v/>
      </c>
      <c r="AQ15" s="18"/>
    </row>
    <row r="16" spans="1:43" x14ac:dyDescent="0.45">
      <c r="A16" s="17"/>
      <c r="B16" s="18"/>
      <c r="C16" s="18"/>
      <c r="D16" s="25"/>
      <c r="E16" s="26"/>
      <c r="F16" s="26"/>
      <c r="G16" s="20"/>
      <c r="H16" s="20"/>
      <c r="I16" s="18"/>
      <c r="J16" s="18"/>
      <c r="K16" s="18"/>
      <c r="L16" s="18"/>
      <c r="M16" s="18"/>
      <c r="N16" s="18"/>
      <c r="O16" s="18"/>
      <c r="P16" s="18"/>
      <c r="Q16" s="18"/>
      <c r="R16" s="18"/>
      <c r="S16" s="18"/>
      <c r="T16" s="16" t="str">
        <f>IF($A16="","",COUNTIFS('LỆNH ĐIỀU XE'!$B$5:$B$604,$A16,'LỆNH ĐIỀU XE'!$C$5:$C$604,$B16))</f>
        <v/>
      </c>
      <c r="U16" s="27" t="str">
        <f>IF($A16="","",SUMIFS('LỆNH ĐIỀU XE'!$J$5:$J$604,'LỆNH ĐIỀU XE'!$B$5:$B$604,$A16,'LỆNH ĐIỀU XE'!$C$5:$C$604,$B16))</f>
        <v/>
      </c>
      <c r="V16" s="22" t="str">
        <f t="shared" si="0"/>
        <v/>
      </c>
      <c r="W16" s="28" t="str">
        <f t="shared" si="1"/>
        <v/>
      </c>
      <c r="X16" s="28" t="str">
        <f t="shared" si="2"/>
        <v/>
      </c>
      <c r="Y16" s="28" t="str">
        <f t="shared" si="3"/>
        <v/>
      </c>
      <c r="Z16" s="22" t="str">
        <f t="shared" si="4"/>
        <v/>
      </c>
      <c r="AA16" s="28" t="str">
        <f t="shared" si="5"/>
        <v/>
      </c>
      <c r="AB16" s="28" t="str">
        <f t="shared" si="6"/>
        <v/>
      </c>
      <c r="AC16" s="28" t="str">
        <f>IF($A16="","",SUMIFS('CHẶNG TĂNG CA'!$E$5:$E$304,'CHẶNG TĂNG CA'!$A$5:$A$304,$A16,'CHẶNG TĂNG CA'!$B$5:$B$304,$B16))</f>
        <v/>
      </c>
      <c r="AD16" s="28" t="str">
        <f>IF($A16="","",SUMIFS('CHẶNG TĂNG CA'!$F$5:$F$304,'CHẶNG TĂNG CA'!$A$5:$A$304,$A16,'CHẶNG TĂNG CA'!$B$5:$B$304,$B16))</f>
        <v/>
      </c>
      <c r="AE16" s="28" t="str">
        <f>IF($A16="","",SUMIFS('CHẶNG TĂNG CA'!$G$5:$G$304,'CHẶNG TĂNG CA'!$A$5:$A$304,$A16,'CHẶNG TĂNG CA'!$B$5:$B$304,$B16))</f>
        <v/>
      </c>
      <c r="AF16" s="28" t="str">
        <f>IF($A16="","",SUMIFS('CHẶNG TĂNG CA'!$H$5:$H$304,'CHẶNG TĂNG CA'!$A$5:$A$304,$A16,'CHẶNG TĂNG CA'!$B$5:$B$304,$B16))</f>
        <v/>
      </c>
      <c r="AG16" s="28" t="str">
        <f t="shared" si="7"/>
        <v/>
      </c>
      <c r="AH16" s="16" t="str">
        <f>IF($A16="","",IF(COUNTIFS('LỆNH ĐIỀU XE'!$B$5:$B$604,$A16,'LỆNH ĐIỀU XE'!$C$5:$C$604,$B16,'LỆNH ĐIỀU XE'!$N$5:$N$604,"Có")&gt;0,"Có","Không"))</f>
        <v/>
      </c>
      <c r="AI16" s="16" t="str">
        <f>IF(OR($A16="",H16="",N(T16)=0),"",IF(_xlfn.MAXIFS('LỆNH ĐIỀU XE'!$U$5:$U$604,'LỆNH ĐIỀU XE'!$B$5:$B$604,$A16,'LỆNH ĐIỀU XE'!$C$5:$C$604,$B16)=0,"",ROUND((H16+(H16&lt;4/24)-_xlfn.MAXIFS('LỆNH ĐIỀU XE'!$U$5:$U$604,'LỆNH ĐIỀU XE'!$B$5:$B$604,$A16,'LỆNH ĐIỀU XE'!$C$5:$C$604,$B16))*1440,0)))</f>
        <v/>
      </c>
      <c r="AJ16" s="16" t="str">
        <f>IF($A16="","",IF(OR(AI16="",V16=""),"Thiếu dữ liệu",IF(AND(AI16&lt;='THAM SỐ'!$B$29,ABS(V16)&lt;='THAM SỐ'!$B$28),"Đạt","Không đạt")))</f>
        <v/>
      </c>
      <c r="AK16" s="16" t="str">
        <f t="shared" si="8"/>
        <v/>
      </c>
      <c r="AL16" s="16" t="str">
        <f>IF($A16="","",TRIM(IF(T16=0,"Không có lệnh; ","")&amp;IF(N(N16)&gt;0,"Dừng ngoài lệnh; ","")&amp;IF(N(J16)&gt;0,"Quá tốc độ; ","")&amp;IF(N(K16)&gt;0,"Lái quá 4h; ","")&amp;IF(N(L16)&gt;0,"Không tắt máy; ","")&amp;IF(OR(P16&lt;&gt;"Đủ",Q16&lt;&gt;"Đủ",R16&lt;&gt;"Đủ"),"Thiếu ảnh; ","")&amp;IF(S16&lt;&gt;"Đạt","Lốp chưa đạt; ","")&amp;IF(N(W16)&gt;'THAM SỐ'!$B$27,"Có mặt quá giờ; ","")&amp;IF(N(X16)&gt;'THAM SỐ'!$B$25,"Lái quá giờ ngày; ","")&amp;IF(ISNUMBER(V16),IF(ABS(V16)&gt;'THAM SỐ'!$B$28,"Lệch km; ",""),"")))</f>
        <v/>
      </c>
      <c r="AM16" s="29"/>
      <c r="AN16" s="30"/>
      <c r="AO16" s="28" t="str">
        <f t="shared" si="9"/>
        <v/>
      </c>
      <c r="AP16" s="21" t="str">
        <f>IF(OR($A16="",AO16=""),"",IF(AG16=0,0,ROUND((AC16*'THAM SỐ'!$B$18+AD16*'THAM SỐ'!$B$19+AE16*'THAM SỐ'!$B$20+AF16*'THAM SỐ'!$B$21)*MIN(1,AO16/AG16),0)))</f>
        <v/>
      </c>
      <c r="AQ16" s="18"/>
    </row>
    <row r="17" spans="1:43" x14ac:dyDescent="0.45">
      <c r="A17" s="17"/>
      <c r="B17" s="18"/>
      <c r="C17" s="18"/>
      <c r="D17" s="25"/>
      <c r="E17" s="26"/>
      <c r="F17" s="26"/>
      <c r="G17" s="20"/>
      <c r="H17" s="20"/>
      <c r="I17" s="18"/>
      <c r="J17" s="18"/>
      <c r="K17" s="18"/>
      <c r="L17" s="18"/>
      <c r="M17" s="18"/>
      <c r="N17" s="18"/>
      <c r="O17" s="18"/>
      <c r="P17" s="18"/>
      <c r="Q17" s="18"/>
      <c r="R17" s="18"/>
      <c r="S17" s="18"/>
      <c r="T17" s="16" t="str">
        <f>IF($A17="","",COUNTIFS('LỆNH ĐIỀU XE'!$B$5:$B$604,$A17,'LỆNH ĐIỀU XE'!$C$5:$C$604,$B17))</f>
        <v/>
      </c>
      <c r="U17" s="27" t="str">
        <f>IF($A17="","",SUMIFS('LỆNH ĐIỀU XE'!$J$5:$J$604,'LỆNH ĐIỀU XE'!$B$5:$B$604,$A17,'LỆNH ĐIỀU XE'!$C$5:$C$604,$B17))</f>
        <v/>
      </c>
      <c r="V17" s="22" t="str">
        <f t="shared" si="0"/>
        <v/>
      </c>
      <c r="W17" s="28" t="str">
        <f t="shared" si="1"/>
        <v/>
      </c>
      <c r="X17" s="28" t="str">
        <f t="shared" si="2"/>
        <v/>
      </c>
      <c r="Y17" s="28" t="str">
        <f t="shared" si="3"/>
        <v/>
      </c>
      <c r="Z17" s="22" t="str">
        <f t="shared" si="4"/>
        <v/>
      </c>
      <c r="AA17" s="28" t="str">
        <f t="shared" si="5"/>
        <v/>
      </c>
      <c r="AB17" s="28" t="str">
        <f t="shared" si="6"/>
        <v/>
      </c>
      <c r="AC17" s="28" t="str">
        <f>IF($A17="","",SUMIFS('CHẶNG TĂNG CA'!$E$5:$E$304,'CHẶNG TĂNG CA'!$A$5:$A$304,$A17,'CHẶNG TĂNG CA'!$B$5:$B$304,$B17))</f>
        <v/>
      </c>
      <c r="AD17" s="28" t="str">
        <f>IF($A17="","",SUMIFS('CHẶNG TĂNG CA'!$F$5:$F$304,'CHẶNG TĂNG CA'!$A$5:$A$304,$A17,'CHẶNG TĂNG CA'!$B$5:$B$304,$B17))</f>
        <v/>
      </c>
      <c r="AE17" s="28" t="str">
        <f>IF($A17="","",SUMIFS('CHẶNG TĂNG CA'!$G$5:$G$304,'CHẶNG TĂNG CA'!$A$5:$A$304,$A17,'CHẶNG TĂNG CA'!$B$5:$B$304,$B17))</f>
        <v/>
      </c>
      <c r="AF17" s="28" t="str">
        <f>IF($A17="","",SUMIFS('CHẶNG TĂNG CA'!$H$5:$H$304,'CHẶNG TĂNG CA'!$A$5:$A$304,$A17,'CHẶNG TĂNG CA'!$B$5:$B$304,$B17))</f>
        <v/>
      </c>
      <c r="AG17" s="28" t="str">
        <f t="shared" si="7"/>
        <v/>
      </c>
      <c r="AH17" s="16" t="str">
        <f>IF($A17="","",IF(COUNTIFS('LỆNH ĐIỀU XE'!$B$5:$B$604,$A17,'LỆNH ĐIỀU XE'!$C$5:$C$604,$B17,'LỆNH ĐIỀU XE'!$N$5:$N$604,"Có")&gt;0,"Có","Không"))</f>
        <v/>
      </c>
      <c r="AI17" s="16" t="str">
        <f>IF(OR($A17="",H17="",N(T17)=0),"",IF(_xlfn.MAXIFS('LỆNH ĐIỀU XE'!$U$5:$U$604,'LỆNH ĐIỀU XE'!$B$5:$B$604,$A17,'LỆNH ĐIỀU XE'!$C$5:$C$604,$B17)=0,"",ROUND((H17+(H17&lt;4/24)-_xlfn.MAXIFS('LỆNH ĐIỀU XE'!$U$5:$U$604,'LỆNH ĐIỀU XE'!$B$5:$B$604,$A17,'LỆNH ĐIỀU XE'!$C$5:$C$604,$B17))*1440,0)))</f>
        <v/>
      </c>
      <c r="AJ17" s="16" t="str">
        <f>IF($A17="","",IF(OR(AI17="",V17=""),"Thiếu dữ liệu",IF(AND(AI17&lt;='THAM SỐ'!$B$29,ABS(V17)&lt;='THAM SỐ'!$B$28),"Đạt","Không đạt")))</f>
        <v/>
      </c>
      <c r="AK17" s="16" t="str">
        <f t="shared" si="8"/>
        <v/>
      </c>
      <c r="AL17" s="16" t="str">
        <f>IF($A17="","",TRIM(IF(T17=0,"Không có lệnh; ","")&amp;IF(N(N17)&gt;0,"Dừng ngoài lệnh; ","")&amp;IF(N(J17)&gt;0,"Quá tốc độ; ","")&amp;IF(N(K17)&gt;0,"Lái quá 4h; ","")&amp;IF(N(L17)&gt;0,"Không tắt máy; ","")&amp;IF(OR(P17&lt;&gt;"Đủ",Q17&lt;&gt;"Đủ",R17&lt;&gt;"Đủ"),"Thiếu ảnh; ","")&amp;IF(S17&lt;&gt;"Đạt","Lốp chưa đạt; ","")&amp;IF(N(W17)&gt;'THAM SỐ'!$B$27,"Có mặt quá giờ; ","")&amp;IF(N(X17)&gt;'THAM SỐ'!$B$25,"Lái quá giờ ngày; ","")&amp;IF(ISNUMBER(V17),IF(ABS(V17)&gt;'THAM SỐ'!$B$28,"Lệch km; ",""),"")))</f>
        <v/>
      </c>
      <c r="AM17" s="29"/>
      <c r="AN17" s="30"/>
      <c r="AO17" s="28" t="str">
        <f t="shared" si="9"/>
        <v/>
      </c>
      <c r="AP17" s="21" t="str">
        <f>IF(OR($A17="",AO17=""),"",IF(AG17=0,0,ROUND((AC17*'THAM SỐ'!$B$18+AD17*'THAM SỐ'!$B$19+AE17*'THAM SỐ'!$B$20+AF17*'THAM SỐ'!$B$21)*MIN(1,AO17/AG17),0)))</f>
        <v/>
      </c>
      <c r="AQ17" s="18"/>
    </row>
    <row r="18" spans="1:43" x14ac:dyDescent="0.45">
      <c r="A18" s="17"/>
      <c r="B18" s="18"/>
      <c r="C18" s="18"/>
      <c r="D18" s="25"/>
      <c r="E18" s="26"/>
      <c r="F18" s="26"/>
      <c r="G18" s="20"/>
      <c r="H18" s="20"/>
      <c r="I18" s="18"/>
      <c r="J18" s="18"/>
      <c r="K18" s="18"/>
      <c r="L18" s="18"/>
      <c r="M18" s="18"/>
      <c r="N18" s="18"/>
      <c r="O18" s="18"/>
      <c r="P18" s="18"/>
      <c r="Q18" s="18"/>
      <c r="R18" s="18"/>
      <c r="S18" s="18"/>
      <c r="T18" s="16" t="str">
        <f>IF($A18="","",COUNTIFS('LỆNH ĐIỀU XE'!$B$5:$B$604,$A18,'LỆNH ĐIỀU XE'!$C$5:$C$604,$B18))</f>
        <v/>
      </c>
      <c r="U18" s="27" t="str">
        <f>IF($A18="","",SUMIFS('LỆNH ĐIỀU XE'!$J$5:$J$604,'LỆNH ĐIỀU XE'!$B$5:$B$604,$A18,'LỆNH ĐIỀU XE'!$C$5:$C$604,$B18))</f>
        <v/>
      </c>
      <c r="V18" s="22" t="str">
        <f t="shared" si="0"/>
        <v/>
      </c>
      <c r="W18" s="28" t="str">
        <f t="shared" si="1"/>
        <v/>
      </c>
      <c r="X18" s="28" t="str">
        <f t="shared" si="2"/>
        <v/>
      </c>
      <c r="Y18" s="28" t="str">
        <f t="shared" si="3"/>
        <v/>
      </c>
      <c r="Z18" s="22" t="str">
        <f t="shared" si="4"/>
        <v/>
      </c>
      <c r="AA18" s="28" t="str">
        <f t="shared" si="5"/>
        <v/>
      </c>
      <c r="AB18" s="28" t="str">
        <f t="shared" si="6"/>
        <v/>
      </c>
      <c r="AC18" s="28" t="str">
        <f>IF($A18="","",SUMIFS('CHẶNG TĂNG CA'!$E$5:$E$304,'CHẶNG TĂNG CA'!$A$5:$A$304,$A18,'CHẶNG TĂNG CA'!$B$5:$B$304,$B18))</f>
        <v/>
      </c>
      <c r="AD18" s="28" t="str">
        <f>IF($A18="","",SUMIFS('CHẶNG TĂNG CA'!$F$5:$F$304,'CHẶNG TĂNG CA'!$A$5:$A$304,$A18,'CHẶNG TĂNG CA'!$B$5:$B$304,$B18))</f>
        <v/>
      </c>
      <c r="AE18" s="28" t="str">
        <f>IF($A18="","",SUMIFS('CHẶNG TĂNG CA'!$G$5:$G$304,'CHẶNG TĂNG CA'!$A$5:$A$304,$A18,'CHẶNG TĂNG CA'!$B$5:$B$304,$B18))</f>
        <v/>
      </c>
      <c r="AF18" s="28" t="str">
        <f>IF($A18="","",SUMIFS('CHẶNG TĂNG CA'!$H$5:$H$304,'CHẶNG TĂNG CA'!$A$5:$A$304,$A18,'CHẶNG TĂNG CA'!$B$5:$B$304,$B18))</f>
        <v/>
      </c>
      <c r="AG18" s="28" t="str">
        <f t="shared" si="7"/>
        <v/>
      </c>
      <c r="AH18" s="16" t="str">
        <f>IF($A18="","",IF(COUNTIFS('LỆNH ĐIỀU XE'!$B$5:$B$604,$A18,'LỆNH ĐIỀU XE'!$C$5:$C$604,$B18,'LỆNH ĐIỀU XE'!$N$5:$N$604,"Có")&gt;0,"Có","Không"))</f>
        <v/>
      </c>
      <c r="AI18" s="16" t="str">
        <f>IF(OR($A18="",H18="",N(T18)=0),"",IF(_xlfn.MAXIFS('LỆNH ĐIỀU XE'!$U$5:$U$604,'LỆNH ĐIỀU XE'!$B$5:$B$604,$A18,'LỆNH ĐIỀU XE'!$C$5:$C$604,$B18)=0,"",ROUND((H18+(H18&lt;4/24)-_xlfn.MAXIFS('LỆNH ĐIỀU XE'!$U$5:$U$604,'LỆNH ĐIỀU XE'!$B$5:$B$604,$A18,'LỆNH ĐIỀU XE'!$C$5:$C$604,$B18))*1440,0)))</f>
        <v/>
      </c>
      <c r="AJ18" s="16" t="str">
        <f>IF($A18="","",IF(OR(AI18="",V18=""),"Thiếu dữ liệu",IF(AND(AI18&lt;='THAM SỐ'!$B$29,ABS(V18)&lt;='THAM SỐ'!$B$28),"Đạt","Không đạt")))</f>
        <v/>
      </c>
      <c r="AK18" s="16" t="str">
        <f t="shared" si="8"/>
        <v/>
      </c>
      <c r="AL18" s="16" t="str">
        <f>IF($A18="","",TRIM(IF(T18=0,"Không có lệnh; ","")&amp;IF(N(N18)&gt;0,"Dừng ngoài lệnh; ","")&amp;IF(N(J18)&gt;0,"Quá tốc độ; ","")&amp;IF(N(K18)&gt;0,"Lái quá 4h; ","")&amp;IF(N(L18)&gt;0,"Không tắt máy; ","")&amp;IF(OR(P18&lt;&gt;"Đủ",Q18&lt;&gt;"Đủ",R18&lt;&gt;"Đủ"),"Thiếu ảnh; ","")&amp;IF(S18&lt;&gt;"Đạt","Lốp chưa đạt; ","")&amp;IF(N(W18)&gt;'THAM SỐ'!$B$27,"Có mặt quá giờ; ","")&amp;IF(N(X18)&gt;'THAM SỐ'!$B$25,"Lái quá giờ ngày; ","")&amp;IF(ISNUMBER(V18),IF(ABS(V18)&gt;'THAM SỐ'!$B$28,"Lệch km; ",""),"")))</f>
        <v/>
      </c>
      <c r="AM18" s="29"/>
      <c r="AN18" s="30"/>
      <c r="AO18" s="28" t="str">
        <f t="shared" si="9"/>
        <v/>
      </c>
      <c r="AP18" s="21" t="str">
        <f>IF(OR($A18="",AO18=""),"",IF(AG18=0,0,ROUND((AC18*'THAM SỐ'!$B$18+AD18*'THAM SỐ'!$B$19+AE18*'THAM SỐ'!$B$20+AF18*'THAM SỐ'!$B$21)*MIN(1,AO18/AG18),0)))</f>
        <v/>
      </c>
      <c r="AQ18" s="18"/>
    </row>
    <row r="19" spans="1:43" x14ac:dyDescent="0.45">
      <c r="A19" s="17"/>
      <c r="B19" s="18"/>
      <c r="C19" s="18"/>
      <c r="D19" s="25"/>
      <c r="E19" s="26"/>
      <c r="F19" s="26"/>
      <c r="G19" s="20"/>
      <c r="H19" s="20"/>
      <c r="I19" s="18"/>
      <c r="J19" s="18"/>
      <c r="K19" s="18"/>
      <c r="L19" s="18"/>
      <c r="M19" s="18"/>
      <c r="N19" s="18"/>
      <c r="O19" s="18"/>
      <c r="P19" s="18"/>
      <c r="Q19" s="18"/>
      <c r="R19" s="18"/>
      <c r="S19" s="18"/>
      <c r="T19" s="16" t="str">
        <f>IF($A19="","",COUNTIFS('LỆNH ĐIỀU XE'!$B$5:$B$604,$A19,'LỆNH ĐIỀU XE'!$C$5:$C$604,$B19))</f>
        <v/>
      </c>
      <c r="U19" s="27" t="str">
        <f>IF($A19="","",SUMIFS('LỆNH ĐIỀU XE'!$J$5:$J$604,'LỆNH ĐIỀU XE'!$B$5:$B$604,$A19,'LỆNH ĐIỀU XE'!$C$5:$C$604,$B19))</f>
        <v/>
      </c>
      <c r="V19" s="22" t="str">
        <f t="shared" si="0"/>
        <v/>
      </c>
      <c r="W19" s="28" t="str">
        <f t="shared" si="1"/>
        <v/>
      </c>
      <c r="X19" s="28" t="str">
        <f t="shared" si="2"/>
        <v/>
      </c>
      <c r="Y19" s="28" t="str">
        <f t="shared" si="3"/>
        <v/>
      </c>
      <c r="Z19" s="22" t="str">
        <f t="shared" si="4"/>
        <v/>
      </c>
      <c r="AA19" s="28" t="str">
        <f t="shared" si="5"/>
        <v/>
      </c>
      <c r="AB19" s="28" t="str">
        <f t="shared" si="6"/>
        <v/>
      </c>
      <c r="AC19" s="28" t="str">
        <f>IF($A19="","",SUMIFS('CHẶNG TĂNG CA'!$E$5:$E$304,'CHẶNG TĂNG CA'!$A$5:$A$304,$A19,'CHẶNG TĂNG CA'!$B$5:$B$304,$B19))</f>
        <v/>
      </c>
      <c r="AD19" s="28" t="str">
        <f>IF($A19="","",SUMIFS('CHẶNG TĂNG CA'!$F$5:$F$304,'CHẶNG TĂNG CA'!$A$5:$A$304,$A19,'CHẶNG TĂNG CA'!$B$5:$B$304,$B19))</f>
        <v/>
      </c>
      <c r="AE19" s="28" t="str">
        <f>IF($A19="","",SUMIFS('CHẶNG TĂNG CA'!$G$5:$G$304,'CHẶNG TĂNG CA'!$A$5:$A$304,$A19,'CHẶNG TĂNG CA'!$B$5:$B$304,$B19))</f>
        <v/>
      </c>
      <c r="AF19" s="28" t="str">
        <f>IF($A19="","",SUMIFS('CHẶNG TĂNG CA'!$H$5:$H$304,'CHẶNG TĂNG CA'!$A$5:$A$304,$A19,'CHẶNG TĂNG CA'!$B$5:$B$304,$B19))</f>
        <v/>
      </c>
      <c r="AG19" s="28" t="str">
        <f t="shared" si="7"/>
        <v/>
      </c>
      <c r="AH19" s="16" t="str">
        <f>IF($A19="","",IF(COUNTIFS('LỆNH ĐIỀU XE'!$B$5:$B$604,$A19,'LỆNH ĐIỀU XE'!$C$5:$C$604,$B19,'LỆNH ĐIỀU XE'!$N$5:$N$604,"Có")&gt;0,"Có","Không"))</f>
        <v/>
      </c>
      <c r="AI19" s="16" t="str">
        <f>IF(OR($A19="",H19="",N(T19)=0),"",IF(_xlfn.MAXIFS('LỆNH ĐIỀU XE'!$U$5:$U$604,'LỆNH ĐIỀU XE'!$B$5:$B$604,$A19,'LỆNH ĐIỀU XE'!$C$5:$C$604,$B19)=0,"",ROUND((H19+(H19&lt;4/24)-_xlfn.MAXIFS('LỆNH ĐIỀU XE'!$U$5:$U$604,'LỆNH ĐIỀU XE'!$B$5:$B$604,$A19,'LỆNH ĐIỀU XE'!$C$5:$C$604,$B19))*1440,0)))</f>
        <v/>
      </c>
      <c r="AJ19" s="16" t="str">
        <f>IF($A19="","",IF(OR(AI19="",V19=""),"Thiếu dữ liệu",IF(AND(AI19&lt;='THAM SỐ'!$B$29,ABS(V19)&lt;='THAM SỐ'!$B$28),"Đạt","Không đạt")))</f>
        <v/>
      </c>
      <c r="AK19" s="16" t="str">
        <f t="shared" si="8"/>
        <v/>
      </c>
      <c r="AL19" s="16" t="str">
        <f>IF($A19="","",TRIM(IF(T19=0,"Không có lệnh; ","")&amp;IF(N(N19)&gt;0,"Dừng ngoài lệnh; ","")&amp;IF(N(J19)&gt;0,"Quá tốc độ; ","")&amp;IF(N(K19)&gt;0,"Lái quá 4h; ","")&amp;IF(N(L19)&gt;0,"Không tắt máy; ","")&amp;IF(OR(P19&lt;&gt;"Đủ",Q19&lt;&gt;"Đủ",R19&lt;&gt;"Đủ"),"Thiếu ảnh; ","")&amp;IF(S19&lt;&gt;"Đạt","Lốp chưa đạt; ","")&amp;IF(N(W19)&gt;'THAM SỐ'!$B$27,"Có mặt quá giờ; ","")&amp;IF(N(X19)&gt;'THAM SỐ'!$B$25,"Lái quá giờ ngày; ","")&amp;IF(ISNUMBER(V19),IF(ABS(V19)&gt;'THAM SỐ'!$B$28,"Lệch km; ",""),"")))</f>
        <v/>
      </c>
      <c r="AM19" s="29"/>
      <c r="AN19" s="30"/>
      <c r="AO19" s="28" t="str">
        <f t="shared" si="9"/>
        <v/>
      </c>
      <c r="AP19" s="21" t="str">
        <f>IF(OR($A19="",AO19=""),"",IF(AG19=0,0,ROUND((AC19*'THAM SỐ'!$B$18+AD19*'THAM SỐ'!$B$19+AE19*'THAM SỐ'!$B$20+AF19*'THAM SỐ'!$B$21)*MIN(1,AO19/AG19),0)))</f>
        <v/>
      </c>
      <c r="AQ19" s="18"/>
    </row>
    <row r="20" spans="1:43" x14ac:dyDescent="0.45">
      <c r="A20" s="17"/>
      <c r="B20" s="18"/>
      <c r="C20" s="18"/>
      <c r="D20" s="25"/>
      <c r="E20" s="26"/>
      <c r="F20" s="26"/>
      <c r="G20" s="20"/>
      <c r="H20" s="20"/>
      <c r="I20" s="18"/>
      <c r="J20" s="18"/>
      <c r="K20" s="18"/>
      <c r="L20" s="18"/>
      <c r="M20" s="18"/>
      <c r="N20" s="18"/>
      <c r="O20" s="18"/>
      <c r="P20" s="18"/>
      <c r="Q20" s="18"/>
      <c r="R20" s="18"/>
      <c r="S20" s="18"/>
      <c r="T20" s="16" t="str">
        <f>IF($A20="","",COUNTIFS('LỆNH ĐIỀU XE'!$B$5:$B$604,$A20,'LỆNH ĐIỀU XE'!$C$5:$C$604,$B20))</f>
        <v/>
      </c>
      <c r="U20" s="27" t="str">
        <f>IF($A20="","",SUMIFS('LỆNH ĐIỀU XE'!$J$5:$J$604,'LỆNH ĐIỀU XE'!$B$5:$B$604,$A20,'LỆNH ĐIỀU XE'!$C$5:$C$604,$B20))</f>
        <v/>
      </c>
      <c r="V20" s="22" t="str">
        <f t="shared" si="0"/>
        <v/>
      </c>
      <c r="W20" s="28" t="str">
        <f t="shared" si="1"/>
        <v/>
      </c>
      <c r="X20" s="28" t="str">
        <f t="shared" si="2"/>
        <v/>
      </c>
      <c r="Y20" s="28" t="str">
        <f t="shared" si="3"/>
        <v/>
      </c>
      <c r="Z20" s="22" t="str">
        <f t="shared" si="4"/>
        <v/>
      </c>
      <c r="AA20" s="28" t="str">
        <f t="shared" si="5"/>
        <v/>
      </c>
      <c r="AB20" s="28" t="str">
        <f t="shared" si="6"/>
        <v/>
      </c>
      <c r="AC20" s="28" t="str">
        <f>IF($A20="","",SUMIFS('CHẶNG TĂNG CA'!$E$5:$E$304,'CHẶNG TĂNG CA'!$A$5:$A$304,$A20,'CHẶNG TĂNG CA'!$B$5:$B$304,$B20))</f>
        <v/>
      </c>
      <c r="AD20" s="28" t="str">
        <f>IF($A20="","",SUMIFS('CHẶNG TĂNG CA'!$F$5:$F$304,'CHẶNG TĂNG CA'!$A$5:$A$304,$A20,'CHẶNG TĂNG CA'!$B$5:$B$304,$B20))</f>
        <v/>
      </c>
      <c r="AE20" s="28" t="str">
        <f>IF($A20="","",SUMIFS('CHẶNG TĂNG CA'!$G$5:$G$304,'CHẶNG TĂNG CA'!$A$5:$A$304,$A20,'CHẶNG TĂNG CA'!$B$5:$B$304,$B20))</f>
        <v/>
      </c>
      <c r="AF20" s="28" t="str">
        <f>IF($A20="","",SUMIFS('CHẶNG TĂNG CA'!$H$5:$H$304,'CHẶNG TĂNG CA'!$A$5:$A$304,$A20,'CHẶNG TĂNG CA'!$B$5:$B$304,$B20))</f>
        <v/>
      </c>
      <c r="AG20" s="28" t="str">
        <f t="shared" si="7"/>
        <v/>
      </c>
      <c r="AH20" s="16" t="str">
        <f>IF($A20="","",IF(COUNTIFS('LỆNH ĐIỀU XE'!$B$5:$B$604,$A20,'LỆNH ĐIỀU XE'!$C$5:$C$604,$B20,'LỆNH ĐIỀU XE'!$N$5:$N$604,"Có")&gt;0,"Có","Không"))</f>
        <v/>
      </c>
      <c r="AI20" s="16" t="str">
        <f>IF(OR($A20="",H20="",N(T20)=0),"",IF(_xlfn.MAXIFS('LỆNH ĐIỀU XE'!$U$5:$U$604,'LỆNH ĐIỀU XE'!$B$5:$B$604,$A20,'LỆNH ĐIỀU XE'!$C$5:$C$604,$B20)=0,"",ROUND((H20+(H20&lt;4/24)-_xlfn.MAXIFS('LỆNH ĐIỀU XE'!$U$5:$U$604,'LỆNH ĐIỀU XE'!$B$5:$B$604,$A20,'LỆNH ĐIỀU XE'!$C$5:$C$604,$B20))*1440,0)))</f>
        <v/>
      </c>
      <c r="AJ20" s="16" t="str">
        <f>IF($A20="","",IF(OR(AI20="",V20=""),"Thiếu dữ liệu",IF(AND(AI20&lt;='THAM SỐ'!$B$29,ABS(V20)&lt;='THAM SỐ'!$B$28),"Đạt","Không đạt")))</f>
        <v/>
      </c>
      <c r="AK20" s="16" t="str">
        <f t="shared" si="8"/>
        <v/>
      </c>
      <c r="AL20" s="16" t="str">
        <f>IF($A20="","",TRIM(IF(T20=0,"Không có lệnh; ","")&amp;IF(N(N20)&gt;0,"Dừng ngoài lệnh; ","")&amp;IF(N(J20)&gt;0,"Quá tốc độ; ","")&amp;IF(N(K20)&gt;0,"Lái quá 4h; ","")&amp;IF(N(L20)&gt;0,"Không tắt máy; ","")&amp;IF(OR(P20&lt;&gt;"Đủ",Q20&lt;&gt;"Đủ",R20&lt;&gt;"Đủ"),"Thiếu ảnh; ","")&amp;IF(S20&lt;&gt;"Đạt","Lốp chưa đạt; ","")&amp;IF(N(W20)&gt;'THAM SỐ'!$B$27,"Có mặt quá giờ; ","")&amp;IF(N(X20)&gt;'THAM SỐ'!$B$25,"Lái quá giờ ngày; ","")&amp;IF(ISNUMBER(V20),IF(ABS(V20)&gt;'THAM SỐ'!$B$28,"Lệch km; ",""),"")))</f>
        <v/>
      </c>
      <c r="AM20" s="29"/>
      <c r="AN20" s="30"/>
      <c r="AO20" s="28" t="str">
        <f t="shared" si="9"/>
        <v/>
      </c>
      <c r="AP20" s="21" t="str">
        <f>IF(OR($A20="",AO20=""),"",IF(AG20=0,0,ROUND((AC20*'THAM SỐ'!$B$18+AD20*'THAM SỐ'!$B$19+AE20*'THAM SỐ'!$B$20+AF20*'THAM SỐ'!$B$21)*MIN(1,AO20/AG20),0)))</f>
        <v/>
      </c>
      <c r="AQ20" s="18"/>
    </row>
    <row r="21" spans="1:43" x14ac:dyDescent="0.45">
      <c r="A21" s="17"/>
      <c r="B21" s="18"/>
      <c r="C21" s="18"/>
      <c r="D21" s="25"/>
      <c r="E21" s="26"/>
      <c r="F21" s="26"/>
      <c r="G21" s="20"/>
      <c r="H21" s="20"/>
      <c r="I21" s="18"/>
      <c r="J21" s="18"/>
      <c r="K21" s="18"/>
      <c r="L21" s="18"/>
      <c r="M21" s="18"/>
      <c r="N21" s="18"/>
      <c r="O21" s="18"/>
      <c r="P21" s="18"/>
      <c r="Q21" s="18"/>
      <c r="R21" s="18"/>
      <c r="S21" s="18"/>
      <c r="T21" s="16" t="str">
        <f>IF($A21="","",COUNTIFS('LỆNH ĐIỀU XE'!$B$5:$B$604,$A21,'LỆNH ĐIỀU XE'!$C$5:$C$604,$B21))</f>
        <v/>
      </c>
      <c r="U21" s="27" t="str">
        <f>IF($A21="","",SUMIFS('LỆNH ĐIỀU XE'!$J$5:$J$604,'LỆNH ĐIỀU XE'!$B$5:$B$604,$A21,'LỆNH ĐIỀU XE'!$C$5:$C$604,$B21))</f>
        <v/>
      </c>
      <c r="V21" s="22" t="str">
        <f t="shared" si="0"/>
        <v/>
      </c>
      <c r="W21" s="28" t="str">
        <f t="shared" si="1"/>
        <v/>
      </c>
      <c r="X21" s="28" t="str">
        <f t="shared" si="2"/>
        <v/>
      </c>
      <c r="Y21" s="28" t="str">
        <f t="shared" si="3"/>
        <v/>
      </c>
      <c r="Z21" s="22" t="str">
        <f t="shared" si="4"/>
        <v/>
      </c>
      <c r="AA21" s="28" t="str">
        <f t="shared" si="5"/>
        <v/>
      </c>
      <c r="AB21" s="28" t="str">
        <f t="shared" si="6"/>
        <v/>
      </c>
      <c r="AC21" s="28" t="str">
        <f>IF($A21="","",SUMIFS('CHẶNG TĂNG CA'!$E$5:$E$304,'CHẶNG TĂNG CA'!$A$5:$A$304,$A21,'CHẶNG TĂNG CA'!$B$5:$B$304,$B21))</f>
        <v/>
      </c>
      <c r="AD21" s="28" t="str">
        <f>IF($A21="","",SUMIFS('CHẶNG TĂNG CA'!$F$5:$F$304,'CHẶNG TĂNG CA'!$A$5:$A$304,$A21,'CHẶNG TĂNG CA'!$B$5:$B$304,$B21))</f>
        <v/>
      </c>
      <c r="AE21" s="28" t="str">
        <f>IF($A21="","",SUMIFS('CHẶNG TĂNG CA'!$G$5:$G$304,'CHẶNG TĂNG CA'!$A$5:$A$304,$A21,'CHẶNG TĂNG CA'!$B$5:$B$304,$B21))</f>
        <v/>
      </c>
      <c r="AF21" s="28" t="str">
        <f>IF($A21="","",SUMIFS('CHẶNG TĂNG CA'!$H$5:$H$304,'CHẶNG TĂNG CA'!$A$5:$A$304,$A21,'CHẶNG TĂNG CA'!$B$5:$B$304,$B21))</f>
        <v/>
      </c>
      <c r="AG21" s="28" t="str">
        <f t="shared" si="7"/>
        <v/>
      </c>
      <c r="AH21" s="16" t="str">
        <f>IF($A21="","",IF(COUNTIFS('LỆNH ĐIỀU XE'!$B$5:$B$604,$A21,'LỆNH ĐIỀU XE'!$C$5:$C$604,$B21,'LỆNH ĐIỀU XE'!$N$5:$N$604,"Có")&gt;0,"Có","Không"))</f>
        <v/>
      </c>
      <c r="AI21" s="16" t="str">
        <f>IF(OR($A21="",H21="",N(T21)=0),"",IF(_xlfn.MAXIFS('LỆNH ĐIỀU XE'!$U$5:$U$604,'LỆNH ĐIỀU XE'!$B$5:$B$604,$A21,'LỆNH ĐIỀU XE'!$C$5:$C$604,$B21)=0,"",ROUND((H21+(H21&lt;4/24)-_xlfn.MAXIFS('LỆNH ĐIỀU XE'!$U$5:$U$604,'LỆNH ĐIỀU XE'!$B$5:$B$604,$A21,'LỆNH ĐIỀU XE'!$C$5:$C$604,$B21))*1440,0)))</f>
        <v/>
      </c>
      <c r="AJ21" s="16" t="str">
        <f>IF($A21="","",IF(OR(AI21="",V21=""),"Thiếu dữ liệu",IF(AND(AI21&lt;='THAM SỐ'!$B$29,ABS(V21)&lt;='THAM SỐ'!$B$28),"Đạt","Không đạt")))</f>
        <v/>
      </c>
      <c r="AK21" s="16" t="str">
        <f t="shared" si="8"/>
        <v/>
      </c>
      <c r="AL21" s="16" t="str">
        <f>IF($A21="","",TRIM(IF(T21=0,"Không có lệnh; ","")&amp;IF(N(N21)&gt;0,"Dừng ngoài lệnh; ","")&amp;IF(N(J21)&gt;0,"Quá tốc độ; ","")&amp;IF(N(K21)&gt;0,"Lái quá 4h; ","")&amp;IF(N(L21)&gt;0,"Không tắt máy; ","")&amp;IF(OR(P21&lt;&gt;"Đủ",Q21&lt;&gt;"Đủ",R21&lt;&gt;"Đủ"),"Thiếu ảnh; ","")&amp;IF(S21&lt;&gt;"Đạt","Lốp chưa đạt; ","")&amp;IF(N(W21)&gt;'THAM SỐ'!$B$27,"Có mặt quá giờ; ","")&amp;IF(N(X21)&gt;'THAM SỐ'!$B$25,"Lái quá giờ ngày; ","")&amp;IF(ISNUMBER(V21),IF(ABS(V21)&gt;'THAM SỐ'!$B$28,"Lệch km; ",""),"")))</f>
        <v/>
      </c>
      <c r="AM21" s="29"/>
      <c r="AN21" s="30"/>
      <c r="AO21" s="28" t="str">
        <f t="shared" si="9"/>
        <v/>
      </c>
      <c r="AP21" s="21" t="str">
        <f>IF(OR($A21="",AO21=""),"",IF(AG21=0,0,ROUND((AC21*'THAM SỐ'!$B$18+AD21*'THAM SỐ'!$B$19+AE21*'THAM SỐ'!$B$20+AF21*'THAM SỐ'!$B$21)*MIN(1,AO21/AG21),0)))</f>
        <v/>
      </c>
      <c r="AQ21" s="18"/>
    </row>
    <row r="22" spans="1:43" x14ac:dyDescent="0.45">
      <c r="A22" s="17"/>
      <c r="B22" s="18"/>
      <c r="C22" s="18"/>
      <c r="D22" s="25"/>
      <c r="E22" s="26"/>
      <c r="F22" s="26"/>
      <c r="G22" s="20"/>
      <c r="H22" s="20"/>
      <c r="I22" s="18"/>
      <c r="J22" s="18"/>
      <c r="K22" s="18"/>
      <c r="L22" s="18"/>
      <c r="M22" s="18"/>
      <c r="N22" s="18"/>
      <c r="O22" s="18"/>
      <c r="P22" s="18"/>
      <c r="Q22" s="18"/>
      <c r="R22" s="18"/>
      <c r="S22" s="18"/>
      <c r="T22" s="16" t="str">
        <f>IF($A22="","",COUNTIFS('LỆNH ĐIỀU XE'!$B$5:$B$604,$A22,'LỆNH ĐIỀU XE'!$C$5:$C$604,$B22))</f>
        <v/>
      </c>
      <c r="U22" s="27" t="str">
        <f>IF($A22="","",SUMIFS('LỆNH ĐIỀU XE'!$J$5:$J$604,'LỆNH ĐIỀU XE'!$B$5:$B$604,$A22,'LỆNH ĐIỀU XE'!$C$5:$C$604,$B22))</f>
        <v/>
      </c>
      <c r="V22" s="22" t="str">
        <f t="shared" si="0"/>
        <v/>
      </c>
      <c r="W22" s="28" t="str">
        <f t="shared" si="1"/>
        <v/>
      </c>
      <c r="X22" s="28" t="str">
        <f t="shared" si="2"/>
        <v/>
      </c>
      <c r="Y22" s="28" t="str">
        <f t="shared" si="3"/>
        <v/>
      </c>
      <c r="Z22" s="22" t="str">
        <f t="shared" si="4"/>
        <v/>
      </c>
      <c r="AA22" s="28" t="str">
        <f t="shared" si="5"/>
        <v/>
      </c>
      <c r="AB22" s="28" t="str">
        <f t="shared" si="6"/>
        <v/>
      </c>
      <c r="AC22" s="28" t="str">
        <f>IF($A22="","",SUMIFS('CHẶNG TĂNG CA'!$E$5:$E$304,'CHẶNG TĂNG CA'!$A$5:$A$304,$A22,'CHẶNG TĂNG CA'!$B$5:$B$304,$B22))</f>
        <v/>
      </c>
      <c r="AD22" s="28" t="str">
        <f>IF($A22="","",SUMIFS('CHẶNG TĂNG CA'!$F$5:$F$304,'CHẶNG TĂNG CA'!$A$5:$A$304,$A22,'CHẶNG TĂNG CA'!$B$5:$B$304,$B22))</f>
        <v/>
      </c>
      <c r="AE22" s="28" t="str">
        <f>IF($A22="","",SUMIFS('CHẶNG TĂNG CA'!$G$5:$G$304,'CHẶNG TĂNG CA'!$A$5:$A$304,$A22,'CHẶNG TĂNG CA'!$B$5:$B$304,$B22))</f>
        <v/>
      </c>
      <c r="AF22" s="28" t="str">
        <f>IF($A22="","",SUMIFS('CHẶNG TĂNG CA'!$H$5:$H$304,'CHẶNG TĂNG CA'!$A$5:$A$304,$A22,'CHẶNG TĂNG CA'!$B$5:$B$304,$B22))</f>
        <v/>
      </c>
      <c r="AG22" s="28" t="str">
        <f t="shared" si="7"/>
        <v/>
      </c>
      <c r="AH22" s="16" t="str">
        <f>IF($A22="","",IF(COUNTIFS('LỆNH ĐIỀU XE'!$B$5:$B$604,$A22,'LỆNH ĐIỀU XE'!$C$5:$C$604,$B22,'LỆNH ĐIỀU XE'!$N$5:$N$604,"Có")&gt;0,"Có","Không"))</f>
        <v/>
      </c>
      <c r="AI22" s="16" t="str">
        <f>IF(OR($A22="",H22="",N(T22)=0),"",IF(_xlfn.MAXIFS('LỆNH ĐIỀU XE'!$U$5:$U$604,'LỆNH ĐIỀU XE'!$B$5:$B$604,$A22,'LỆNH ĐIỀU XE'!$C$5:$C$604,$B22)=0,"",ROUND((H22+(H22&lt;4/24)-_xlfn.MAXIFS('LỆNH ĐIỀU XE'!$U$5:$U$604,'LỆNH ĐIỀU XE'!$B$5:$B$604,$A22,'LỆNH ĐIỀU XE'!$C$5:$C$604,$B22))*1440,0)))</f>
        <v/>
      </c>
      <c r="AJ22" s="16" t="str">
        <f>IF($A22="","",IF(OR(AI22="",V22=""),"Thiếu dữ liệu",IF(AND(AI22&lt;='THAM SỐ'!$B$29,ABS(V22)&lt;='THAM SỐ'!$B$28),"Đạt","Không đạt")))</f>
        <v/>
      </c>
      <c r="AK22" s="16" t="str">
        <f t="shared" si="8"/>
        <v/>
      </c>
      <c r="AL22" s="16" t="str">
        <f>IF($A22="","",TRIM(IF(T22=0,"Không có lệnh; ","")&amp;IF(N(N22)&gt;0,"Dừng ngoài lệnh; ","")&amp;IF(N(J22)&gt;0,"Quá tốc độ; ","")&amp;IF(N(K22)&gt;0,"Lái quá 4h; ","")&amp;IF(N(L22)&gt;0,"Không tắt máy; ","")&amp;IF(OR(P22&lt;&gt;"Đủ",Q22&lt;&gt;"Đủ",R22&lt;&gt;"Đủ"),"Thiếu ảnh; ","")&amp;IF(S22&lt;&gt;"Đạt","Lốp chưa đạt; ","")&amp;IF(N(W22)&gt;'THAM SỐ'!$B$27,"Có mặt quá giờ; ","")&amp;IF(N(X22)&gt;'THAM SỐ'!$B$25,"Lái quá giờ ngày; ","")&amp;IF(ISNUMBER(V22),IF(ABS(V22)&gt;'THAM SỐ'!$B$28,"Lệch km; ",""),"")))</f>
        <v/>
      </c>
      <c r="AM22" s="29"/>
      <c r="AN22" s="30"/>
      <c r="AO22" s="28" t="str">
        <f t="shared" si="9"/>
        <v/>
      </c>
      <c r="AP22" s="21" t="str">
        <f>IF(OR($A22="",AO22=""),"",IF(AG22=0,0,ROUND((AC22*'THAM SỐ'!$B$18+AD22*'THAM SỐ'!$B$19+AE22*'THAM SỐ'!$B$20+AF22*'THAM SỐ'!$B$21)*MIN(1,AO22/AG22),0)))</f>
        <v/>
      </c>
      <c r="AQ22" s="18"/>
    </row>
    <row r="23" spans="1:43" x14ac:dyDescent="0.45">
      <c r="A23" s="17"/>
      <c r="B23" s="18"/>
      <c r="C23" s="18"/>
      <c r="D23" s="25"/>
      <c r="E23" s="26"/>
      <c r="F23" s="26"/>
      <c r="G23" s="20"/>
      <c r="H23" s="20"/>
      <c r="I23" s="18"/>
      <c r="J23" s="18"/>
      <c r="K23" s="18"/>
      <c r="L23" s="18"/>
      <c r="M23" s="18"/>
      <c r="N23" s="18"/>
      <c r="O23" s="18"/>
      <c r="P23" s="18"/>
      <c r="Q23" s="18"/>
      <c r="R23" s="18"/>
      <c r="S23" s="18"/>
      <c r="T23" s="16" t="str">
        <f>IF($A23="","",COUNTIFS('LỆNH ĐIỀU XE'!$B$5:$B$604,$A23,'LỆNH ĐIỀU XE'!$C$5:$C$604,$B23))</f>
        <v/>
      </c>
      <c r="U23" s="27" t="str">
        <f>IF($A23="","",SUMIFS('LỆNH ĐIỀU XE'!$J$5:$J$604,'LỆNH ĐIỀU XE'!$B$5:$B$604,$A23,'LỆNH ĐIỀU XE'!$C$5:$C$604,$B23))</f>
        <v/>
      </c>
      <c r="V23" s="22" t="str">
        <f t="shared" si="0"/>
        <v/>
      </c>
      <c r="W23" s="28" t="str">
        <f t="shared" si="1"/>
        <v/>
      </c>
      <c r="X23" s="28" t="str">
        <f t="shared" si="2"/>
        <v/>
      </c>
      <c r="Y23" s="28" t="str">
        <f t="shared" si="3"/>
        <v/>
      </c>
      <c r="Z23" s="22" t="str">
        <f t="shared" si="4"/>
        <v/>
      </c>
      <c r="AA23" s="28" t="str">
        <f t="shared" si="5"/>
        <v/>
      </c>
      <c r="AB23" s="28" t="str">
        <f t="shared" si="6"/>
        <v/>
      </c>
      <c r="AC23" s="28" t="str">
        <f>IF($A23="","",SUMIFS('CHẶNG TĂNG CA'!$E$5:$E$304,'CHẶNG TĂNG CA'!$A$5:$A$304,$A23,'CHẶNG TĂNG CA'!$B$5:$B$304,$B23))</f>
        <v/>
      </c>
      <c r="AD23" s="28" t="str">
        <f>IF($A23="","",SUMIFS('CHẶNG TĂNG CA'!$F$5:$F$304,'CHẶNG TĂNG CA'!$A$5:$A$304,$A23,'CHẶNG TĂNG CA'!$B$5:$B$304,$B23))</f>
        <v/>
      </c>
      <c r="AE23" s="28" t="str">
        <f>IF($A23="","",SUMIFS('CHẶNG TĂNG CA'!$G$5:$G$304,'CHẶNG TĂNG CA'!$A$5:$A$304,$A23,'CHẶNG TĂNG CA'!$B$5:$B$304,$B23))</f>
        <v/>
      </c>
      <c r="AF23" s="28" t="str">
        <f>IF($A23="","",SUMIFS('CHẶNG TĂNG CA'!$H$5:$H$304,'CHẶNG TĂNG CA'!$A$5:$A$304,$A23,'CHẶNG TĂNG CA'!$B$5:$B$304,$B23))</f>
        <v/>
      </c>
      <c r="AG23" s="28" t="str">
        <f t="shared" si="7"/>
        <v/>
      </c>
      <c r="AH23" s="16" t="str">
        <f>IF($A23="","",IF(COUNTIFS('LỆNH ĐIỀU XE'!$B$5:$B$604,$A23,'LỆNH ĐIỀU XE'!$C$5:$C$604,$B23,'LỆNH ĐIỀU XE'!$N$5:$N$604,"Có")&gt;0,"Có","Không"))</f>
        <v/>
      </c>
      <c r="AI23" s="16" t="str">
        <f>IF(OR($A23="",H23="",N(T23)=0),"",IF(_xlfn.MAXIFS('LỆNH ĐIỀU XE'!$U$5:$U$604,'LỆNH ĐIỀU XE'!$B$5:$B$604,$A23,'LỆNH ĐIỀU XE'!$C$5:$C$604,$B23)=0,"",ROUND((H23+(H23&lt;4/24)-_xlfn.MAXIFS('LỆNH ĐIỀU XE'!$U$5:$U$604,'LỆNH ĐIỀU XE'!$B$5:$B$604,$A23,'LỆNH ĐIỀU XE'!$C$5:$C$604,$B23))*1440,0)))</f>
        <v/>
      </c>
      <c r="AJ23" s="16" t="str">
        <f>IF($A23="","",IF(OR(AI23="",V23=""),"Thiếu dữ liệu",IF(AND(AI23&lt;='THAM SỐ'!$B$29,ABS(V23)&lt;='THAM SỐ'!$B$28),"Đạt","Không đạt")))</f>
        <v/>
      </c>
      <c r="AK23" s="16" t="str">
        <f t="shared" si="8"/>
        <v/>
      </c>
      <c r="AL23" s="16" t="str">
        <f>IF($A23="","",TRIM(IF(T23=0,"Không có lệnh; ","")&amp;IF(N(N23)&gt;0,"Dừng ngoài lệnh; ","")&amp;IF(N(J23)&gt;0,"Quá tốc độ; ","")&amp;IF(N(K23)&gt;0,"Lái quá 4h; ","")&amp;IF(N(L23)&gt;0,"Không tắt máy; ","")&amp;IF(OR(P23&lt;&gt;"Đủ",Q23&lt;&gt;"Đủ",R23&lt;&gt;"Đủ"),"Thiếu ảnh; ","")&amp;IF(S23&lt;&gt;"Đạt","Lốp chưa đạt; ","")&amp;IF(N(W23)&gt;'THAM SỐ'!$B$27,"Có mặt quá giờ; ","")&amp;IF(N(X23)&gt;'THAM SỐ'!$B$25,"Lái quá giờ ngày; ","")&amp;IF(ISNUMBER(V23),IF(ABS(V23)&gt;'THAM SỐ'!$B$28,"Lệch km; ",""),"")))</f>
        <v/>
      </c>
      <c r="AM23" s="29"/>
      <c r="AN23" s="30"/>
      <c r="AO23" s="28" t="str">
        <f t="shared" si="9"/>
        <v/>
      </c>
      <c r="AP23" s="21" t="str">
        <f>IF(OR($A23="",AO23=""),"",IF(AG23=0,0,ROUND((AC23*'THAM SỐ'!$B$18+AD23*'THAM SỐ'!$B$19+AE23*'THAM SỐ'!$B$20+AF23*'THAM SỐ'!$B$21)*MIN(1,AO23/AG23),0)))</f>
        <v/>
      </c>
      <c r="AQ23" s="18"/>
    </row>
    <row r="24" spans="1:43" x14ac:dyDescent="0.45">
      <c r="A24" s="17"/>
      <c r="B24" s="18"/>
      <c r="C24" s="18"/>
      <c r="D24" s="25"/>
      <c r="E24" s="26"/>
      <c r="F24" s="26"/>
      <c r="G24" s="20"/>
      <c r="H24" s="20"/>
      <c r="I24" s="18"/>
      <c r="J24" s="18"/>
      <c r="K24" s="18"/>
      <c r="L24" s="18"/>
      <c r="M24" s="18"/>
      <c r="N24" s="18"/>
      <c r="O24" s="18"/>
      <c r="P24" s="18"/>
      <c r="Q24" s="18"/>
      <c r="R24" s="18"/>
      <c r="S24" s="18"/>
      <c r="T24" s="16" t="str">
        <f>IF($A24="","",COUNTIFS('LỆNH ĐIỀU XE'!$B$5:$B$604,$A24,'LỆNH ĐIỀU XE'!$C$5:$C$604,$B24))</f>
        <v/>
      </c>
      <c r="U24" s="27" t="str">
        <f>IF($A24="","",SUMIFS('LỆNH ĐIỀU XE'!$J$5:$J$604,'LỆNH ĐIỀU XE'!$B$5:$B$604,$A24,'LỆNH ĐIỀU XE'!$C$5:$C$604,$B24))</f>
        <v/>
      </c>
      <c r="V24" s="22" t="str">
        <f t="shared" si="0"/>
        <v/>
      </c>
      <c r="W24" s="28" t="str">
        <f t="shared" si="1"/>
        <v/>
      </c>
      <c r="X24" s="28" t="str">
        <f t="shared" si="2"/>
        <v/>
      </c>
      <c r="Y24" s="28" t="str">
        <f t="shared" si="3"/>
        <v/>
      </c>
      <c r="Z24" s="22" t="str">
        <f t="shared" si="4"/>
        <v/>
      </c>
      <c r="AA24" s="28" t="str">
        <f t="shared" si="5"/>
        <v/>
      </c>
      <c r="AB24" s="28" t="str">
        <f t="shared" si="6"/>
        <v/>
      </c>
      <c r="AC24" s="28" t="str">
        <f>IF($A24="","",SUMIFS('CHẶNG TĂNG CA'!$E$5:$E$304,'CHẶNG TĂNG CA'!$A$5:$A$304,$A24,'CHẶNG TĂNG CA'!$B$5:$B$304,$B24))</f>
        <v/>
      </c>
      <c r="AD24" s="28" t="str">
        <f>IF($A24="","",SUMIFS('CHẶNG TĂNG CA'!$F$5:$F$304,'CHẶNG TĂNG CA'!$A$5:$A$304,$A24,'CHẶNG TĂNG CA'!$B$5:$B$304,$B24))</f>
        <v/>
      </c>
      <c r="AE24" s="28" t="str">
        <f>IF($A24="","",SUMIFS('CHẶNG TĂNG CA'!$G$5:$G$304,'CHẶNG TĂNG CA'!$A$5:$A$304,$A24,'CHẶNG TĂNG CA'!$B$5:$B$304,$B24))</f>
        <v/>
      </c>
      <c r="AF24" s="28" t="str">
        <f>IF($A24="","",SUMIFS('CHẶNG TĂNG CA'!$H$5:$H$304,'CHẶNG TĂNG CA'!$A$5:$A$304,$A24,'CHẶNG TĂNG CA'!$B$5:$B$304,$B24))</f>
        <v/>
      </c>
      <c r="AG24" s="28" t="str">
        <f t="shared" si="7"/>
        <v/>
      </c>
      <c r="AH24" s="16" t="str">
        <f>IF($A24="","",IF(COUNTIFS('LỆNH ĐIỀU XE'!$B$5:$B$604,$A24,'LỆNH ĐIỀU XE'!$C$5:$C$604,$B24,'LỆNH ĐIỀU XE'!$N$5:$N$604,"Có")&gt;0,"Có","Không"))</f>
        <v/>
      </c>
      <c r="AI24" s="16" t="str">
        <f>IF(OR($A24="",H24="",N(T24)=0),"",IF(_xlfn.MAXIFS('LỆNH ĐIỀU XE'!$U$5:$U$604,'LỆNH ĐIỀU XE'!$B$5:$B$604,$A24,'LỆNH ĐIỀU XE'!$C$5:$C$604,$B24)=0,"",ROUND((H24+(H24&lt;4/24)-_xlfn.MAXIFS('LỆNH ĐIỀU XE'!$U$5:$U$604,'LỆNH ĐIỀU XE'!$B$5:$B$604,$A24,'LỆNH ĐIỀU XE'!$C$5:$C$604,$B24))*1440,0)))</f>
        <v/>
      </c>
      <c r="AJ24" s="16" t="str">
        <f>IF($A24="","",IF(OR(AI24="",V24=""),"Thiếu dữ liệu",IF(AND(AI24&lt;='THAM SỐ'!$B$29,ABS(V24)&lt;='THAM SỐ'!$B$28),"Đạt","Không đạt")))</f>
        <v/>
      </c>
      <c r="AK24" s="16" t="str">
        <f t="shared" si="8"/>
        <v/>
      </c>
      <c r="AL24" s="16" t="str">
        <f>IF($A24="","",TRIM(IF(T24=0,"Không có lệnh; ","")&amp;IF(N(N24)&gt;0,"Dừng ngoài lệnh; ","")&amp;IF(N(J24)&gt;0,"Quá tốc độ; ","")&amp;IF(N(K24)&gt;0,"Lái quá 4h; ","")&amp;IF(N(L24)&gt;0,"Không tắt máy; ","")&amp;IF(OR(P24&lt;&gt;"Đủ",Q24&lt;&gt;"Đủ",R24&lt;&gt;"Đủ"),"Thiếu ảnh; ","")&amp;IF(S24&lt;&gt;"Đạt","Lốp chưa đạt; ","")&amp;IF(N(W24)&gt;'THAM SỐ'!$B$27,"Có mặt quá giờ; ","")&amp;IF(N(X24)&gt;'THAM SỐ'!$B$25,"Lái quá giờ ngày; ","")&amp;IF(ISNUMBER(V24),IF(ABS(V24)&gt;'THAM SỐ'!$B$28,"Lệch km; ",""),"")))</f>
        <v/>
      </c>
      <c r="AM24" s="29"/>
      <c r="AN24" s="30"/>
      <c r="AO24" s="28" t="str">
        <f t="shared" si="9"/>
        <v/>
      </c>
      <c r="AP24" s="21" t="str">
        <f>IF(OR($A24="",AO24=""),"",IF(AG24=0,0,ROUND((AC24*'THAM SỐ'!$B$18+AD24*'THAM SỐ'!$B$19+AE24*'THAM SỐ'!$B$20+AF24*'THAM SỐ'!$B$21)*MIN(1,AO24/AG24),0)))</f>
        <v/>
      </c>
      <c r="AQ24" s="18"/>
    </row>
    <row r="25" spans="1:43" x14ac:dyDescent="0.45">
      <c r="A25" s="17"/>
      <c r="B25" s="18"/>
      <c r="C25" s="18"/>
      <c r="D25" s="25"/>
      <c r="E25" s="26"/>
      <c r="F25" s="26"/>
      <c r="G25" s="20"/>
      <c r="H25" s="20"/>
      <c r="I25" s="18"/>
      <c r="J25" s="18"/>
      <c r="K25" s="18"/>
      <c r="L25" s="18"/>
      <c r="M25" s="18"/>
      <c r="N25" s="18"/>
      <c r="O25" s="18"/>
      <c r="P25" s="18"/>
      <c r="Q25" s="18"/>
      <c r="R25" s="18"/>
      <c r="S25" s="18"/>
      <c r="T25" s="16" t="str">
        <f>IF($A25="","",COUNTIFS('LỆNH ĐIỀU XE'!$B$5:$B$604,$A25,'LỆNH ĐIỀU XE'!$C$5:$C$604,$B25))</f>
        <v/>
      </c>
      <c r="U25" s="27" t="str">
        <f>IF($A25="","",SUMIFS('LỆNH ĐIỀU XE'!$J$5:$J$604,'LỆNH ĐIỀU XE'!$B$5:$B$604,$A25,'LỆNH ĐIỀU XE'!$C$5:$C$604,$B25))</f>
        <v/>
      </c>
      <c r="V25" s="22" t="str">
        <f t="shared" si="0"/>
        <v/>
      </c>
      <c r="W25" s="28" t="str">
        <f t="shared" si="1"/>
        <v/>
      </c>
      <c r="X25" s="28" t="str">
        <f t="shared" si="2"/>
        <v/>
      </c>
      <c r="Y25" s="28" t="str">
        <f t="shared" si="3"/>
        <v/>
      </c>
      <c r="Z25" s="22" t="str">
        <f t="shared" si="4"/>
        <v/>
      </c>
      <c r="AA25" s="28" t="str">
        <f t="shared" si="5"/>
        <v/>
      </c>
      <c r="AB25" s="28" t="str">
        <f t="shared" si="6"/>
        <v/>
      </c>
      <c r="AC25" s="28" t="str">
        <f>IF($A25="","",SUMIFS('CHẶNG TĂNG CA'!$E$5:$E$304,'CHẶNG TĂNG CA'!$A$5:$A$304,$A25,'CHẶNG TĂNG CA'!$B$5:$B$304,$B25))</f>
        <v/>
      </c>
      <c r="AD25" s="28" t="str">
        <f>IF($A25="","",SUMIFS('CHẶNG TĂNG CA'!$F$5:$F$304,'CHẶNG TĂNG CA'!$A$5:$A$304,$A25,'CHẶNG TĂNG CA'!$B$5:$B$304,$B25))</f>
        <v/>
      </c>
      <c r="AE25" s="28" t="str">
        <f>IF($A25="","",SUMIFS('CHẶNG TĂNG CA'!$G$5:$G$304,'CHẶNG TĂNG CA'!$A$5:$A$304,$A25,'CHẶNG TĂNG CA'!$B$5:$B$304,$B25))</f>
        <v/>
      </c>
      <c r="AF25" s="28" t="str">
        <f>IF($A25="","",SUMIFS('CHẶNG TĂNG CA'!$H$5:$H$304,'CHẶNG TĂNG CA'!$A$5:$A$304,$A25,'CHẶNG TĂNG CA'!$B$5:$B$304,$B25))</f>
        <v/>
      </c>
      <c r="AG25" s="28" t="str">
        <f t="shared" si="7"/>
        <v/>
      </c>
      <c r="AH25" s="16" t="str">
        <f>IF($A25="","",IF(COUNTIFS('LỆNH ĐIỀU XE'!$B$5:$B$604,$A25,'LỆNH ĐIỀU XE'!$C$5:$C$604,$B25,'LỆNH ĐIỀU XE'!$N$5:$N$604,"Có")&gt;0,"Có","Không"))</f>
        <v/>
      </c>
      <c r="AI25" s="16" t="str">
        <f>IF(OR($A25="",H25="",N(T25)=0),"",IF(_xlfn.MAXIFS('LỆNH ĐIỀU XE'!$U$5:$U$604,'LỆNH ĐIỀU XE'!$B$5:$B$604,$A25,'LỆNH ĐIỀU XE'!$C$5:$C$604,$B25)=0,"",ROUND((H25+(H25&lt;4/24)-_xlfn.MAXIFS('LỆNH ĐIỀU XE'!$U$5:$U$604,'LỆNH ĐIỀU XE'!$B$5:$B$604,$A25,'LỆNH ĐIỀU XE'!$C$5:$C$604,$B25))*1440,0)))</f>
        <v/>
      </c>
      <c r="AJ25" s="16" t="str">
        <f>IF($A25="","",IF(OR(AI25="",V25=""),"Thiếu dữ liệu",IF(AND(AI25&lt;='THAM SỐ'!$B$29,ABS(V25)&lt;='THAM SỐ'!$B$28),"Đạt","Không đạt")))</f>
        <v/>
      </c>
      <c r="AK25" s="16" t="str">
        <f t="shared" si="8"/>
        <v/>
      </c>
      <c r="AL25" s="16" t="str">
        <f>IF($A25="","",TRIM(IF(T25=0,"Không có lệnh; ","")&amp;IF(N(N25)&gt;0,"Dừng ngoài lệnh; ","")&amp;IF(N(J25)&gt;0,"Quá tốc độ; ","")&amp;IF(N(K25)&gt;0,"Lái quá 4h; ","")&amp;IF(N(L25)&gt;0,"Không tắt máy; ","")&amp;IF(OR(P25&lt;&gt;"Đủ",Q25&lt;&gt;"Đủ",R25&lt;&gt;"Đủ"),"Thiếu ảnh; ","")&amp;IF(S25&lt;&gt;"Đạt","Lốp chưa đạt; ","")&amp;IF(N(W25)&gt;'THAM SỐ'!$B$27,"Có mặt quá giờ; ","")&amp;IF(N(X25)&gt;'THAM SỐ'!$B$25,"Lái quá giờ ngày; ","")&amp;IF(ISNUMBER(V25),IF(ABS(V25)&gt;'THAM SỐ'!$B$28,"Lệch km; ",""),"")))</f>
        <v/>
      </c>
      <c r="AM25" s="29"/>
      <c r="AN25" s="30"/>
      <c r="AO25" s="28" t="str">
        <f t="shared" si="9"/>
        <v/>
      </c>
      <c r="AP25" s="21" t="str">
        <f>IF(OR($A25="",AO25=""),"",IF(AG25=0,0,ROUND((AC25*'THAM SỐ'!$B$18+AD25*'THAM SỐ'!$B$19+AE25*'THAM SỐ'!$B$20+AF25*'THAM SỐ'!$B$21)*MIN(1,AO25/AG25),0)))</f>
        <v/>
      </c>
      <c r="AQ25" s="18"/>
    </row>
    <row r="26" spans="1:43" x14ac:dyDescent="0.45">
      <c r="A26" s="17"/>
      <c r="B26" s="18"/>
      <c r="C26" s="18"/>
      <c r="D26" s="25"/>
      <c r="E26" s="26"/>
      <c r="F26" s="26"/>
      <c r="G26" s="20"/>
      <c r="H26" s="20"/>
      <c r="I26" s="18"/>
      <c r="J26" s="18"/>
      <c r="K26" s="18"/>
      <c r="L26" s="18"/>
      <c r="M26" s="18"/>
      <c r="N26" s="18"/>
      <c r="O26" s="18"/>
      <c r="P26" s="18"/>
      <c r="Q26" s="18"/>
      <c r="R26" s="18"/>
      <c r="S26" s="18"/>
      <c r="T26" s="16" t="str">
        <f>IF($A26="","",COUNTIFS('LỆNH ĐIỀU XE'!$B$5:$B$604,$A26,'LỆNH ĐIỀU XE'!$C$5:$C$604,$B26))</f>
        <v/>
      </c>
      <c r="U26" s="27" t="str">
        <f>IF($A26="","",SUMIFS('LỆNH ĐIỀU XE'!$J$5:$J$604,'LỆNH ĐIỀU XE'!$B$5:$B$604,$A26,'LỆNH ĐIỀU XE'!$C$5:$C$604,$B26))</f>
        <v/>
      </c>
      <c r="V26" s="22" t="str">
        <f t="shared" si="0"/>
        <v/>
      </c>
      <c r="W26" s="28" t="str">
        <f t="shared" si="1"/>
        <v/>
      </c>
      <c r="X26" s="28" t="str">
        <f t="shared" si="2"/>
        <v/>
      </c>
      <c r="Y26" s="28" t="str">
        <f t="shared" si="3"/>
        <v/>
      </c>
      <c r="Z26" s="22" t="str">
        <f t="shared" si="4"/>
        <v/>
      </c>
      <c r="AA26" s="28" t="str">
        <f t="shared" si="5"/>
        <v/>
      </c>
      <c r="AB26" s="28" t="str">
        <f t="shared" si="6"/>
        <v/>
      </c>
      <c r="AC26" s="28" t="str">
        <f>IF($A26="","",SUMIFS('CHẶNG TĂNG CA'!$E$5:$E$304,'CHẶNG TĂNG CA'!$A$5:$A$304,$A26,'CHẶNG TĂNG CA'!$B$5:$B$304,$B26))</f>
        <v/>
      </c>
      <c r="AD26" s="28" t="str">
        <f>IF($A26="","",SUMIFS('CHẶNG TĂNG CA'!$F$5:$F$304,'CHẶNG TĂNG CA'!$A$5:$A$304,$A26,'CHẶNG TĂNG CA'!$B$5:$B$304,$B26))</f>
        <v/>
      </c>
      <c r="AE26" s="28" t="str">
        <f>IF($A26="","",SUMIFS('CHẶNG TĂNG CA'!$G$5:$G$304,'CHẶNG TĂNG CA'!$A$5:$A$304,$A26,'CHẶNG TĂNG CA'!$B$5:$B$304,$B26))</f>
        <v/>
      </c>
      <c r="AF26" s="28" t="str">
        <f>IF($A26="","",SUMIFS('CHẶNG TĂNG CA'!$H$5:$H$304,'CHẶNG TĂNG CA'!$A$5:$A$304,$A26,'CHẶNG TĂNG CA'!$B$5:$B$304,$B26))</f>
        <v/>
      </c>
      <c r="AG26" s="28" t="str">
        <f t="shared" si="7"/>
        <v/>
      </c>
      <c r="AH26" s="16" t="str">
        <f>IF($A26="","",IF(COUNTIFS('LỆNH ĐIỀU XE'!$B$5:$B$604,$A26,'LỆNH ĐIỀU XE'!$C$5:$C$604,$B26,'LỆNH ĐIỀU XE'!$N$5:$N$604,"Có")&gt;0,"Có","Không"))</f>
        <v/>
      </c>
      <c r="AI26" s="16" t="str">
        <f>IF(OR($A26="",H26="",N(T26)=0),"",IF(_xlfn.MAXIFS('LỆNH ĐIỀU XE'!$U$5:$U$604,'LỆNH ĐIỀU XE'!$B$5:$B$604,$A26,'LỆNH ĐIỀU XE'!$C$5:$C$604,$B26)=0,"",ROUND((H26+(H26&lt;4/24)-_xlfn.MAXIFS('LỆNH ĐIỀU XE'!$U$5:$U$604,'LỆNH ĐIỀU XE'!$B$5:$B$604,$A26,'LỆNH ĐIỀU XE'!$C$5:$C$604,$B26))*1440,0)))</f>
        <v/>
      </c>
      <c r="AJ26" s="16" t="str">
        <f>IF($A26="","",IF(OR(AI26="",V26=""),"Thiếu dữ liệu",IF(AND(AI26&lt;='THAM SỐ'!$B$29,ABS(V26)&lt;='THAM SỐ'!$B$28),"Đạt","Không đạt")))</f>
        <v/>
      </c>
      <c r="AK26" s="16" t="str">
        <f t="shared" si="8"/>
        <v/>
      </c>
      <c r="AL26" s="16" t="str">
        <f>IF($A26="","",TRIM(IF(T26=0,"Không có lệnh; ","")&amp;IF(N(N26)&gt;0,"Dừng ngoài lệnh; ","")&amp;IF(N(J26)&gt;0,"Quá tốc độ; ","")&amp;IF(N(K26)&gt;0,"Lái quá 4h; ","")&amp;IF(N(L26)&gt;0,"Không tắt máy; ","")&amp;IF(OR(P26&lt;&gt;"Đủ",Q26&lt;&gt;"Đủ",R26&lt;&gt;"Đủ"),"Thiếu ảnh; ","")&amp;IF(S26&lt;&gt;"Đạt","Lốp chưa đạt; ","")&amp;IF(N(W26)&gt;'THAM SỐ'!$B$27,"Có mặt quá giờ; ","")&amp;IF(N(X26)&gt;'THAM SỐ'!$B$25,"Lái quá giờ ngày; ","")&amp;IF(ISNUMBER(V26),IF(ABS(V26)&gt;'THAM SỐ'!$B$28,"Lệch km; ",""),"")))</f>
        <v/>
      </c>
      <c r="AM26" s="29"/>
      <c r="AN26" s="30"/>
      <c r="AO26" s="28" t="str">
        <f t="shared" si="9"/>
        <v/>
      </c>
      <c r="AP26" s="21" t="str">
        <f>IF(OR($A26="",AO26=""),"",IF(AG26=0,0,ROUND((AC26*'THAM SỐ'!$B$18+AD26*'THAM SỐ'!$B$19+AE26*'THAM SỐ'!$B$20+AF26*'THAM SỐ'!$B$21)*MIN(1,AO26/AG26),0)))</f>
        <v/>
      </c>
      <c r="AQ26" s="18"/>
    </row>
    <row r="27" spans="1:43" x14ac:dyDescent="0.45">
      <c r="A27" s="17"/>
      <c r="B27" s="18"/>
      <c r="C27" s="18"/>
      <c r="D27" s="25"/>
      <c r="E27" s="26"/>
      <c r="F27" s="26"/>
      <c r="G27" s="20"/>
      <c r="H27" s="20"/>
      <c r="I27" s="18"/>
      <c r="J27" s="18"/>
      <c r="K27" s="18"/>
      <c r="L27" s="18"/>
      <c r="M27" s="18"/>
      <c r="N27" s="18"/>
      <c r="O27" s="18"/>
      <c r="P27" s="18"/>
      <c r="Q27" s="18"/>
      <c r="R27" s="18"/>
      <c r="S27" s="18"/>
      <c r="T27" s="16" t="str">
        <f>IF($A27="","",COUNTIFS('LỆNH ĐIỀU XE'!$B$5:$B$604,$A27,'LỆNH ĐIỀU XE'!$C$5:$C$604,$B27))</f>
        <v/>
      </c>
      <c r="U27" s="27" t="str">
        <f>IF($A27="","",SUMIFS('LỆNH ĐIỀU XE'!$J$5:$J$604,'LỆNH ĐIỀU XE'!$B$5:$B$604,$A27,'LỆNH ĐIỀU XE'!$C$5:$C$604,$B27))</f>
        <v/>
      </c>
      <c r="V27" s="22" t="str">
        <f t="shared" si="0"/>
        <v/>
      </c>
      <c r="W27" s="28" t="str">
        <f t="shared" si="1"/>
        <v/>
      </c>
      <c r="X27" s="28" t="str">
        <f t="shared" si="2"/>
        <v/>
      </c>
      <c r="Y27" s="28" t="str">
        <f t="shared" si="3"/>
        <v/>
      </c>
      <c r="Z27" s="22" t="str">
        <f t="shared" si="4"/>
        <v/>
      </c>
      <c r="AA27" s="28" t="str">
        <f t="shared" si="5"/>
        <v/>
      </c>
      <c r="AB27" s="28" t="str">
        <f t="shared" si="6"/>
        <v/>
      </c>
      <c r="AC27" s="28" t="str">
        <f>IF($A27="","",SUMIFS('CHẶNG TĂNG CA'!$E$5:$E$304,'CHẶNG TĂNG CA'!$A$5:$A$304,$A27,'CHẶNG TĂNG CA'!$B$5:$B$304,$B27))</f>
        <v/>
      </c>
      <c r="AD27" s="28" t="str">
        <f>IF($A27="","",SUMIFS('CHẶNG TĂNG CA'!$F$5:$F$304,'CHẶNG TĂNG CA'!$A$5:$A$304,$A27,'CHẶNG TĂNG CA'!$B$5:$B$304,$B27))</f>
        <v/>
      </c>
      <c r="AE27" s="28" t="str">
        <f>IF($A27="","",SUMIFS('CHẶNG TĂNG CA'!$G$5:$G$304,'CHẶNG TĂNG CA'!$A$5:$A$304,$A27,'CHẶNG TĂNG CA'!$B$5:$B$304,$B27))</f>
        <v/>
      </c>
      <c r="AF27" s="28" t="str">
        <f>IF($A27="","",SUMIFS('CHẶNG TĂNG CA'!$H$5:$H$304,'CHẶNG TĂNG CA'!$A$5:$A$304,$A27,'CHẶNG TĂNG CA'!$B$5:$B$304,$B27))</f>
        <v/>
      </c>
      <c r="AG27" s="28" t="str">
        <f t="shared" si="7"/>
        <v/>
      </c>
      <c r="AH27" s="16" t="str">
        <f>IF($A27="","",IF(COUNTIFS('LỆNH ĐIỀU XE'!$B$5:$B$604,$A27,'LỆNH ĐIỀU XE'!$C$5:$C$604,$B27,'LỆNH ĐIỀU XE'!$N$5:$N$604,"Có")&gt;0,"Có","Không"))</f>
        <v/>
      </c>
      <c r="AI27" s="16" t="str">
        <f>IF(OR($A27="",H27="",N(T27)=0),"",IF(_xlfn.MAXIFS('LỆNH ĐIỀU XE'!$U$5:$U$604,'LỆNH ĐIỀU XE'!$B$5:$B$604,$A27,'LỆNH ĐIỀU XE'!$C$5:$C$604,$B27)=0,"",ROUND((H27+(H27&lt;4/24)-_xlfn.MAXIFS('LỆNH ĐIỀU XE'!$U$5:$U$604,'LỆNH ĐIỀU XE'!$B$5:$B$604,$A27,'LỆNH ĐIỀU XE'!$C$5:$C$604,$B27))*1440,0)))</f>
        <v/>
      </c>
      <c r="AJ27" s="16" t="str">
        <f>IF($A27="","",IF(OR(AI27="",V27=""),"Thiếu dữ liệu",IF(AND(AI27&lt;='THAM SỐ'!$B$29,ABS(V27)&lt;='THAM SỐ'!$B$28),"Đạt","Không đạt")))</f>
        <v/>
      </c>
      <c r="AK27" s="16" t="str">
        <f t="shared" si="8"/>
        <v/>
      </c>
      <c r="AL27" s="16" t="str">
        <f>IF($A27="","",TRIM(IF(T27=0,"Không có lệnh; ","")&amp;IF(N(N27)&gt;0,"Dừng ngoài lệnh; ","")&amp;IF(N(J27)&gt;0,"Quá tốc độ; ","")&amp;IF(N(K27)&gt;0,"Lái quá 4h; ","")&amp;IF(N(L27)&gt;0,"Không tắt máy; ","")&amp;IF(OR(P27&lt;&gt;"Đủ",Q27&lt;&gt;"Đủ",R27&lt;&gt;"Đủ"),"Thiếu ảnh; ","")&amp;IF(S27&lt;&gt;"Đạt","Lốp chưa đạt; ","")&amp;IF(N(W27)&gt;'THAM SỐ'!$B$27,"Có mặt quá giờ; ","")&amp;IF(N(X27)&gt;'THAM SỐ'!$B$25,"Lái quá giờ ngày; ","")&amp;IF(ISNUMBER(V27),IF(ABS(V27)&gt;'THAM SỐ'!$B$28,"Lệch km; ",""),"")))</f>
        <v/>
      </c>
      <c r="AM27" s="29"/>
      <c r="AN27" s="30"/>
      <c r="AO27" s="28" t="str">
        <f t="shared" si="9"/>
        <v/>
      </c>
      <c r="AP27" s="21" t="str">
        <f>IF(OR($A27="",AO27=""),"",IF(AG27=0,0,ROUND((AC27*'THAM SỐ'!$B$18+AD27*'THAM SỐ'!$B$19+AE27*'THAM SỐ'!$B$20+AF27*'THAM SỐ'!$B$21)*MIN(1,AO27/AG27),0)))</f>
        <v/>
      </c>
      <c r="AQ27" s="18"/>
    </row>
    <row r="28" spans="1:43" x14ac:dyDescent="0.45">
      <c r="A28" s="17"/>
      <c r="B28" s="18"/>
      <c r="C28" s="18"/>
      <c r="D28" s="25"/>
      <c r="E28" s="26"/>
      <c r="F28" s="26"/>
      <c r="G28" s="20"/>
      <c r="H28" s="20"/>
      <c r="I28" s="18"/>
      <c r="J28" s="18"/>
      <c r="K28" s="18"/>
      <c r="L28" s="18"/>
      <c r="M28" s="18"/>
      <c r="N28" s="18"/>
      <c r="O28" s="18"/>
      <c r="P28" s="18"/>
      <c r="Q28" s="18"/>
      <c r="R28" s="18"/>
      <c r="S28" s="18"/>
      <c r="T28" s="16" t="str">
        <f>IF($A28="","",COUNTIFS('LỆNH ĐIỀU XE'!$B$5:$B$604,$A28,'LỆNH ĐIỀU XE'!$C$5:$C$604,$B28))</f>
        <v/>
      </c>
      <c r="U28" s="27" t="str">
        <f>IF($A28="","",SUMIFS('LỆNH ĐIỀU XE'!$J$5:$J$604,'LỆNH ĐIỀU XE'!$B$5:$B$604,$A28,'LỆNH ĐIỀU XE'!$C$5:$C$604,$B28))</f>
        <v/>
      </c>
      <c r="V28" s="22" t="str">
        <f t="shared" si="0"/>
        <v/>
      </c>
      <c r="W28" s="28" t="str">
        <f t="shared" si="1"/>
        <v/>
      </c>
      <c r="X28" s="28" t="str">
        <f t="shared" si="2"/>
        <v/>
      </c>
      <c r="Y28" s="28" t="str">
        <f t="shared" si="3"/>
        <v/>
      </c>
      <c r="Z28" s="22" t="str">
        <f t="shared" si="4"/>
        <v/>
      </c>
      <c r="AA28" s="28" t="str">
        <f t="shared" si="5"/>
        <v/>
      </c>
      <c r="AB28" s="28" t="str">
        <f t="shared" si="6"/>
        <v/>
      </c>
      <c r="AC28" s="28" t="str">
        <f>IF($A28="","",SUMIFS('CHẶNG TĂNG CA'!$E$5:$E$304,'CHẶNG TĂNG CA'!$A$5:$A$304,$A28,'CHẶNG TĂNG CA'!$B$5:$B$304,$B28))</f>
        <v/>
      </c>
      <c r="AD28" s="28" t="str">
        <f>IF($A28="","",SUMIFS('CHẶNG TĂNG CA'!$F$5:$F$304,'CHẶNG TĂNG CA'!$A$5:$A$304,$A28,'CHẶNG TĂNG CA'!$B$5:$B$304,$B28))</f>
        <v/>
      </c>
      <c r="AE28" s="28" t="str">
        <f>IF($A28="","",SUMIFS('CHẶNG TĂNG CA'!$G$5:$G$304,'CHẶNG TĂNG CA'!$A$5:$A$304,$A28,'CHẶNG TĂNG CA'!$B$5:$B$304,$B28))</f>
        <v/>
      </c>
      <c r="AF28" s="28" t="str">
        <f>IF($A28="","",SUMIFS('CHẶNG TĂNG CA'!$H$5:$H$304,'CHẶNG TĂNG CA'!$A$5:$A$304,$A28,'CHẶNG TĂNG CA'!$B$5:$B$304,$B28))</f>
        <v/>
      </c>
      <c r="AG28" s="28" t="str">
        <f t="shared" si="7"/>
        <v/>
      </c>
      <c r="AH28" s="16" t="str">
        <f>IF($A28="","",IF(COUNTIFS('LỆNH ĐIỀU XE'!$B$5:$B$604,$A28,'LỆNH ĐIỀU XE'!$C$5:$C$604,$B28,'LỆNH ĐIỀU XE'!$N$5:$N$604,"Có")&gt;0,"Có","Không"))</f>
        <v/>
      </c>
      <c r="AI28" s="16" t="str">
        <f>IF(OR($A28="",H28="",N(T28)=0),"",IF(_xlfn.MAXIFS('LỆNH ĐIỀU XE'!$U$5:$U$604,'LỆNH ĐIỀU XE'!$B$5:$B$604,$A28,'LỆNH ĐIỀU XE'!$C$5:$C$604,$B28)=0,"",ROUND((H28+(H28&lt;4/24)-_xlfn.MAXIFS('LỆNH ĐIỀU XE'!$U$5:$U$604,'LỆNH ĐIỀU XE'!$B$5:$B$604,$A28,'LỆNH ĐIỀU XE'!$C$5:$C$604,$B28))*1440,0)))</f>
        <v/>
      </c>
      <c r="AJ28" s="16" t="str">
        <f>IF($A28="","",IF(OR(AI28="",V28=""),"Thiếu dữ liệu",IF(AND(AI28&lt;='THAM SỐ'!$B$29,ABS(V28)&lt;='THAM SỐ'!$B$28),"Đạt","Không đạt")))</f>
        <v/>
      </c>
      <c r="AK28" s="16" t="str">
        <f t="shared" si="8"/>
        <v/>
      </c>
      <c r="AL28" s="16" t="str">
        <f>IF($A28="","",TRIM(IF(T28=0,"Không có lệnh; ","")&amp;IF(N(N28)&gt;0,"Dừng ngoài lệnh; ","")&amp;IF(N(J28)&gt;0,"Quá tốc độ; ","")&amp;IF(N(K28)&gt;0,"Lái quá 4h; ","")&amp;IF(N(L28)&gt;0,"Không tắt máy; ","")&amp;IF(OR(P28&lt;&gt;"Đủ",Q28&lt;&gt;"Đủ",R28&lt;&gt;"Đủ"),"Thiếu ảnh; ","")&amp;IF(S28&lt;&gt;"Đạt","Lốp chưa đạt; ","")&amp;IF(N(W28)&gt;'THAM SỐ'!$B$27,"Có mặt quá giờ; ","")&amp;IF(N(X28)&gt;'THAM SỐ'!$B$25,"Lái quá giờ ngày; ","")&amp;IF(ISNUMBER(V28),IF(ABS(V28)&gt;'THAM SỐ'!$B$28,"Lệch km; ",""),"")))</f>
        <v/>
      </c>
      <c r="AM28" s="29"/>
      <c r="AN28" s="30"/>
      <c r="AO28" s="28" t="str">
        <f t="shared" si="9"/>
        <v/>
      </c>
      <c r="AP28" s="21" t="str">
        <f>IF(OR($A28="",AO28=""),"",IF(AG28=0,0,ROUND((AC28*'THAM SỐ'!$B$18+AD28*'THAM SỐ'!$B$19+AE28*'THAM SỐ'!$B$20+AF28*'THAM SỐ'!$B$21)*MIN(1,AO28/AG28),0)))</f>
        <v/>
      </c>
      <c r="AQ28" s="18"/>
    </row>
    <row r="29" spans="1:43" x14ac:dyDescent="0.45">
      <c r="A29" s="17"/>
      <c r="B29" s="18"/>
      <c r="C29" s="18"/>
      <c r="D29" s="25"/>
      <c r="E29" s="26"/>
      <c r="F29" s="26"/>
      <c r="G29" s="20"/>
      <c r="H29" s="20"/>
      <c r="I29" s="18"/>
      <c r="J29" s="18"/>
      <c r="K29" s="18"/>
      <c r="L29" s="18"/>
      <c r="M29" s="18"/>
      <c r="N29" s="18"/>
      <c r="O29" s="18"/>
      <c r="P29" s="18"/>
      <c r="Q29" s="18"/>
      <c r="R29" s="18"/>
      <c r="S29" s="18"/>
      <c r="T29" s="16" t="str">
        <f>IF($A29="","",COUNTIFS('LỆNH ĐIỀU XE'!$B$5:$B$604,$A29,'LỆNH ĐIỀU XE'!$C$5:$C$604,$B29))</f>
        <v/>
      </c>
      <c r="U29" s="27" t="str">
        <f>IF($A29="","",SUMIFS('LỆNH ĐIỀU XE'!$J$5:$J$604,'LỆNH ĐIỀU XE'!$B$5:$B$604,$A29,'LỆNH ĐIỀU XE'!$C$5:$C$604,$B29))</f>
        <v/>
      </c>
      <c r="V29" s="22" t="str">
        <f t="shared" si="0"/>
        <v/>
      </c>
      <c r="W29" s="28" t="str">
        <f t="shared" si="1"/>
        <v/>
      </c>
      <c r="X29" s="28" t="str">
        <f t="shared" si="2"/>
        <v/>
      </c>
      <c r="Y29" s="28" t="str">
        <f t="shared" si="3"/>
        <v/>
      </c>
      <c r="Z29" s="22" t="str">
        <f t="shared" si="4"/>
        <v/>
      </c>
      <c r="AA29" s="28" t="str">
        <f t="shared" si="5"/>
        <v/>
      </c>
      <c r="AB29" s="28" t="str">
        <f t="shared" si="6"/>
        <v/>
      </c>
      <c r="AC29" s="28" t="str">
        <f>IF($A29="","",SUMIFS('CHẶNG TĂNG CA'!$E$5:$E$304,'CHẶNG TĂNG CA'!$A$5:$A$304,$A29,'CHẶNG TĂNG CA'!$B$5:$B$304,$B29))</f>
        <v/>
      </c>
      <c r="AD29" s="28" t="str">
        <f>IF($A29="","",SUMIFS('CHẶNG TĂNG CA'!$F$5:$F$304,'CHẶNG TĂNG CA'!$A$5:$A$304,$A29,'CHẶNG TĂNG CA'!$B$5:$B$304,$B29))</f>
        <v/>
      </c>
      <c r="AE29" s="28" t="str">
        <f>IF($A29="","",SUMIFS('CHẶNG TĂNG CA'!$G$5:$G$304,'CHẶNG TĂNG CA'!$A$5:$A$304,$A29,'CHẶNG TĂNG CA'!$B$5:$B$304,$B29))</f>
        <v/>
      </c>
      <c r="AF29" s="28" t="str">
        <f>IF($A29="","",SUMIFS('CHẶNG TĂNG CA'!$H$5:$H$304,'CHẶNG TĂNG CA'!$A$5:$A$304,$A29,'CHẶNG TĂNG CA'!$B$5:$B$304,$B29))</f>
        <v/>
      </c>
      <c r="AG29" s="28" t="str">
        <f t="shared" si="7"/>
        <v/>
      </c>
      <c r="AH29" s="16" t="str">
        <f>IF($A29="","",IF(COUNTIFS('LỆNH ĐIỀU XE'!$B$5:$B$604,$A29,'LỆNH ĐIỀU XE'!$C$5:$C$604,$B29,'LỆNH ĐIỀU XE'!$N$5:$N$604,"Có")&gt;0,"Có","Không"))</f>
        <v/>
      </c>
      <c r="AI29" s="16" t="str">
        <f>IF(OR($A29="",H29="",N(T29)=0),"",IF(_xlfn.MAXIFS('LỆNH ĐIỀU XE'!$U$5:$U$604,'LỆNH ĐIỀU XE'!$B$5:$B$604,$A29,'LỆNH ĐIỀU XE'!$C$5:$C$604,$B29)=0,"",ROUND((H29+(H29&lt;4/24)-_xlfn.MAXIFS('LỆNH ĐIỀU XE'!$U$5:$U$604,'LỆNH ĐIỀU XE'!$B$5:$B$604,$A29,'LỆNH ĐIỀU XE'!$C$5:$C$604,$B29))*1440,0)))</f>
        <v/>
      </c>
      <c r="AJ29" s="16" t="str">
        <f>IF($A29="","",IF(OR(AI29="",V29=""),"Thiếu dữ liệu",IF(AND(AI29&lt;='THAM SỐ'!$B$29,ABS(V29)&lt;='THAM SỐ'!$B$28),"Đạt","Không đạt")))</f>
        <v/>
      </c>
      <c r="AK29" s="16" t="str">
        <f t="shared" si="8"/>
        <v/>
      </c>
      <c r="AL29" s="16" t="str">
        <f>IF($A29="","",TRIM(IF(T29=0,"Không có lệnh; ","")&amp;IF(N(N29)&gt;0,"Dừng ngoài lệnh; ","")&amp;IF(N(J29)&gt;0,"Quá tốc độ; ","")&amp;IF(N(K29)&gt;0,"Lái quá 4h; ","")&amp;IF(N(L29)&gt;0,"Không tắt máy; ","")&amp;IF(OR(P29&lt;&gt;"Đủ",Q29&lt;&gt;"Đủ",R29&lt;&gt;"Đủ"),"Thiếu ảnh; ","")&amp;IF(S29&lt;&gt;"Đạt","Lốp chưa đạt; ","")&amp;IF(N(W29)&gt;'THAM SỐ'!$B$27,"Có mặt quá giờ; ","")&amp;IF(N(X29)&gt;'THAM SỐ'!$B$25,"Lái quá giờ ngày; ","")&amp;IF(ISNUMBER(V29),IF(ABS(V29)&gt;'THAM SỐ'!$B$28,"Lệch km; ",""),"")))</f>
        <v/>
      </c>
      <c r="AM29" s="29"/>
      <c r="AN29" s="30"/>
      <c r="AO29" s="28" t="str">
        <f t="shared" si="9"/>
        <v/>
      </c>
      <c r="AP29" s="21" t="str">
        <f>IF(OR($A29="",AO29=""),"",IF(AG29=0,0,ROUND((AC29*'THAM SỐ'!$B$18+AD29*'THAM SỐ'!$B$19+AE29*'THAM SỐ'!$B$20+AF29*'THAM SỐ'!$B$21)*MIN(1,AO29/AG29),0)))</f>
        <v/>
      </c>
      <c r="AQ29" s="18"/>
    </row>
    <row r="30" spans="1:43" x14ac:dyDescent="0.45">
      <c r="A30" s="17"/>
      <c r="B30" s="18"/>
      <c r="C30" s="18"/>
      <c r="D30" s="25"/>
      <c r="E30" s="26"/>
      <c r="F30" s="26"/>
      <c r="G30" s="20"/>
      <c r="H30" s="20"/>
      <c r="I30" s="18"/>
      <c r="J30" s="18"/>
      <c r="K30" s="18"/>
      <c r="L30" s="18"/>
      <c r="M30" s="18"/>
      <c r="N30" s="18"/>
      <c r="O30" s="18"/>
      <c r="P30" s="18"/>
      <c r="Q30" s="18"/>
      <c r="R30" s="18"/>
      <c r="S30" s="18"/>
      <c r="T30" s="16" t="str">
        <f>IF($A30="","",COUNTIFS('LỆNH ĐIỀU XE'!$B$5:$B$604,$A30,'LỆNH ĐIỀU XE'!$C$5:$C$604,$B30))</f>
        <v/>
      </c>
      <c r="U30" s="27" t="str">
        <f>IF($A30="","",SUMIFS('LỆNH ĐIỀU XE'!$J$5:$J$604,'LỆNH ĐIỀU XE'!$B$5:$B$604,$A30,'LỆNH ĐIỀU XE'!$C$5:$C$604,$B30))</f>
        <v/>
      </c>
      <c r="V30" s="22" t="str">
        <f t="shared" si="0"/>
        <v/>
      </c>
      <c r="W30" s="28" t="str">
        <f t="shared" si="1"/>
        <v/>
      </c>
      <c r="X30" s="28" t="str">
        <f t="shared" si="2"/>
        <v/>
      </c>
      <c r="Y30" s="28" t="str">
        <f t="shared" si="3"/>
        <v/>
      </c>
      <c r="Z30" s="22" t="str">
        <f t="shared" si="4"/>
        <v/>
      </c>
      <c r="AA30" s="28" t="str">
        <f t="shared" si="5"/>
        <v/>
      </c>
      <c r="AB30" s="28" t="str">
        <f t="shared" si="6"/>
        <v/>
      </c>
      <c r="AC30" s="28" t="str">
        <f>IF($A30="","",SUMIFS('CHẶNG TĂNG CA'!$E$5:$E$304,'CHẶNG TĂNG CA'!$A$5:$A$304,$A30,'CHẶNG TĂNG CA'!$B$5:$B$304,$B30))</f>
        <v/>
      </c>
      <c r="AD30" s="28" t="str">
        <f>IF($A30="","",SUMIFS('CHẶNG TĂNG CA'!$F$5:$F$304,'CHẶNG TĂNG CA'!$A$5:$A$304,$A30,'CHẶNG TĂNG CA'!$B$5:$B$304,$B30))</f>
        <v/>
      </c>
      <c r="AE30" s="28" t="str">
        <f>IF($A30="","",SUMIFS('CHẶNG TĂNG CA'!$G$5:$G$304,'CHẶNG TĂNG CA'!$A$5:$A$304,$A30,'CHẶNG TĂNG CA'!$B$5:$B$304,$B30))</f>
        <v/>
      </c>
      <c r="AF30" s="28" t="str">
        <f>IF($A30="","",SUMIFS('CHẶNG TĂNG CA'!$H$5:$H$304,'CHẶNG TĂNG CA'!$A$5:$A$304,$A30,'CHẶNG TĂNG CA'!$B$5:$B$304,$B30))</f>
        <v/>
      </c>
      <c r="AG30" s="28" t="str">
        <f t="shared" si="7"/>
        <v/>
      </c>
      <c r="AH30" s="16" t="str">
        <f>IF($A30="","",IF(COUNTIFS('LỆNH ĐIỀU XE'!$B$5:$B$604,$A30,'LỆNH ĐIỀU XE'!$C$5:$C$604,$B30,'LỆNH ĐIỀU XE'!$N$5:$N$604,"Có")&gt;0,"Có","Không"))</f>
        <v/>
      </c>
      <c r="AI30" s="16" t="str">
        <f>IF(OR($A30="",H30="",N(T30)=0),"",IF(_xlfn.MAXIFS('LỆNH ĐIỀU XE'!$U$5:$U$604,'LỆNH ĐIỀU XE'!$B$5:$B$604,$A30,'LỆNH ĐIỀU XE'!$C$5:$C$604,$B30)=0,"",ROUND((H30+(H30&lt;4/24)-_xlfn.MAXIFS('LỆNH ĐIỀU XE'!$U$5:$U$604,'LỆNH ĐIỀU XE'!$B$5:$B$604,$A30,'LỆNH ĐIỀU XE'!$C$5:$C$604,$B30))*1440,0)))</f>
        <v/>
      </c>
      <c r="AJ30" s="16" t="str">
        <f>IF($A30="","",IF(OR(AI30="",V30=""),"Thiếu dữ liệu",IF(AND(AI30&lt;='THAM SỐ'!$B$29,ABS(V30)&lt;='THAM SỐ'!$B$28),"Đạt","Không đạt")))</f>
        <v/>
      </c>
      <c r="AK30" s="16" t="str">
        <f t="shared" si="8"/>
        <v/>
      </c>
      <c r="AL30" s="16" t="str">
        <f>IF($A30="","",TRIM(IF(T30=0,"Không có lệnh; ","")&amp;IF(N(N30)&gt;0,"Dừng ngoài lệnh; ","")&amp;IF(N(J30)&gt;0,"Quá tốc độ; ","")&amp;IF(N(K30)&gt;0,"Lái quá 4h; ","")&amp;IF(N(L30)&gt;0,"Không tắt máy; ","")&amp;IF(OR(P30&lt;&gt;"Đủ",Q30&lt;&gt;"Đủ",R30&lt;&gt;"Đủ"),"Thiếu ảnh; ","")&amp;IF(S30&lt;&gt;"Đạt","Lốp chưa đạt; ","")&amp;IF(N(W30)&gt;'THAM SỐ'!$B$27,"Có mặt quá giờ; ","")&amp;IF(N(X30)&gt;'THAM SỐ'!$B$25,"Lái quá giờ ngày; ","")&amp;IF(ISNUMBER(V30),IF(ABS(V30)&gt;'THAM SỐ'!$B$28,"Lệch km; ",""),"")))</f>
        <v/>
      </c>
      <c r="AM30" s="29"/>
      <c r="AN30" s="30"/>
      <c r="AO30" s="28" t="str">
        <f t="shared" si="9"/>
        <v/>
      </c>
      <c r="AP30" s="21" t="str">
        <f>IF(OR($A30="",AO30=""),"",IF(AG30=0,0,ROUND((AC30*'THAM SỐ'!$B$18+AD30*'THAM SỐ'!$B$19+AE30*'THAM SỐ'!$B$20+AF30*'THAM SỐ'!$B$21)*MIN(1,AO30/AG30),0)))</f>
        <v/>
      </c>
      <c r="AQ30" s="18"/>
    </row>
    <row r="31" spans="1:43" x14ac:dyDescent="0.45">
      <c r="A31" s="17"/>
      <c r="B31" s="18"/>
      <c r="C31" s="18"/>
      <c r="D31" s="25"/>
      <c r="E31" s="26"/>
      <c r="F31" s="26"/>
      <c r="G31" s="20"/>
      <c r="H31" s="20"/>
      <c r="I31" s="18"/>
      <c r="J31" s="18"/>
      <c r="K31" s="18"/>
      <c r="L31" s="18"/>
      <c r="M31" s="18"/>
      <c r="N31" s="18"/>
      <c r="O31" s="18"/>
      <c r="P31" s="18"/>
      <c r="Q31" s="18"/>
      <c r="R31" s="18"/>
      <c r="S31" s="18"/>
      <c r="T31" s="16" t="str">
        <f>IF($A31="","",COUNTIFS('LỆNH ĐIỀU XE'!$B$5:$B$604,$A31,'LỆNH ĐIỀU XE'!$C$5:$C$604,$B31))</f>
        <v/>
      </c>
      <c r="U31" s="27" t="str">
        <f>IF($A31="","",SUMIFS('LỆNH ĐIỀU XE'!$J$5:$J$604,'LỆNH ĐIỀU XE'!$B$5:$B$604,$A31,'LỆNH ĐIỀU XE'!$C$5:$C$604,$B31))</f>
        <v/>
      </c>
      <c r="V31" s="22" t="str">
        <f t="shared" si="0"/>
        <v/>
      </c>
      <c r="W31" s="28" t="str">
        <f t="shared" si="1"/>
        <v/>
      </c>
      <c r="X31" s="28" t="str">
        <f t="shared" si="2"/>
        <v/>
      </c>
      <c r="Y31" s="28" t="str">
        <f t="shared" si="3"/>
        <v/>
      </c>
      <c r="Z31" s="22" t="str">
        <f t="shared" si="4"/>
        <v/>
      </c>
      <c r="AA31" s="28" t="str">
        <f t="shared" si="5"/>
        <v/>
      </c>
      <c r="AB31" s="28" t="str">
        <f t="shared" si="6"/>
        <v/>
      </c>
      <c r="AC31" s="28" t="str">
        <f>IF($A31="","",SUMIFS('CHẶNG TĂNG CA'!$E$5:$E$304,'CHẶNG TĂNG CA'!$A$5:$A$304,$A31,'CHẶNG TĂNG CA'!$B$5:$B$304,$B31))</f>
        <v/>
      </c>
      <c r="AD31" s="28" t="str">
        <f>IF($A31="","",SUMIFS('CHẶNG TĂNG CA'!$F$5:$F$304,'CHẶNG TĂNG CA'!$A$5:$A$304,$A31,'CHẶNG TĂNG CA'!$B$5:$B$304,$B31))</f>
        <v/>
      </c>
      <c r="AE31" s="28" t="str">
        <f>IF($A31="","",SUMIFS('CHẶNG TĂNG CA'!$G$5:$G$304,'CHẶNG TĂNG CA'!$A$5:$A$304,$A31,'CHẶNG TĂNG CA'!$B$5:$B$304,$B31))</f>
        <v/>
      </c>
      <c r="AF31" s="28" t="str">
        <f>IF($A31="","",SUMIFS('CHẶNG TĂNG CA'!$H$5:$H$304,'CHẶNG TĂNG CA'!$A$5:$A$304,$A31,'CHẶNG TĂNG CA'!$B$5:$B$304,$B31))</f>
        <v/>
      </c>
      <c r="AG31" s="28" t="str">
        <f t="shared" si="7"/>
        <v/>
      </c>
      <c r="AH31" s="16" t="str">
        <f>IF($A31="","",IF(COUNTIFS('LỆNH ĐIỀU XE'!$B$5:$B$604,$A31,'LỆNH ĐIỀU XE'!$C$5:$C$604,$B31,'LỆNH ĐIỀU XE'!$N$5:$N$604,"Có")&gt;0,"Có","Không"))</f>
        <v/>
      </c>
      <c r="AI31" s="16" t="str">
        <f>IF(OR($A31="",H31="",N(T31)=0),"",IF(_xlfn.MAXIFS('LỆNH ĐIỀU XE'!$U$5:$U$604,'LỆNH ĐIỀU XE'!$B$5:$B$604,$A31,'LỆNH ĐIỀU XE'!$C$5:$C$604,$B31)=0,"",ROUND((H31+(H31&lt;4/24)-_xlfn.MAXIFS('LỆNH ĐIỀU XE'!$U$5:$U$604,'LỆNH ĐIỀU XE'!$B$5:$B$604,$A31,'LỆNH ĐIỀU XE'!$C$5:$C$604,$B31))*1440,0)))</f>
        <v/>
      </c>
      <c r="AJ31" s="16" t="str">
        <f>IF($A31="","",IF(OR(AI31="",V31=""),"Thiếu dữ liệu",IF(AND(AI31&lt;='THAM SỐ'!$B$29,ABS(V31)&lt;='THAM SỐ'!$B$28),"Đạt","Không đạt")))</f>
        <v/>
      </c>
      <c r="AK31" s="16" t="str">
        <f t="shared" si="8"/>
        <v/>
      </c>
      <c r="AL31" s="16" t="str">
        <f>IF($A31="","",TRIM(IF(T31=0,"Không có lệnh; ","")&amp;IF(N(N31)&gt;0,"Dừng ngoài lệnh; ","")&amp;IF(N(J31)&gt;0,"Quá tốc độ; ","")&amp;IF(N(K31)&gt;0,"Lái quá 4h; ","")&amp;IF(N(L31)&gt;0,"Không tắt máy; ","")&amp;IF(OR(P31&lt;&gt;"Đủ",Q31&lt;&gt;"Đủ",R31&lt;&gt;"Đủ"),"Thiếu ảnh; ","")&amp;IF(S31&lt;&gt;"Đạt","Lốp chưa đạt; ","")&amp;IF(N(W31)&gt;'THAM SỐ'!$B$27,"Có mặt quá giờ; ","")&amp;IF(N(X31)&gt;'THAM SỐ'!$B$25,"Lái quá giờ ngày; ","")&amp;IF(ISNUMBER(V31),IF(ABS(V31)&gt;'THAM SỐ'!$B$28,"Lệch km; ",""),"")))</f>
        <v/>
      </c>
      <c r="AM31" s="29"/>
      <c r="AN31" s="30"/>
      <c r="AO31" s="28" t="str">
        <f t="shared" si="9"/>
        <v/>
      </c>
      <c r="AP31" s="21" t="str">
        <f>IF(OR($A31="",AO31=""),"",IF(AG31=0,0,ROUND((AC31*'THAM SỐ'!$B$18+AD31*'THAM SỐ'!$B$19+AE31*'THAM SỐ'!$B$20+AF31*'THAM SỐ'!$B$21)*MIN(1,AO31/AG31),0)))</f>
        <v/>
      </c>
      <c r="AQ31" s="18"/>
    </row>
    <row r="32" spans="1:43" x14ac:dyDescent="0.45">
      <c r="A32" s="17"/>
      <c r="B32" s="18"/>
      <c r="C32" s="18"/>
      <c r="D32" s="25"/>
      <c r="E32" s="26"/>
      <c r="F32" s="26"/>
      <c r="G32" s="20"/>
      <c r="H32" s="20"/>
      <c r="I32" s="18"/>
      <c r="J32" s="18"/>
      <c r="K32" s="18"/>
      <c r="L32" s="18"/>
      <c r="M32" s="18"/>
      <c r="N32" s="18"/>
      <c r="O32" s="18"/>
      <c r="P32" s="18"/>
      <c r="Q32" s="18"/>
      <c r="R32" s="18"/>
      <c r="S32" s="18"/>
      <c r="T32" s="16" t="str">
        <f>IF($A32="","",COUNTIFS('LỆNH ĐIỀU XE'!$B$5:$B$604,$A32,'LỆNH ĐIỀU XE'!$C$5:$C$604,$B32))</f>
        <v/>
      </c>
      <c r="U32" s="27" t="str">
        <f>IF($A32="","",SUMIFS('LỆNH ĐIỀU XE'!$J$5:$J$604,'LỆNH ĐIỀU XE'!$B$5:$B$604,$A32,'LỆNH ĐIỀU XE'!$C$5:$C$604,$B32))</f>
        <v/>
      </c>
      <c r="V32" s="22" t="str">
        <f t="shared" si="0"/>
        <v/>
      </c>
      <c r="W32" s="28" t="str">
        <f t="shared" si="1"/>
        <v/>
      </c>
      <c r="X32" s="28" t="str">
        <f t="shared" si="2"/>
        <v/>
      </c>
      <c r="Y32" s="28" t="str">
        <f t="shared" si="3"/>
        <v/>
      </c>
      <c r="Z32" s="22" t="str">
        <f t="shared" si="4"/>
        <v/>
      </c>
      <c r="AA32" s="28" t="str">
        <f t="shared" si="5"/>
        <v/>
      </c>
      <c r="AB32" s="28" t="str">
        <f t="shared" si="6"/>
        <v/>
      </c>
      <c r="AC32" s="28" t="str">
        <f>IF($A32="","",SUMIFS('CHẶNG TĂNG CA'!$E$5:$E$304,'CHẶNG TĂNG CA'!$A$5:$A$304,$A32,'CHẶNG TĂNG CA'!$B$5:$B$304,$B32))</f>
        <v/>
      </c>
      <c r="AD32" s="28" t="str">
        <f>IF($A32="","",SUMIFS('CHẶNG TĂNG CA'!$F$5:$F$304,'CHẶNG TĂNG CA'!$A$5:$A$304,$A32,'CHẶNG TĂNG CA'!$B$5:$B$304,$B32))</f>
        <v/>
      </c>
      <c r="AE32" s="28" t="str">
        <f>IF($A32="","",SUMIFS('CHẶNG TĂNG CA'!$G$5:$G$304,'CHẶNG TĂNG CA'!$A$5:$A$304,$A32,'CHẶNG TĂNG CA'!$B$5:$B$304,$B32))</f>
        <v/>
      </c>
      <c r="AF32" s="28" t="str">
        <f>IF($A32="","",SUMIFS('CHẶNG TĂNG CA'!$H$5:$H$304,'CHẶNG TĂNG CA'!$A$5:$A$304,$A32,'CHẶNG TĂNG CA'!$B$5:$B$304,$B32))</f>
        <v/>
      </c>
      <c r="AG32" s="28" t="str">
        <f t="shared" si="7"/>
        <v/>
      </c>
      <c r="AH32" s="16" t="str">
        <f>IF($A32="","",IF(COUNTIFS('LỆNH ĐIỀU XE'!$B$5:$B$604,$A32,'LỆNH ĐIỀU XE'!$C$5:$C$604,$B32,'LỆNH ĐIỀU XE'!$N$5:$N$604,"Có")&gt;0,"Có","Không"))</f>
        <v/>
      </c>
      <c r="AI32" s="16" t="str">
        <f>IF(OR($A32="",H32="",N(T32)=0),"",IF(_xlfn.MAXIFS('LỆNH ĐIỀU XE'!$U$5:$U$604,'LỆNH ĐIỀU XE'!$B$5:$B$604,$A32,'LỆNH ĐIỀU XE'!$C$5:$C$604,$B32)=0,"",ROUND((H32+(H32&lt;4/24)-_xlfn.MAXIFS('LỆNH ĐIỀU XE'!$U$5:$U$604,'LỆNH ĐIỀU XE'!$B$5:$B$604,$A32,'LỆNH ĐIỀU XE'!$C$5:$C$604,$B32))*1440,0)))</f>
        <v/>
      </c>
      <c r="AJ32" s="16" t="str">
        <f>IF($A32="","",IF(OR(AI32="",V32=""),"Thiếu dữ liệu",IF(AND(AI32&lt;='THAM SỐ'!$B$29,ABS(V32)&lt;='THAM SỐ'!$B$28),"Đạt","Không đạt")))</f>
        <v/>
      </c>
      <c r="AK32" s="16" t="str">
        <f t="shared" si="8"/>
        <v/>
      </c>
      <c r="AL32" s="16" t="str">
        <f>IF($A32="","",TRIM(IF(T32=0,"Không có lệnh; ","")&amp;IF(N(N32)&gt;0,"Dừng ngoài lệnh; ","")&amp;IF(N(J32)&gt;0,"Quá tốc độ; ","")&amp;IF(N(K32)&gt;0,"Lái quá 4h; ","")&amp;IF(N(L32)&gt;0,"Không tắt máy; ","")&amp;IF(OR(P32&lt;&gt;"Đủ",Q32&lt;&gt;"Đủ",R32&lt;&gt;"Đủ"),"Thiếu ảnh; ","")&amp;IF(S32&lt;&gt;"Đạt","Lốp chưa đạt; ","")&amp;IF(N(W32)&gt;'THAM SỐ'!$B$27,"Có mặt quá giờ; ","")&amp;IF(N(X32)&gt;'THAM SỐ'!$B$25,"Lái quá giờ ngày; ","")&amp;IF(ISNUMBER(V32),IF(ABS(V32)&gt;'THAM SỐ'!$B$28,"Lệch km; ",""),"")))</f>
        <v/>
      </c>
      <c r="AM32" s="29"/>
      <c r="AN32" s="30"/>
      <c r="AO32" s="28" t="str">
        <f t="shared" si="9"/>
        <v/>
      </c>
      <c r="AP32" s="21" t="str">
        <f>IF(OR($A32="",AO32=""),"",IF(AG32=0,0,ROUND((AC32*'THAM SỐ'!$B$18+AD32*'THAM SỐ'!$B$19+AE32*'THAM SỐ'!$B$20+AF32*'THAM SỐ'!$B$21)*MIN(1,AO32/AG32),0)))</f>
        <v/>
      </c>
      <c r="AQ32" s="18"/>
    </row>
    <row r="33" spans="1:43" x14ac:dyDescent="0.45">
      <c r="A33" s="17"/>
      <c r="B33" s="18"/>
      <c r="C33" s="18"/>
      <c r="D33" s="25"/>
      <c r="E33" s="26"/>
      <c r="F33" s="26"/>
      <c r="G33" s="20"/>
      <c r="H33" s="20"/>
      <c r="I33" s="18"/>
      <c r="J33" s="18"/>
      <c r="K33" s="18"/>
      <c r="L33" s="18"/>
      <c r="M33" s="18"/>
      <c r="N33" s="18"/>
      <c r="O33" s="18"/>
      <c r="P33" s="18"/>
      <c r="Q33" s="18"/>
      <c r="R33" s="18"/>
      <c r="S33" s="18"/>
      <c r="T33" s="16" t="str">
        <f>IF($A33="","",COUNTIFS('LỆNH ĐIỀU XE'!$B$5:$B$604,$A33,'LỆNH ĐIỀU XE'!$C$5:$C$604,$B33))</f>
        <v/>
      </c>
      <c r="U33" s="27" t="str">
        <f>IF($A33="","",SUMIFS('LỆNH ĐIỀU XE'!$J$5:$J$604,'LỆNH ĐIỀU XE'!$B$5:$B$604,$A33,'LỆNH ĐIỀU XE'!$C$5:$C$604,$B33))</f>
        <v/>
      </c>
      <c r="V33" s="22" t="str">
        <f t="shared" si="0"/>
        <v/>
      </c>
      <c r="W33" s="28" t="str">
        <f t="shared" si="1"/>
        <v/>
      </c>
      <c r="X33" s="28" t="str">
        <f t="shared" si="2"/>
        <v/>
      </c>
      <c r="Y33" s="28" t="str">
        <f t="shared" si="3"/>
        <v/>
      </c>
      <c r="Z33" s="22" t="str">
        <f t="shared" si="4"/>
        <v/>
      </c>
      <c r="AA33" s="28" t="str">
        <f t="shared" si="5"/>
        <v/>
      </c>
      <c r="AB33" s="28" t="str">
        <f t="shared" si="6"/>
        <v/>
      </c>
      <c r="AC33" s="28" t="str">
        <f>IF($A33="","",SUMIFS('CHẶNG TĂNG CA'!$E$5:$E$304,'CHẶNG TĂNG CA'!$A$5:$A$304,$A33,'CHẶNG TĂNG CA'!$B$5:$B$304,$B33))</f>
        <v/>
      </c>
      <c r="AD33" s="28" t="str">
        <f>IF($A33="","",SUMIFS('CHẶNG TĂNG CA'!$F$5:$F$304,'CHẶNG TĂNG CA'!$A$5:$A$304,$A33,'CHẶNG TĂNG CA'!$B$5:$B$304,$B33))</f>
        <v/>
      </c>
      <c r="AE33" s="28" t="str">
        <f>IF($A33="","",SUMIFS('CHẶNG TĂNG CA'!$G$5:$G$304,'CHẶNG TĂNG CA'!$A$5:$A$304,$A33,'CHẶNG TĂNG CA'!$B$5:$B$304,$B33))</f>
        <v/>
      </c>
      <c r="AF33" s="28" t="str">
        <f>IF($A33="","",SUMIFS('CHẶNG TĂNG CA'!$H$5:$H$304,'CHẶNG TĂNG CA'!$A$5:$A$304,$A33,'CHẶNG TĂNG CA'!$B$5:$B$304,$B33))</f>
        <v/>
      </c>
      <c r="AG33" s="28" t="str">
        <f t="shared" si="7"/>
        <v/>
      </c>
      <c r="AH33" s="16" t="str">
        <f>IF($A33="","",IF(COUNTIFS('LỆNH ĐIỀU XE'!$B$5:$B$604,$A33,'LỆNH ĐIỀU XE'!$C$5:$C$604,$B33,'LỆNH ĐIỀU XE'!$N$5:$N$604,"Có")&gt;0,"Có","Không"))</f>
        <v/>
      </c>
      <c r="AI33" s="16" t="str">
        <f>IF(OR($A33="",H33="",N(T33)=0),"",IF(_xlfn.MAXIFS('LỆNH ĐIỀU XE'!$U$5:$U$604,'LỆNH ĐIỀU XE'!$B$5:$B$604,$A33,'LỆNH ĐIỀU XE'!$C$5:$C$604,$B33)=0,"",ROUND((H33+(H33&lt;4/24)-_xlfn.MAXIFS('LỆNH ĐIỀU XE'!$U$5:$U$604,'LỆNH ĐIỀU XE'!$B$5:$B$604,$A33,'LỆNH ĐIỀU XE'!$C$5:$C$604,$B33))*1440,0)))</f>
        <v/>
      </c>
      <c r="AJ33" s="16" t="str">
        <f>IF($A33="","",IF(OR(AI33="",V33=""),"Thiếu dữ liệu",IF(AND(AI33&lt;='THAM SỐ'!$B$29,ABS(V33)&lt;='THAM SỐ'!$B$28),"Đạt","Không đạt")))</f>
        <v/>
      </c>
      <c r="AK33" s="16" t="str">
        <f t="shared" si="8"/>
        <v/>
      </c>
      <c r="AL33" s="16" t="str">
        <f>IF($A33="","",TRIM(IF(T33=0,"Không có lệnh; ","")&amp;IF(N(N33)&gt;0,"Dừng ngoài lệnh; ","")&amp;IF(N(J33)&gt;0,"Quá tốc độ; ","")&amp;IF(N(K33)&gt;0,"Lái quá 4h; ","")&amp;IF(N(L33)&gt;0,"Không tắt máy; ","")&amp;IF(OR(P33&lt;&gt;"Đủ",Q33&lt;&gt;"Đủ",R33&lt;&gt;"Đủ"),"Thiếu ảnh; ","")&amp;IF(S33&lt;&gt;"Đạt","Lốp chưa đạt; ","")&amp;IF(N(W33)&gt;'THAM SỐ'!$B$27,"Có mặt quá giờ; ","")&amp;IF(N(X33)&gt;'THAM SỐ'!$B$25,"Lái quá giờ ngày; ","")&amp;IF(ISNUMBER(V33),IF(ABS(V33)&gt;'THAM SỐ'!$B$28,"Lệch km; ",""),"")))</f>
        <v/>
      </c>
      <c r="AM33" s="29"/>
      <c r="AN33" s="30"/>
      <c r="AO33" s="28" t="str">
        <f t="shared" si="9"/>
        <v/>
      </c>
      <c r="AP33" s="21" t="str">
        <f>IF(OR($A33="",AO33=""),"",IF(AG33=0,0,ROUND((AC33*'THAM SỐ'!$B$18+AD33*'THAM SỐ'!$B$19+AE33*'THAM SỐ'!$B$20+AF33*'THAM SỐ'!$B$21)*MIN(1,AO33/AG33),0)))</f>
        <v/>
      </c>
      <c r="AQ33" s="18"/>
    </row>
    <row r="34" spans="1:43" x14ac:dyDescent="0.45">
      <c r="A34" s="17"/>
      <c r="B34" s="18"/>
      <c r="C34" s="18"/>
      <c r="D34" s="25"/>
      <c r="E34" s="26"/>
      <c r="F34" s="26"/>
      <c r="G34" s="20"/>
      <c r="H34" s="20"/>
      <c r="I34" s="18"/>
      <c r="J34" s="18"/>
      <c r="K34" s="18"/>
      <c r="L34" s="18"/>
      <c r="M34" s="18"/>
      <c r="N34" s="18"/>
      <c r="O34" s="18"/>
      <c r="P34" s="18"/>
      <c r="Q34" s="18"/>
      <c r="R34" s="18"/>
      <c r="S34" s="18"/>
      <c r="T34" s="16" t="str">
        <f>IF($A34="","",COUNTIFS('LỆNH ĐIỀU XE'!$B$5:$B$604,$A34,'LỆNH ĐIỀU XE'!$C$5:$C$604,$B34))</f>
        <v/>
      </c>
      <c r="U34" s="27" t="str">
        <f>IF($A34="","",SUMIFS('LỆNH ĐIỀU XE'!$J$5:$J$604,'LỆNH ĐIỀU XE'!$B$5:$B$604,$A34,'LỆNH ĐIỀU XE'!$C$5:$C$604,$B34))</f>
        <v/>
      </c>
      <c r="V34" s="22" t="str">
        <f t="shared" si="0"/>
        <v/>
      </c>
      <c r="W34" s="28" t="str">
        <f t="shared" si="1"/>
        <v/>
      </c>
      <c r="X34" s="28" t="str">
        <f t="shared" si="2"/>
        <v/>
      </c>
      <c r="Y34" s="28" t="str">
        <f t="shared" si="3"/>
        <v/>
      </c>
      <c r="Z34" s="22" t="str">
        <f t="shared" si="4"/>
        <v/>
      </c>
      <c r="AA34" s="28" t="str">
        <f t="shared" si="5"/>
        <v/>
      </c>
      <c r="AB34" s="28" t="str">
        <f t="shared" si="6"/>
        <v/>
      </c>
      <c r="AC34" s="28" t="str">
        <f>IF($A34="","",SUMIFS('CHẶNG TĂNG CA'!$E$5:$E$304,'CHẶNG TĂNG CA'!$A$5:$A$304,$A34,'CHẶNG TĂNG CA'!$B$5:$B$304,$B34))</f>
        <v/>
      </c>
      <c r="AD34" s="28" t="str">
        <f>IF($A34="","",SUMIFS('CHẶNG TĂNG CA'!$F$5:$F$304,'CHẶNG TĂNG CA'!$A$5:$A$304,$A34,'CHẶNG TĂNG CA'!$B$5:$B$304,$B34))</f>
        <v/>
      </c>
      <c r="AE34" s="28" t="str">
        <f>IF($A34="","",SUMIFS('CHẶNG TĂNG CA'!$G$5:$G$304,'CHẶNG TĂNG CA'!$A$5:$A$304,$A34,'CHẶNG TĂNG CA'!$B$5:$B$304,$B34))</f>
        <v/>
      </c>
      <c r="AF34" s="28" t="str">
        <f>IF($A34="","",SUMIFS('CHẶNG TĂNG CA'!$H$5:$H$304,'CHẶNG TĂNG CA'!$A$5:$A$304,$A34,'CHẶNG TĂNG CA'!$B$5:$B$304,$B34))</f>
        <v/>
      </c>
      <c r="AG34" s="28" t="str">
        <f t="shared" si="7"/>
        <v/>
      </c>
      <c r="AH34" s="16" t="str">
        <f>IF($A34="","",IF(COUNTIFS('LỆNH ĐIỀU XE'!$B$5:$B$604,$A34,'LỆNH ĐIỀU XE'!$C$5:$C$604,$B34,'LỆNH ĐIỀU XE'!$N$5:$N$604,"Có")&gt;0,"Có","Không"))</f>
        <v/>
      </c>
      <c r="AI34" s="16" t="str">
        <f>IF(OR($A34="",H34="",N(T34)=0),"",IF(_xlfn.MAXIFS('LỆNH ĐIỀU XE'!$U$5:$U$604,'LỆNH ĐIỀU XE'!$B$5:$B$604,$A34,'LỆNH ĐIỀU XE'!$C$5:$C$604,$B34)=0,"",ROUND((H34+(H34&lt;4/24)-_xlfn.MAXIFS('LỆNH ĐIỀU XE'!$U$5:$U$604,'LỆNH ĐIỀU XE'!$B$5:$B$604,$A34,'LỆNH ĐIỀU XE'!$C$5:$C$604,$B34))*1440,0)))</f>
        <v/>
      </c>
      <c r="AJ34" s="16" t="str">
        <f>IF($A34="","",IF(OR(AI34="",V34=""),"Thiếu dữ liệu",IF(AND(AI34&lt;='THAM SỐ'!$B$29,ABS(V34)&lt;='THAM SỐ'!$B$28),"Đạt","Không đạt")))</f>
        <v/>
      </c>
      <c r="AK34" s="16" t="str">
        <f t="shared" si="8"/>
        <v/>
      </c>
      <c r="AL34" s="16" t="str">
        <f>IF($A34="","",TRIM(IF(T34=0,"Không có lệnh; ","")&amp;IF(N(N34)&gt;0,"Dừng ngoài lệnh; ","")&amp;IF(N(J34)&gt;0,"Quá tốc độ; ","")&amp;IF(N(K34)&gt;0,"Lái quá 4h; ","")&amp;IF(N(L34)&gt;0,"Không tắt máy; ","")&amp;IF(OR(P34&lt;&gt;"Đủ",Q34&lt;&gt;"Đủ",R34&lt;&gt;"Đủ"),"Thiếu ảnh; ","")&amp;IF(S34&lt;&gt;"Đạt","Lốp chưa đạt; ","")&amp;IF(N(W34)&gt;'THAM SỐ'!$B$27,"Có mặt quá giờ; ","")&amp;IF(N(X34)&gt;'THAM SỐ'!$B$25,"Lái quá giờ ngày; ","")&amp;IF(ISNUMBER(V34),IF(ABS(V34)&gt;'THAM SỐ'!$B$28,"Lệch km; ",""),"")))</f>
        <v/>
      </c>
      <c r="AM34" s="29"/>
      <c r="AN34" s="30"/>
      <c r="AO34" s="28" t="str">
        <f t="shared" si="9"/>
        <v/>
      </c>
      <c r="AP34" s="21" t="str">
        <f>IF(OR($A34="",AO34=""),"",IF(AG34=0,0,ROUND((AC34*'THAM SỐ'!$B$18+AD34*'THAM SỐ'!$B$19+AE34*'THAM SỐ'!$B$20+AF34*'THAM SỐ'!$B$21)*MIN(1,AO34/AG34),0)))</f>
        <v/>
      </c>
      <c r="AQ34" s="18"/>
    </row>
    <row r="35" spans="1:43" x14ac:dyDescent="0.45">
      <c r="A35" s="17"/>
      <c r="B35" s="18"/>
      <c r="C35" s="18"/>
      <c r="D35" s="25"/>
      <c r="E35" s="26"/>
      <c r="F35" s="26"/>
      <c r="G35" s="20"/>
      <c r="H35" s="20"/>
      <c r="I35" s="18"/>
      <c r="J35" s="18"/>
      <c r="K35" s="18"/>
      <c r="L35" s="18"/>
      <c r="M35" s="18"/>
      <c r="N35" s="18"/>
      <c r="O35" s="18"/>
      <c r="P35" s="18"/>
      <c r="Q35" s="18"/>
      <c r="R35" s="18"/>
      <c r="S35" s="18"/>
      <c r="T35" s="16" t="str">
        <f>IF($A35="","",COUNTIFS('LỆNH ĐIỀU XE'!$B$5:$B$604,$A35,'LỆNH ĐIỀU XE'!$C$5:$C$604,$B35))</f>
        <v/>
      </c>
      <c r="U35" s="27" t="str">
        <f>IF($A35="","",SUMIFS('LỆNH ĐIỀU XE'!$J$5:$J$604,'LỆNH ĐIỀU XE'!$B$5:$B$604,$A35,'LỆNH ĐIỀU XE'!$C$5:$C$604,$B35))</f>
        <v/>
      </c>
      <c r="V35" s="22" t="str">
        <f t="shared" si="0"/>
        <v/>
      </c>
      <c r="W35" s="28" t="str">
        <f t="shared" si="1"/>
        <v/>
      </c>
      <c r="X35" s="28" t="str">
        <f t="shared" si="2"/>
        <v/>
      </c>
      <c r="Y35" s="28" t="str">
        <f t="shared" si="3"/>
        <v/>
      </c>
      <c r="Z35" s="22" t="str">
        <f t="shared" si="4"/>
        <v/>
      </c>
      <c r="AA35" s="28" t="str">
        <f t="shared" si="5"/>
        <v/>
      </c>
      <c r="AB35" s="28" t="str">
        <f t="shared" si="6"/>
        <v/>
      </c>
      <c r="AC35" s="28" t="str">
        <f>IF($A35="","",SUMIFS('CHẶNG TĂNG CA'!$E$5:$E$304,'CHẶNG TĂNG CA'!$A$5:$A$304,$A35,'CHẶNG TĂNG CA'!$B$5:$B$304,$B35))</f>
        <v/>
      </c>
      <c r="AD35" s="28" t="str">
        <f>IF($A35="","",SUMIFS('CHẶNG TĂNG CA'!$F$5:$F$304,'CHẶNG TĂNG CA'!$A$5:$A$304,$A35,'CHẶNG TĂNG CA'!$B$5:$B$304,$B35))</f>
        <v/>
      </c>
      <c r="AE35" s="28" t="str">
        <f>IF($A35="","",SUMIFS('CHẶNG TĂNG CA'!$G$5:$G$304,'CHẶNG TĂNG CA'!$A$5:$A$304,$A35,'CHẶNG TĂNG CA'!$B$5:$B$304,$B35))</f>
        <v/>
      </c>
      <c r="AF35" s="28" t="str">
        <f>IF($A35="","",SUMIFS('CHẶNG TĂNG CA'!$H$5:$H$304,'CHẶNG TĂNG CA'!$A$5:$A$304,$A35,'CHẶNG TĂNG CA'!$B$5:$B$304,$B35))</f>
        <v/>
      </c>
      <c r="AG35" s="28" t="str">
        <f t="shared" si="7"/>
        <v/>
      </c>
      <c r="AH35" s="16" t="str">
        <f>IF($A35="","",IF(COUNTIFS('LỆNH ĐIỀU XE'!$B$5:$B$604,$A35,'LỆNH ĐIỀU XE'!$C$5:$C$604,$B35,'LỆNH ĐIỀU XE'!$N$5:$N$604,"Có")&gt;0,"Có","Không"))</f>
        <v/>
      </c>
      <c r="AI35" s="16" t="str">
        <f>IF(OR($A35="",H35="",N(T35)=0),"",IF(_xlfn.MAXIFS('LỆNH ĐIỀU XE'!$U$5:$U$604,'LỆNH ĐIỀU XE'!$B$5:$B$604,$A35,'LỆNH ĐIỀU XE'!$C$5:$C$604,$B35)=0,"",ROUND((H35+(H35&lt;4/24)-_xlfn.MAXIFS('LỆNH ĐIỀU XE'!$U$5:$U$604,'LỆNH ĐIỀU XE'!$B$5:$B$604,$A35,'LỆNH ĐIỀU XE'!$C$5:$C$604,$B35))*1440,0)))</f>
        <v/>
      </c>
      <c r="AJ35" s="16" t="str">
        <f>IF($A35="","",IF(OR(AI35="",V35=""),"Thiếu dữ liệu",IF(AND(AI35&lt;='THAM SỐ'!$B$29,ABS(V35)&lt;='THAM SỐ'!$B$28),"Đạt","Không đạt")))</f>
        <v/>
      </c>
      <c r="AK35" s="16" t="str">
        <f t="shared" si="8"/>
        <v/>
      </c>
      <c r="AL35" s="16" t="str">
        <f>IF($A35="","",TRIM(IF(T35=0,"Không có lệnh; ","")&amp;IF(N(N35)&gt;0,"Dừng ngoài lệnh; ","")&amp;IF(N(J35)&gt;0,"Quá tốc độ; ","")&amp;IF(N(K35)&gt;0,"Lái quá 4h; ","")&amp;IF(N(L35)&gt;0,"Không tắt máy; ","")&amp;IF(OR(P35&lt;&gt;"Đủ",Q35&lt;&gt;"Đủ",R35&lt;&gt;"Đủ"),"Thiếu ảnh; ","")&amp;IF(S35&lt;&gt;"Đạt","Lốp chưa đạt; ","")&amp;IF(N(W35)&gt;'THAM SỐ'!$B$27,"Có mặt quá giờ; ","")&amp;IF(N(X35)&gt;'THAM SỐ'!$B$25,"Lái quá giờ ngày; ","")&amp;IF(ISNUMBER(V35),IF(ABS(V35)&gt;'THAM SỐ'!$B$28,"Lệch km; ",""),"")))</f>
        <v/>
      </c>
      <c r="AM35" s="29"/>
      <c r="AN35" s="30"/>
      <c r="AO35" s="28" t="str">
        <f t="shared" si="9"/>
        <v/>
      </c>
      <c r="AP35" s="21" t="str">
        <f>IF(OR($A35="",AO35=""),"",IF(AG35=0,0,ROUND((AC35*'THAM SỐ'!$B$18+AD35*'THAM SỐ'!$B$19+AE35*'THAM SỐ'!$B$20+AF35*'THAM SỐ'!$B$21)*MIN(1,AO35/AG35),0)))</f>
        <v/>
      </c>
      <c r="AQ35" s="18"/>
    </row>
    <row r="36" spans="1:43" x14ac:dyDescent="0.45">
      <c r="A36" s="17"/>
      <c r="B36" s="18"/>
      <c r="C36" s="18"/>
      <c r="D36" s="25"/>
      <c r="E36" s="26"/>
      <c r="F36" s="26"/>
      <c r="G36" s="20"/>
      <c r="H36" s="20"/>
      <c r="I36" s="18"/>
      <c r="J36" s="18"/>
      <c r="K36" s="18"/>
      <c r="L36" s="18"/>
      <c r="M36" s="18"/>
      <c r="N36" s="18"/>
      <c r="O36" s="18"/>
      <c r="P36" s="18"/>
      <c r="Q36" s="18"/>
      <c r="R36" s="18"/>
      <c r="S36" s="18"/>
      <c r="T36" s="16" t="str">
        <f>IF($A36="","",COUNTIFS('LỆNH ĐIỀU XE'!$B$5:$B$604,$A36,'LỆNH ĐIỀU XE'!$C$5:$C$604,$B36))</f>
        <v/>
      </c>
      <c r="U36" s="27" t="str">
        <f>IF($A36="","",SUMIFS('LỆNH ĐIỀU XE'!$J$5:$J$604,'LỆNH ĐIỀU XE'!$B$5:$B$604,$A36,'LỆNH ĐIỀU XE'!$C$5:$C$604,$B36))</f>
        <v/>
      </c>
      <c r="V36" s="22" t="str">
        <f t="shared" si="0"/>
        <v/>
      </c>
      <c r="W36" s="28" t="str">
        <f t="shared" si="1"/>
        <v/>
      </c>
      <c r="X36" s="28" t="str">
        <f t="shared" si="2"/>
        <v/>
      </c>
      <c r="Y36" s="28" t="str">
        <f t="shared" si="3"/>
        <v/>
      </c>
      <c r="Z36" s="22" t="str">
        <f t="shared" si="4"/>
        <v/>
      </c>
      <c r="AA36" s="28" t="str">
        <f t="shared" si="5"/>
        <v/>
      </c>
      <c r="AB36" s="28" t="str">
        <f t="shared" si="6"/>
        <v/>
      </c>
      <c r="AC36" s="28" t="str">
        <f>IF($A36="","",SUMIFS('CHẶNG TĂNG CA'!$E$5:$E$304,'CHẶNG TĂNG CA'!$A$5:$A$304,$A36,'CHẶNG TĂNG CA'!$B$5:$B$304,$B36))</f>
        <v/>
      </c>
      <c r="AD36" s="28" t="str">
        <f>IF($A36="","",SUMIFS('CHẶNG TĂNG CA'!$F$5:$F$304,'CHẶNG TĂNG CA'!$A$5:$A$304,$A36,'CHẶNG TĂNG CA'!$B$5:$B$304,$B36))</f>
        <v/>
      </c>
      <c r="AE36" s="28" t="str">
        <f>IF($A36="","",SUMIFS('CHẶNG TĂNG CA'!$G$5:$G$304,'CHẶNG TĂNG CA'!$A$5:$A$304,$A36,'CHẶNG TĂNG CA'!$B$5:$B$304,$B36))</f>
        <v/>
      </c>
      <c r="AF36" s="28" t="str">
        <f>IF($A36="","",SUMIFS('CHẶNG TĂNG CA'!$H$5:$H$304,'CHẶNG TĂNG CA'!$A$5:$A$304,$A36,'CHẶNG TĂNG CA'!$B$5:$B$304,$B36))</f>
        <v/>
      </c>
      <c r="AG36" s="28" t="str">
        <f t="shared" si="7"/>
        <v/>
      </c>
      <c r="AH36" s="16" t="str">
        <f>IF($A36="","",IF(COUNTIFS('LỆNH ĐIỀU XE'!$B$5:$B$604,$A36,'LỆNH ĐIỀU XE'!$C$5:$C$604,$B36,'LỆNH ĐIỀU XE'!$N$5:$N$604,"Có")&gt;0,"Có","Không"))</f>
        <v/>
      </c>
      <c r="AI36" s="16" t="str">
        <f>IF(OR($A36="",H36="",N(T36)=0),"",IF(_xlfn.MAXIFS('LỆNH ĐIỀU XE'!$U$5:$U$604,'LỆNH ĐIỀU XE'!$B$5:$B$604,$A36,'LỆNH ĐIỀU XE'!$C$5:$C$604,$B36)=0,"",ROUND((H36+(H36&lt;4/24)-_xlfn.MAXIFS('LỆNH ĐIỀU XE'!$U$5:$U$604,'LỆNH ĐIỀU XE'!$B$5:$B$604,$A36,'LỆNH ĐIỀU XE'!$C$5:$C$604,$B36))*1440,0)))</f>
        <v/>
      </c>
      <c r="AJ36" s="16" t="str">
        <f>IF($A36="","",IF(OR(AI36="",V36=""),"Thiếu dữ liệu",IF(AND(AI36&lt;='THAM SỐ'!$B$29,ABS(V36)&lt;='THAM SỐ'!$B$28),"Đạt","Không đạt")))</f>
        <v/>
      </c>
      <c r="AK36" s="16" t="str">
        <f t="shared" si="8"/>
        <v/>
      </c>
      <c r="AL36" s="16" t="str">
        <f>IF($A36="","",TRIM(IF(T36=0,"Không có lệnh; ","")&amp;IF(N(N36)&gt;0,"Dừng ngoài lệnh; ","")&amp;IF(N(J36)&gt;0,"Quá tốc độ; ","")&amp;IF(N(K36)&gt;0,"Lái quá 4h; ","")&amp;IF(N(L36)&gt;0,"Không tắt máy; ","")&amp;IF(OR(P36&lt;&gt;"Đủ",Q36&lt;&gt;"Đủ",R36&lt;&gt;"Đủ"),"Thiếu ảnh; ","")&amp;IF(S36&lt;&gt;"Đạt","Lốp chưa đạt; ","")&amp;IF(N(W36)&gt;'THAM SỐ'!$B$27,"Có mặt quá giờ; ","")&amp;IF(N(X36)&gt;'THAM SỐ'!$B$25,"Lái quá giờ ngày; ","")&amp;IF(ISNUMBER(V36),IF(ABS(V36)&gt;'THAM SỐ'!$B$28,"Lệch km; ",""),"")))</f>
        <v/>
      </c>
      <c r="AM36" s="29"/>
      <c r="AN36" s="30"/>
      <c r="AO36" s="28" t="str">
        <f t="shared" si="9"/>
        <v/>
      </c>
      <c r="AP36" s="21" t="str">
        <f>IF(OR($A36="",AO36=""),"",IF(AG36=0,0,ROUND((AC36*'THAM SỐ'!$B$18+AD36*'THAM SỐ'!$B$19+AE36*'THAM SỐ'!$B$20+AF36*'THAM SỐ'!$B$21)*MIN(1,AO36/AG36),0)))</f>
        <v/>
      </c>
      <c r="AQ36" s="18"/>
    </row>
    <row r="37" spans="1:43" x14ac:dyDescent="0.45">
      <c r="A37" s="17"/>
      <c r="B37" s="18"/>
      <c r="C37" s="18"/>
      <c r="D37" s="25"/>
      <c r="E37" s="26"/>
      <c r="F37" s="26"/>
      <c r="G37" s="20"/>
      <c r="H37" s="20"/>
      <c r="I37" s="18"/>
      <c r="J37" s="18"/>
      <c r="K37" s="18"/>
      <c r="L37" s="18"/>
      <c r="M37" s="18"/>
      <c r="N37" s="18"/>
      <c r="O37" s="18"/>
      <c r="P37" s="18"/>
      <c r="Q37" s="18"/>
      <c r="R37" s="18"/>
      <c r="S37" s="18"/>
      <c r="T37" s="16" t="str">
        <f>IF($A37="","",COUNTIFS('LỆNH ĐIỀU XE'!$B$5:$B$604,$A37,'LỆNH ĐIỀU XE'!$C$5:$C$604,$B37))</f>
        <v/>
      </c>
      <c r="U37" s="27" t="str">
        <f>IF($A37="","",SUMIFS('LỆNH ĐIỀU XE'!$J$5:$J$604,'LỆNH ĐIỀU XE'!$B$5:$B$604,$A37,'LỆNH ĐIỀU XE'!$C$5:$C$604,$B37))</f>
        <v/>
      </c>
      <c r="V37" s="22" t="str">
        <f t="shared" si="0"/>
        <v/>
      </c>
      <c r="W37" s="28" t="str">
        <f t="shared" si="1"/>
        <v/>
      </c>
      <c r="X37" s="28" t="str">
        <f t="shared" si="2"/>
        <v/>
      </c>
      <c r="Y37" s="28" t="str">
        <f t="shared" si="3"/>
        <v/>
      </c>
      <c r="Z37" s="22" t="str">
        <f t="shared" si="4"/>
        <v/>
      </c>
      <c r="AA37" s="28" t="str">
        <f t="shared" si="5"/>
        <v/>
      </c>
      <c r="AB37" s="28" t="str">
        <f t="shared" si="6"/>
        <v/>
      </c>
      <c r="AC37" s="28" t="str">
        <f>IF($A37="","",SUMIFS('CHẶNG TĂNG CA'!$E$5:$E$304,'CHẶNG TĂNG CA'!$A$5:$A$304,$A37,'CHẶNG TĂNG CA'!$B$5:$B$304,$B37))</f>
        <v/>
      </c>
      <c r="AD37" s="28" t="str">
        <f>IF($A37="","",SUMIFS('CHẶNG TĂNG CA'!$F$5:$F$304,'CHẶNG TĂNG CA'!$A$5:$A$304,$A37,'CHẶNG TĂNG CA'!$B$5:$B$304,$B37))</f>
        <v/>
      </c>
      <c r="AE37" s="28" t="str">
        <f>IF($A37="","",SUMIFS('CHẶNG TĂNG CA'!$G$5:$G$304,'CHẶNG TĂNG CA'!$A$5:$A$304,$A37,'CHẶNG TĂNG CA'!$B$5:$B$304,$B37))</f>
        <v/>
      </c>
      <c r="AF37" s="28" t="str">
        <f>IF($A37="","",SUMIFS('CHẶNG TĂNG CA'!$H$5:$H$304,'CHẶNG TĂNG CA'!$A$5:$A$304,$A37,'CHẶNG TĂNG CA'!$B$5:$B$304,$B37))</f>
        <v/>
      </c>
      <c r="AG37" s="28" t="str">
        <f t="shared" si="7"/>
        <v/>
      </c>
      <c r="AH37" s="16" t="str">
        <f>IF($A37="","",IF(COUNTIFS('LỆNH ĐIỀU XE'!$B$5:$B$604,$A37,'LỆNH ĐIỀU XE'!$C$5:$C$604,$B37,'LỆNH ĐIỀU XE'!$N$5:$N$604,"Có")&gt;0,"Có","Không"))</f>
        <v/>
      </c>
      <c r="AI37" s="16" t="str">
        <f>IF(OR($A37="",H37="",N(T37)=0),"",IF(_xlfn.MAXIFS('LỆNH ĐIỀU XE'!$U$5:$U$604,'LỆNH ĐIỀU XE'!$B$5:$B$604,$A37,'LỆNH ĐIỀU XE'!$C$5:$C$604,$B37)=0,"",ROUND((H37+(H37&lt;4/24)-_xlfn.MAXIFS('LỆNH ĐIỀU XE'!$U$5:$U$604,'LỆNH ĐIỀU XE'!$B$5:$B$604,$A37,'LỆNH ĐIỀU XE'!$C$5:$C$604,$B37))*1440,0)))</f>
        <v/>
      </c>
      <c r="AJ37" s="16" t="str">
        <f>IF($A37="","",IF(OR(AI37="",V37=""),"Thiếu dữ liệu",IF(AND(AI37&lt;='THAM SỐ'!$B$29,ABS(V37)&lt;='THAM SỐ'!$B$28),"Đạt","Không đạt")))</f>
        <v/>
      </c>
      <c r="AK37" s="16" t="str">
        <f t="shared" si="8"/>
        <v/>
      </c>
      <c r="AL37" s="16" t="str">
        <f>IF($A37="","",TRIM(IF(T37=0,"Không có lệnh; ","")&amp;IF(N(N37)&gt;0,"Dừng ngoài lệnh; ","")&amp;IF(N(J37)&gt;0,"Quá tốc độ; ","")&amp;IF(N(K37)&gt;0,"Lái quá 4h; ","")&amp;IF(N(L37)&gt;0,"Không tắt máy; ","")&amp;IF(OR(P37&lt;&gt;"Đủ",Q37&lt;&gt;"Đủ",R37&lt;&gt;"Đủ"),"Thiếu ảnh; ","")&amp;IF(S37&lt;&gt;"Đạt","Lốp chưa đạt; ","")&amp;IF(N(W37)&gt;'THAM SỐ'!$B$27,"Có mặt quá giờ; ","")&amp;IF(N(X37)&gt;'THAM SỐ'!$B$25,"Lái quá giờ ngày; ","")&amp;IF(ISNUMBER(V37),IF(ABS(V37)&gt;'THAM SỐ'!$B$28,"Lệch km; ",""),"")))</f>
        <v/>
      </c>
      <c r="AM37" s="29"/>
      <c r="AN37" s="30"/>
      <c r="AO37" s="28" t="str">
        <f t="shared" si="9"/>
        <v/>
      </c>
      <c r="AP37" s="21" t="str">
        <f>IF(OR($A37="",AO37=""),"",IF(AG37=0,0,ROUND((AC37*'THAM SỐ'!$B$18+AD37*'THAM SỐ'!$B$19+AE37*'THAM SỐ'!$B$20+AF37*'THAM SỐ'!$B$21)*MIN(1,AO37/AG37),0)))</f>
        <v/>
      </c>
      <c r="AQ37" s="18"/>
    </row>
    <row r="38" spans="1:43" x14ac:dyDescent="0.45">
      <c r="A38" s="17"/>
      <c r="B38" s="18"/>
      <c r="C38" s="18"/>
      <c r="D38" s="25"/>
      <c r="E38" s="26"/>
      <c r="F38" s="26"/>
      <c r="G38" s="20"/>
      <c r="H38" s="20"/>
      <c r="I38" s="18"/>
      <c r="J38" s="18"/>
      <c r="K38" s="18"/>
      <c r="L38" s="18"/>
      <c r="M38" s="18"/>
      <c r="N38" s="18"/>
      <c r="O38" s="18"/>
      <c r="P38" s="18"/>
      <c r="Q38" s="18"/>
      <c r="R38" s="18"/>
      <c r="S38" s="18"/>
      <c r="T38" s="16" t="str">
        <f>IF($A38="","",COUNTIFS('LỆNH ĐIỀU XE'!$B$5:$B$604,$A38,'LỆNH ĐIỀU XE'!$C$5:$C$604,$B38))</f>
        <v/>
      </c>
      <c r="U38" s="27" t="str">
        <f>IF($A38="","",SUMIFS('LỆNH ĐIỀU XE'!$J$5:$J$604,'LỆNH ĐIỀU XE'!$B$5:$B$604,$A38,'LỆNH ĐIỀU XE'!$C$5:$C$604,$B38))</f>
        <v/>
      </c>
      <c r="V38" s="22" t="str">
        <f t="shared" si="0"/>
        <v/>
      </c>
      <c r="W38" s="28" t="str">
        <f t="shared" si="1"/>
        <v/>
      </c>
      <c r="X38" s="28" t="str">
        <f t="shared" si="2"/>
        <v/>
      </c>
      <c r="Y38" s="28" t="str">
        <f t="shared" si="3"/>
        <v/>
      </c>
      <c r="Z38" s="22" t="str">
        <f t="shared" si="4"/>
        <v/>
      </c>
      <c r="AA38" s="28" t="str">
        <f t="shared" si="5"/>
        <v/>
      </c>
      <c r="AB38" s="28" t="str">
        <f t="shared" si="6"/>
        <v/>
      </c>
      <c r="AC38" s="28" t="str">
        <f>IF($A38="","",SUMIFS('CHẶNG TĂNG CA'!$E$5:$E$304,'CHẶNG TĂNG CA'!$A$5:$A$304,$A38,'CHẶNG TĂNG CA'!$B$5:$B$304,$B38))</f>
        <v/>
      </c>
      <c r="AD38" s="28" t="str">
        <f>IF($A38="","",SUMIFS('CHẶNG TĂNG CA'!$F$5:$F$304,'CHẶNG TĂNG CA'!$A$5:$A$304,$A38,'CHẶNG TĂNG CA'!$B$5:$B$304,$B38))</f>
        <v/>
      </c>
      <c r="AE38" s="28" t="str">
        <f>IF($A38="","",SUMIFS('CHẶNG TĂNG CA'!$G$5:$G$304,'CHẶNG TĂNG CA'!$A$5:$A$304,$A38,'CHẶNG TĂNG CA'!$B$5:$B$304,$B38))</f>
        <v/>
      </c>
      <c r="AF38" s="28" t="str">
        <f>IF($A38="","",SUMIFS('CHẶNG TĂNG CA'!$H$5:$H$304,'CHẶNG TĂNG CA'!$A$5:$A$304,$A38,'CHẶNG TĂNG CA'!$B$5:$B$304,$B38))</f>
        <v/>
      </c>
      <c r="AG38" s="28" t="str">
        <f t="shared" si="7"/>
        <v/>
      </c>
      <c r="AH38" s="16" t="str">
        <f>IF($A38="","",IF(COUNTIFS('LỆNH ĐIỀU XE'!$B$5:$B$604,$A38,'LỆNH ĐIỀU XE'!$C$5:$C$604,$B38,'LỆNH ĐIỀU XE'!$N$5:$N$604,"Có")&gt;0,"Có","Không"))</f>
        <v/>
      </c>
      <c r="AI38" s="16" t="str">
        <f>IF(OR($A38="",H38="",N(T38)=0),"",IF(_xlfn.MAXIFS('LỆNH ĐIỀU XE'!$U$5:$U$604,'LỆNH ĐIỀU XE'!$B$5:$B$604,$A38,'LỆNH ĐIỀU XE'!$C$5:$C$604,$B38)=0,"",ROUND((H38+(H38&lt;4/24)-_xlfn.MAXIFS('LỆNH ĐIỀU XE'!$U$5:$U$604,'LỆNH ĐIỀU XE'!$B$5:$B$604,$A38,'LỆNH ĐIỀU XE'!$C$5:$C$604,$B38))*1440,0)))</f>
        <v/>
      </c>
      <c r="AJ38" s="16" t="str">
        <f>IF($A38="","",IF(OR(AI38="",V38=""),"Thiếu dữ liệu",IF(AND(AI38&lt;='THAM SỐ'!$B$29,ABS(V38)&lt;='THAM SỐ'!$B$28),"Đạt","Không đạt")))</f>
        <v/>
      </c>
      <c r="AK38" s="16" t="str">
        <f t="shared" si="8"/>
        <v/>
      </c>
      <c r="AL38" s="16" t="str">
        <f>IF($A38="","",TRIM(IF(T38=0,"Không có lệnh; ","")&amp;IF(N(N38)&gt;0,"Dừng ngoài lệnh; ","")&amp;IF(N(J38)&gt;0,"Quá tốc độ; ","")&amp;IF(N(K38)&gt;0,"Lái quá 4h; ","")&amp;IF(N(L38)&gt;0,"Không tắt máy; ","")&amp;IF(OR(P38&lt;&gt;"Đủ",Q38&lt;&gt;"Đủ",R38&lt;&gt;"Đủ"),"Thiếu ảnh; ","")&amp;IF(S38&lt;&gt;"Đạt","Lốp chưa đạt; ","")&amp;IF(N(W38)&gt;'THAM SỐ'!$B$27,"Có mặt quá giờ; ","")&amp;IF(N(X38)&gt;'THAM SỐ'!$B$25,"Lái quá giờ ngày; ","")&amp;IF(ISNUMBER(V38),IF(ABS(V38)&gt;'THAM SỐ'!$B$28,"Lệch km; ",""),"")))</f>
        <v/>
      </c>
      <c r="AM38" s="29"/>
      <c r="AN38" s="30"/>
      <c r="AO38" s="28" t="str">
        <f t="shared" si="9"/>
        <v/>
      </c>
      <c r="AP38" s="21" t="str">
        <f>IF(OR($A38="",AO38=""),"",IF(AG38=0,0,ROUND((AC38*'THAM SỐ'!$B$18+AD38*'THAM SỐ'!$B$19+AE38*'THAM SỐ'!$B$20+AF38*'THAM SỐ'!$B$21)*MIN(1,AO38/AG38),0)))</f>
        <v/>
      </c>
      <c r="AQ38" s="18"/>
    </row>
    <row r="39" spans="1:43" x14ac:dyDescent="0.45">
      <c r="A39" s="17"/>
      <c r="B39" s="18"/>
      <c r="C39" s="18"/>
      <c r="D39" s="25"/>
      <c r="E39" s="26"/>
      <c r="F39" s="26"/>
      <c r="G39" s="20"/>
      <c r="H39" s="20"/>
      <c r="I39" s="18"/>
      <c r="J39" s="18"/>
      <c r="K39" s="18"/>
      <c r="L39" s="18"/>
      <c r="M39" s="18"/>
      <c r="N39" s="18"/>
      <c r="O39" s="18"/>
      <c r="P39" s="18"/>
      <c r="Q39" s="18"/>
      <c r="R39" s="18"/>
      <c r="S39" s="18"/>
      <c r="T39" s="16" t="str">
        <f>IF($A39="","",COUNTIFS('LỆNH ĐIỀU XE'!$B$5:$B$604,$A39,'LỆNH ĐIỀU XE'!$C$5:$C$604,$B39))</f>
        <v/>
      </c>
      <c r="U39" s="27" t="str">
        <f>IF($A39="","",SUMIFS('LỆNH ĐIỀU XE'!$J$5:$J$604,'LỆNH ĐIỀU XE'!$B$5:$B$604,$A39,'LỆNH ĐIỀU XE'!$C$5:$C$604,$B39))</f>
        <v/>
      </c>
      <c r="V39" s="22" t="str">
        <f t="shared" si="0"/>
        <v/>
      </c>
      <c r="W39" s="28" t="str">
        <f t="shared" si="1"/>
        <v/>
      </c>
      <c r="X39" s="28" t="str">
        <f t="shared" si="2"/>
        <v/>
      </c>
      <c r="Y39" s="28" t="str">
        <f t="shared" si="3"/>
        <v/>
      </c>
      <c r="Z39" s="22" t="str">
        <f t="shared" si="4"/>
        <v/>
      </c>
      <c r="AA39" s="28" t="str">
        <f t="shared" si="5"/>
        <v/>
      </c>
      <c r="AB39" s="28" t="str">
        <f t="shared" si="6"/>
        <v/>
      </c>
      <c r="AC39" s="28" t="str">
        <f>IF($A39="","",SUMIFS('CHẶNG TĂNG CA'!$E$5:$E$304,'CHẶNG TĂNG CA'!$A$5:$A$304,$A39,'CHẶNG TĂNG CA'!$B$5:$B$304,$B39))</f>
        <v/>
      </c>
      <c r="AD39" s="28" t="str">
        <f>IF($A39="","",SUMIFS('CHẶNG TĂNG CA'!$F$5:$F$304,'CHẶNG TĂNG CA'!$A$5:$A$304,$A39,'CHẶNG TĂNG CA'!$B$5:$B$304,$B39))</f>
        <v/>
      </c>
      <c r="AE39" s="28" t="str">
        <f>IF($A39="","",SUMIFS('CHẶNG TĂNG CA'!$G$5:$G$304,'CHẶNG TĂNG CA'!$A$5:$A$304,$A39,'CHẶNG TĂNG CA'!$B$5:$B$304,$B39))</f>
        <v/>
      </c>
      <c r="AF39" s="28" t="str">
        <f>IF($A39="","",SUMIFS('CHẶNG TĂNG CA'!$H$5:$H$304,'CHẶNG TĂNG CA'!$A$5:$A$304,$A39,'CHẶNG TĂNG CA'!$B$5:$B$304,$B39))</f>
        <v/>
      </c>
      <c r="AG39" s="28" t="str">
        <f t="shared" si="7"/>
        <v/>
      </c>
      <c r="AH39" s="16" t="str">
        <f>IF($A39="","",IF(COUNTIFS('LỆNH ĐIỀU XE'!$B$5:$B$604,$A39,'LỆNH ĐIỀU XE'!$C$5:$C$604,$B39,'LỆNH ĐIỀU XE'!$N$5:$N$604,"Có")&gt;0,"Có","Không"))</f>
        <v/>
      </c>
      <c r="AI39" s="16" t="str">
        <f>IF(OR($A39="",H39="",N(T39)=0),"",IF(_xlfn.MAXIFS('LỆNH ĐIỀU XE'!$U$5:$U$604,'LỆNH ĐIỀU XE'!$B$5:$B$604,$A39,'LỆNH ĐIỀU XE'!$C$5:$C$604,$B39)=0,"",ROUND((H39+(H39&lt;4/24)-_xlfn.MAXIFS('LỆNH ĐIỀU XE'!$U$5:$U$604,'LỆNH ĐIỀU XE'!$B$5:$B$604,$A39,'LỆNH ĐIỀU XE'!$C$5:$C$604,$B39))*1440,0)))</f>
        <v/>
      </c>
      <c r="AJ39" s="16" t="str">
        <f>IF($A39="","",IF(OR(AI39="",V39=""),"Thiếu dữ liệu",IF(AND(AI39&lt;='THAM SỐ'!$B$29,ABS(V39)&lt;='THAM SỐ'!$B$28),"Đạt","Không đạt")))</f>
        <v/>
      </c>
      <c r="AK39" s="16" t="str">
        <f t="shared" si="8"/>
        <v/>
      </c>
      <c r="AL39" s="16" t="str">
        <f>IF($A39="","",TRIM(IF(T39=0,"Không có lệnh; ","")&amp;IF(N(N39)&gt;0,"Dừng ngoài lệnh; ","")&amp;IF(N(J39)&gt;0,"Quá tốc độ; ","")&amp;IF(N(K39)&gt;0,"Lái quá 4h; ","")&amp;IF(N(L39)&gt;0,"Không tắt máy; ","")&amp;IF(OR(P39&lt;&gt;"Đủ",Q39&lt;&gt;"Đủ",R39&lt;&gt;"Đủ"),"Thiếu ảnh; ","")&amp;IF(S39&lt;&gt;"Đạt","Lốp chưa đạt; ","")&amp;IF(N(W39)&gt;'THAM SỐ'!$B$27,"Có mặt quá giờ; ","")&amp;IF(N(X39)&gt;'THAM SỐ'!$B$25,"Lái quá giờ ngày; ","")&amp;IF(ISNUMBER(V39),IF(ABS(V39)&gt;'THAM SỐ'!$B$28,"Lệch km; ",""),"")))</f>
        <v/>
      </c>
      <c r="AM39" s="29"/>
      <c r="AN39" s="30"/>
      <c r="AO39" s="28" t="str">
        <f t="shared" si="9"/>
        <v/>
      </c>
      <c r="AP39" s="21" t="str">
        <f>IF(OR($A39="",AO39=""),"",IF(AG39=0,0,ROUND((AC39*'THAM SỐ'!$B$18+AD39*'THAM SỐ'!$B$19+AE39*'THAM SỐ'!$B$20+AF39*'THAM SỐ'!$B$21)*MIN(1,AO39/AG39),0)))</f>
        <v/>
      </c>
      <c r="AQ39" s="18"/>
    </row>
    <row r="40" spans="1:43" x14ac:dyDescent="0.45">
      <c r="A40" s="17"/>
      <c r="B40" s="18"/>
      <c r="C40" s="18"/>
      <c r="D40" s="25"/>
      <c r="E40" s="26"/>
      <c r="F40" s="26"/>
      <c r="G40" s="20"/>
      <c r="H40" s="20"/>
      <c r="I40" s="18"/>
      <c r="J40" s="18"/>
      <c r="K40" s="18"/>
      <c r="L40" s="18"/>
      <c r="M40" s="18"/>
      <c r="N40" s="18"/>
      <c r="O40" s="18"/>
      <c r="P40" s="18"/>
      <c r="Q40" s="18"/>
      <c r="R40" s="18"/>
      <c r="S40" s="18"/>
      <c r="T40" s="16" t="str">
        <f>IF($A40="","",COUNTIFS('LỆNH ĐIỀU XE'!$B$5:$B$604,$A40,'LỆNH ĐIỀU XE'!$C$5:$C$604,$B40))</f>
        <v/>
      </c>
      <c r="U40" s="27" t="str">
        <f>IF($A40="","",SUMIFS('LỆNH ĐIỀU XE'!$J$5:$J$604,'LỆNH ĐIỀU XE'!$B$5:$B$604,$A40,'LỆNH ĐIỀU XE'!$C$5:$C$604,$B40))</f>
        <v/>
      </c>
      <c r="V40" s="22" t="str">
        <f t="shared" si="0"/>
        <v/>
      </c>
      <c r="W40" s="28" t="str">
        <f t="shared" si="1"/>
        <v/>
      </c>
      <c r="X40" s="28" t="str">
        <f t="shared" si="2"/>
        <v/>
      </c>
      <c r="Y40" s="28" t="str">
        <f t="shared" si="3"/>
        <v/>
      </c>
      <c r="Z40" s="22" t="str">
        <f t="shared" si="4"/>
        <v/>
      </c>
      <c r="AA40" s="28" t="str">
        <f t="shared" si="5"/>
        <v/>
      </c>
      <c r="AB40" s="28" t="str">
        <f t="shared" si="6"/>
        <v/>
      </c>
      <c r="AC40" s="28" t="str">
        <f>IF($A40="","",SUMIFS('CHẶNG TĂNG CA'!$E$5:$E$304,'CHẶNG TĂNG CA'!$A$5:$A$304,$A40,'CHẶNG TĂNG CA'!$B$5:$B$304,$B40))</f>
        <v/>
      </c>
      <c r="AD40" s="28" t="str">
        <f>IF($A40="","",SUMIFS('CHẶNG TĂNG CA'!$F$5:$F$304,'CHẶNG TĂNG CA'!$A$5:$A$304,$A40,'CHẶNG TĂNG CA'!$B$5:$B$304,$B40))</f>
        <v/>
      </c>
      <c r="AE40" s="28" t="str">
        <f>IF($A40="","",SUMIFS('CHẶNG TĂNG CA'!$G$5:$G$304,'CHẶNG TĂNG CA'!$A$5:$A$304,$A40,'CHẶNG TĂNG CA'!$B$5:$B$304,$B40))</f>
        <v/>
      </c>
      <c r="AF40" s="28" t="str">
        <f>IF($A40="","",SUMIFS('CHẶNG TĂNG CA'!$H$5:$H$304,'CHẶNG TĂNG CA'!$A$5:$A$304,$A40,'CHẶNG TĂNG CA'!$B$5:$B$304,$B40))</f>
        <v/>
      </c>
      <c r="AG40" s="28" t="str">
        <f t="shared" si="7"/>
        <v/>
      </c>
      <c r="AH40" s="16" t="str">
        <f>IF($A40="","",IF(COUNTIFS('LỆNH ĐIỀU XE'!$B$5:$B$604,$A40,'LỆNH ĐIỀU XE'!$C$5:$C$604,$B40,'LỆNH ĐIỀU XE'!$N$5:$N$604,"Có")&gt;0,"Có","Không"))</f>
        <v/>
      </c>
      <c r="AI40" s="16" t="str">
        <f>IF(OR($A40="",H40="",N(T40)=0),"",IF(_xlfn.MAXIFS('LỆNH ĐIỀU XE'!$U$5:$U$604,'LỆNH ĐIỀU XE'!$B$5:$B$604,$A40,'LỆNH ĐIỀU XE'!$C$5:$C$604,$B40)=0,"",ROUND((H40+(H40&lt;4/24)-_xlfn.MAXIFS('LỆNH ĐIỀU XE'!$U$5:$U$604,'LỆNH ĐIỀU XE'!$B$5:$B$604,$A40,'LỆNH ĐIỀU XE'!$C$5:$C$604,$B40))*1440,0)))</f>
        <v/>
      </c>
      <c r="AJ40" s="16" t="str">
        <f>IF($A40="","",IF(OR(AI40="",V40=""),"Thiếu dữ liệu",IF(AND(AI40&lt;='THAM SỐ'!$B$29,ABS(V40)&lt;='THAM SỐ'!$B$28),"Đạt","Không đạt")))</f>
        <v/>
      </c>
      <c r="AK40" s="16" t="str">
        <f t="shared" si="8"/>
        <v/>
      </c>
      <c r="AL40" s="16" t="str">
        <f>IF($A40="","",TRIM(IF(T40=0,"Không có lệnh; ","")&amp;IF(N(N40)&gt;0,"Dừng ngoài lệnh; ","")&amp;IF(N(J40)&gt;0,"Quá tốc độ; ","")&amp;IF(N(K40)&gt;0,"Lái quá 4h; ","")&amp;IF(N(L40)&gt;0,"Không tắt máy; ","")&amp;IF(OR(P40&lt;&gt;"Đủ",Q40&lt;&gt;"Đủ",R40&lt;&gt;"Đủ"),"Thiếu ảnh; ","")&amp;IF(S40&lt;&gt;"Đạt","Lốp chưa đạt; ","")&amp;IF(N(W40)&gt;'THAM SỐ'!$B$27,"Có mặt quá giờ; ","")&amp;IF(N(X40)&gt;'THAM SỐ'!$B$25,"Lái quá giờ ngày; ","")&amp;IF(ISNUMBER(V40),IF(ABS(V40)&gt;'THAM SỐ'!$B$28,"Lệch km; ",""),"")))</f>
        <v/>
      </c>
      <c r="AM40" s="29"/>
      <c r="AN40" s="30"/>
      <c r="AO40" s="28" t="str">
        <f t="shared" si="9"/>
        <v/>
      </c>
      <c r="AP40" s="21" t="str">
        <f>IF(OR($A40="",AO40=""),"",IF(AG40=0,0,ROUND((AC40*'THAM SỐ'!$B$18+AD40*'THAM SỐ'!$B$19+AE40*'THAM SỐ'!$B$20+AF40*'THAM SỐ'!$B$21)*MIN(1,AO40/AG40),0)))</f>
        <v/>
      </c>
      <c r="AQ40" s="18"/>
    </row>
    <row r="41" spans="1:43" x14ac:dyDescent="0.45">
      <c r="A41" s="17"/>
      <c r="B41" s="18"/>
      <c r="C41" s="18"/>
      <c r="D41" s="25"/>
      <c r="E41" s="26"/>
      <c r="F41" s="26"/>
      <c r="G41" s="20"/>
      <c r="H41" s="20"/>
      <c r="I41" s="18"/>
      <c r="J41" s="18"/>
      <c r="K41" s="18"/>
      <c r="L41" s="18"/>
      <c r="M41" s="18"/>
      <c r="N41" s="18"/>
      <c r="O41" s="18"/>
      <c r="P41" s="18"/>
      <c r="Q41" s="18"/>
      <c r="R41" s="18"/>
      <c r="S41" s="18"/>
      <c r="T41" s="16" t="str">
        <f>IF($A41="","",COUNTIFS('LỆNH ĐIỀU XE'!$B$5:$B$604,$A41,'LỆNH ĐIỀU XE'!$C$5:$C$604,$B41))</f>
        <v/>
      </c>
      <c r="U41" s="27" t="str">
        <f>IF($A41="","",SUMIFS('LỆNH ĐIỀU XE'!$J$5:$J$604,'LỆNH ĐIỀU XE'!$B$5:$B$604,$A41,'LỆNH ĐIỀU XE'!$C$5:$C$604,$B41))</f>
        <v/>
      </c>
      <c r="V41" s="22" t="str">
        <f t="shared" si="0"/>
        <v/>
      </c>
      <c r="W41" s="28" t="str">
        <f t="shared" si="1"/>
        <v/>
      </c>
      <c r="X41" s="28" t="str">
        <f t="shared" si="2"/>
        <v/>
      </c>
      <c r="Y41" s="28" t="str">
        <f t="shared" si="3"/>
        <v/>
      </c>
      <c r="Z41" s="22" t="str">
        <f t="shared" si="4"/>
        <v/>
      </c>
      <c r="AA41" s="28" t="str">
        <f t="shared" si="5"/>
        <v/>
      </c>
      <c r="AB41" s="28" t="str">
        <f t="shared" si="6"/>
        <v/>
      </c>
      <c r="AC41" s="28" t="str">
        <f>IF($A41="","",SUMIFS('CHẶNG TĂNG CA'!$E$5:$E$304,'CHẶNG TĂNG CA'!$A$5:$A$304,$A41,'CHẶNG TĂNG CA'!$B$5:$B$304,$B41))</f>
        <v/>
      </c>
      <c r="AD41" s="28" t="str">
        <f>IF($A41="","",SUMIFS('CHẶNG TĂNG CA'!$F$5:$F$304,'CHẶNG TĂNG CA'!$A$5:$A$304,$A41,'CHẶNG TĂNG CA'!$B$5:$B$304,$B41))</f>
        <v/>
      </c>
      <c r="AE41" s="28" t="str">
        <f>IF($A41="","",SUMIFS('CHẶNG TĂNG CA'!$G$5:$G$304,'CHẶNG TĂNG CA'!$A$5:$A$304,$A41,'CHẶNG TĂNG CA'!$B$5:$B$304,$B41))</f>
        <v/>
      </c>
      <c r="AF41" s="28" t="str">
        <f>IF($A41="","",SUMIFS('CHẶNG TĂNG CA'!$H$5:$H$304,'CHẶNG TĂNG CA'!$A$5:$A$304,$A41,'CHẶNG TĂNG CA'!$B$5:$B$304,$B41))</f>
        <v/>
      </c>
      <c r="AG41" s="28" t="str">
        <f t="shared" si="7"/>
        <v/>
      </c>
      <c r="AH41" s="16" t="str">
        <f>IF($A41="","",IF(COUNTIFS('LỆNH ĐIỀU XE'!$B$5:$B$604,$A41,'LỆNH ĐIỀU XE'!$C$5:$C$604,$B41,'LỆNH ĐIỀU XE'!$N$5:$N$604,"Có")&gt;0,"Có","Không"))</f>
        <v/>
      </c>
      <c r="AI41" s="16" t="str">
        <f>IF(OR($A41="",H41="",N(T41)=0),"",IF(_xlfn.MAXIFS('LỆNH ĐIỀU XE'!$U$5:$U$604,'LỆNH ĐIỀU XE'!$B$5:$B$604,$A41,'LỆNH ĐIỀU XE'!$C$5:$C$604,$B41)=0,"",ROUND((H41+(H41&lt;4/24)-_xlfn.MAXIFS('LỆNH ĐIỀU XE'!$U$5:$U$604,'LỆNH ĐIỀU XE'!$B$5:$B$604,$A41,'LỆNH ĐIỀU XE'!$C$5:$C$604,$B41))*1440,0)))</f>
        <v/>
      </c>
      <c r="AJ41" s="16" t="str">
        <f>IF($A41="","",IF(OR(AI41="",V41=""),"Thiếu dữ liệu",IF(AND(AI41&lt;='THAM SỐ'!$B$29,ABS(V41)&lt;='THAM SỐ'!$B$28),"Đạt","Không đạt")))</f>
        <v/>
      </c>
      <c r="AK41" s="16" t="str">
        <f t="shared" si="8"/>
        <v/>
      </c>
      <c r="AL41" s="16" t="str">
        <f>IF($A41="","",TRIM(IF(T41=0,"Không có lệnh; ","")&amp;IF(N(N41)&gt;0,"Dừng ngoài lệnh; ","")&amp;IF(N(J41)&gt;0,"Quá tốc độ; ","")&amp;IF(N(K41)&gt;0,"Lái quá 4h; ","")&amp;IF(N(L41)&gt;0,"Không tắt máy; ","")&amp;IF(OR(P41&lt;&gt;"Đủ",Q41&lt;&gt;"Đủ",R41&lt;&gt;"Đủ"),"Thiếu ảnh; ","")&amp;IF(S41&lt;&gt;"Đạt","Lốp chưa đạt; ","")&amp;IF(N(W41)&gt;'THAM SỐ'!$B$27,"Có mặt quá giờ; ","")&amp;IF(N(X41)&gt;'THAM SỐ'!$B$25,"Lái quá giờ ngày; ","")&amp;IF(ISNUMBER(V41),IF(ABS(V41)&gt;'THAM SỐ'!$B$28,"Lệch km; ",""),"")))</f>
        <v/>
      </c>
      <c r="AM41" s="29"/>
      <c r="AN41" s="30"/>
      <c r="AO41" s="28" t="str">
        <f t="shared" si="9"/>
        <v/>
      </c>
      <c r="AP41" s="21" t="str">
        <f>IF(OR($A41="",AO41=""),"",IF(AG41=0,0,ROUND((AC41*'THAM SỐ'!$B$18+AD41*'THAM SỐ'!$B$19+AE41*'THAM SỐ'!$B$20+AF41*'THAM SỐ'!$B$21)*MIN(1,AO41/AG41),0)))</f>
        <v/>
      </c>
      <c r="AQ41" s="18"/>
    </row>
    <row r="42" spans="1:43" x14ac:dyDescent="0.45">
      <c r="A42" s="17"/>
      <c r="B42" s="18"/>
      <c r="C42" s="18"/>
      <c r="D42" s="25"/>
      <c r="E42" s="26"/>
      <c r="F42" s="26"/>
      <c r="G42" s="20"/>
      <c r="H42" s="20"/>
      <c r="I42" s="18"/>
      <c r="J42" s="18"/>
      <c r="K42" s="18"/>
      <c r="L42" s="18"/>
      <c r="M42" s="18"/>
      <c r="N42" s="18"/>
      <c r="O42" s="18"/>
      <c r="P42" s="18"/>
      <c r="Q42" s="18"/>
      <c r="R42" s="18"/>
      <c r="S42" s="18"/>
      <c r="T42" s="16" t="str">
        <f>IF($A42="","",COUNTIFS('LỆNH ĐIỀU XE'!$B$5:$B$604,$A42,'LỆNH ĐIỀU XE'!$C$5:$C$604,$B42))</f>
        <v/>
      </c>
      <c r="U42" s="27" t="str">
        <f>IF($A42="","",SUMIFS('LỆNH ĐIỀU XE'!$J$5:$J$604,'LỆNH ĐIỀU XE'!$B$5:$B$604,$A42,'LỆNH ĐIỀU XE'!$C$5:$C$604,$B42))</f>
        <v/>
      </c>
      <c r="V42" s="22" t="str">
        <f t="shared" si="0"/>
        <v/>
      </c>
      <c r="W42" s="28" t="str">
        <f t="shared" si="1"/>
        <v/>
      </c>
      <c r="X42" s="28" t="str">
        <f t="shared" si="2"/>
        <v/>
      </c>
      <c r="Y42" s="28" t="str">
        <f t="shared" si="3"/>
        <v/>
      </c>
      <c r="Z42" s="22" t="str">
        <f t="shared" si="4"/>
        <v/>
      </c>
      <c r="AA42" s="28" t="str">
        <f t="shared" si="5"/>
        <v/>
      </c>
      <c r="AB42" s="28" t="str">
        <f t="shared" si="6"/>
        <v/>
      </c>
      <c r="AC42" s="28" t="str">
        <f>IF($A42="","",SUMIFS('CHẶNG TĂNG CA'!$E$5:$E$304,'CHẶNG TĂNG CA'!$A$5:$A$304,$A42,'CHẶNG TĂNG CA'!$B$5:$B$304,$B42))</f>
        <v/>
      </c>
      <c r="AD42" s="28" t="str">
        <f>IF($A42="","",SUMIFS('CHẶNG TĂNG CA'!$F$5:$F$304,'CHẶNG TĂNG CA'!$A$5:$A$304,$A42,'CHẶNG TĂNG CA'!$B$5:$B$304,$B42))</f>
        <v/>
      </c>
      <c r="AE42" s="28" t="str">
        <f>IF($A42="","",SUMIFS('CHẶNG TĂNG CA'!$G$5:$G$304,'CHẶNG TĂNG CA'!$A$5:$A$304,$A42,'CHẶNG TĂNG CA'!$B$5:$B$304,$B42))</f>
        <v/>
      </c>
      <c r="AF42" s="28" t="str">
        <f>IF($A42="","",SUMIFS('CHẶNG TĂNG CA'!$H$5:$H$304,'CHẶNG TĂNG CA'!$A$5:$A$304,$A42,'CHẶNG TĂNG CA'!$B$5:$B$304,$B42))</f>
        <v/>
      </c>
      <c r="AG42" s="28" t="str">
        <f t="shared" si="7"/>
        <v/>
      </c>
      <c r="AH42" s="16" t="str">
        <f>IF($A42="","",IF(COUNTIFS('LỆNH ĐIỀU XE'!$B$5:$B$604,$A42,'LỆNH ĐIỀU XE'!$C$5:$C$604,$B42,'LỆNH ĐIỀU XE'!$N$5:$N$604,"Có")&gt;0,"Có","Không"))</f>
        <v/>
      </c>
      <c r="AI42" s="16" t="str">
        <f>IF(OR($A42="",H42="",N(T42)=0),"",IF(_xlfn.MAXIFS('LỆNH ĐIỀU XE'!$U$5:$U$604,'LỆNH ĐIỀU XE'!$B$5:$B$604,$A42,'LỆNH ĐIỀU XE'!$C$5:$C$604,$B42)=0,"",ROUND((H42+(H42&lt;4/24)-_xlfn.MAXIFS('LỆNH ĐIỀU XE'!$U$5:$U$604,'LỆNH ĐIỀU XE'!$B$5:$B$604,$A42,'LỆNH ĐIỀU XE'!$C$5:$C$604,$B42))*1440,0)))</f>
        <v/>
      </c>
      <c r="AJ42" s="16" t="str">
        <f>IF($A42="","",IF(OR(AI42="",V42=""),"Thiếu dữ liệu",IF(AND(AI42&lt;='THAM SỐ'!$B$29,ABS(V42)&lt;='THAM SỐ'!$B$28),"Đạt","Không đạt")))</f>
        <v/>
      </c>
      <c r="AK42" s="16" t="str">
        <f t="shared" si="8"/>
        <v/>
      </c>
      <c r="AL42" s="16" t="str">
        <f>IF($A42="","",TRIM(IF(T42=0,"Không có lệnh; ","")&amp;IF(N(N42)&gt;0,"Dừng ngoài lệnh; ","")&amp;IF(N(J42)&gt;0,"Quá tốc độ; ","")&amp;IF(N(K42)&gt;0,"Lái quá 4h; ","")&amp;IF(N(L42)&gt;0,"Không tắt máy; ","")&amp;IF(OR(P42&lt;&gt;"Đủ",Q42&lt;&gt;"Đủ",R42&lt;&gt;"Đủ"),"Thiếu ảnh; ","")&amp;IF(S42&lt;&gt;"Đạt","Lốp chưa đạt; ","")&amp;IF(N(W42)&gt;'THAM SỐ'!$B$27,"Có mặt quá giờ; ","")&amp;IF(N(X42)&gt;'THAM SỐ'!$B$25,"Lái quá giờ ngày; ","")&amp;IF(ISNUMBER(V42),IF(ABS(V42)&gt;'THAM SỐ'!$B$28,"Lệch km; ",""),"")))</f>
        <v/>
      </c>
      <c r="AM42" s="29"/>
      <c r="AN42" s="30"/>
      <c r="AO42" s="28" t="str">
        <f t="shared" si="9"/>
        <v/>
      </c>
      <c r="AP42" s="21" t="str">
        <f>IF(OR($A42="",AO42=""),"",IF(AG42=0,0,ROUND((AC42*'THAM SỐ'!$B$18+AD42*'THAM SỐ'!$B$19+AE42*'THAM SỐ'!$B$20+AF42*'THAM SỐ'!$B$21)*MIN(1,AO42/AG42),0)))</f>
        <v/>
      </c>
      <c r="AQ42" s="18"/>
    </row>
    <row r="43" spans="1:43" x14ac:dyDescent="0.45">
      <c r="A43" s="17"/>
      <c r="B43" s="18"/>
      <c r="C43" s="18"/>
      <c r="D43" s="25"/>
      <c r="E43" s="26"/>
      <c r="F43" s="26"/>
      <c r="G43" s="20"/>
      <c r="H43" s="20"/>
      <c r="I43" s="18"/>
      <c r="J43" s="18"/>
      <c r="K43" s="18"/>
      <c r="L43" s="18"/>
      <c r="M43" s="18"/>
      <c r="N43" s="18"/>
      <c r="O43" s="18"/>
      <c r="P43" s="18"/>
      <c r="Q43" s="18"/>
      <c r="R43" s="18"/>
      <c r="S43" s="18"/>
      <c r="T43" s="16" t="str">
        <f>IF($A43="","",COUNTIFS('LỆNH ĐIỀU XE'!$B$5:$B$604,$A43,'LỆNH ĐIỀU XE'!$C$5:$C$604,$B43))</f>
        <v/>
      </c>
      <c r="U43" s="27" t="str">
        <f>IF($A43="","",SUMIFS('LỆNH ĐIỀU XE'!$J$5:$J$604,'LỆNH ĐIỀU XE'!$B$5:$B$604,$A43,'LỆNH ĐIỀU XE'!$C$5:$C$604,$B43))</f>
        <v/>
      </c>
      <c r="V43" s="22" t="str">
        <f t="shared" si="0"/>
        <v/>
      </c>
      <c r="W43" s="28" t="str">
        <f t="shared" si="1"/>
        <v/>
      </c>
      <c r="X43" s="28" t="str">
        <f t="shared" si="2"/>
        <v/>
      </c>
      <c r="Y43" s="28" t="str">
        <f t="shared" si="3"/>
        <v/>
      </c>
      <c r="Z43" s="22" t="str">
        <f t="shared" si="4"/>
        <v/>
      </c>
      <c r="AA43" s="28" t="str">
        <f t="shared" si="5"/>
        <v/>
      </c>
      <c r="AB43" s="28" t="str">
        <f t="shared" si="6"/>
        <v/>
      </c>
      <c r="AC43" s="28" t="str">
        <f>IF($A43="","",SUMIFS('CHẶNG TĂNG CA'!$E$5:$E$304,'CHẶNG TĂNG CA'!$A$5:$A$304,$A43,'CHẶNG TĂNG CA'!$B$5:$B$304,$B43))</f>
        <v/>
      </c>
      <c r="AD43" s="28" t="str">
        <f>IF($A43="","",SUMIFS('CHẶNG TĂNG CA'!$F$5:$F$304,'CHẶNG TĂNG CA'!$A$5:$A$304,$A43,'CHẶNG TĂNG CA'!$B$5:$B$304,$B43))</f>
        <v/>
      </c>
      <c r="AE43" s="28" t="str">
        <f>IF($A43="","",SUMIFS('CHẶNG TĂNG CA'!$G$5:$G$304,'CHẶNG TĂNG CA'!$A$5:$A$304,$A43,'CHẶNG TĂNG CA'!$B$5:$B$304,$B43))</f>
        <v/>
      </c>
      <c r="AF43" s="28" t="str">
        <f>IF($A43="","",SUMIFS('CHẶNG TĂNG CA'!$H$5:$H$304,'CHẶNG TĂNG CA'!$A$5:$A$304,$A43,'CHẶNG TĂNG CA'!$B$5:$B$304,$B43))</f>
        <v/>
      </c>
      <c r="AG43" s="28" t="str">
        <f t="shared" si="7"/>
        <v/>
      </c>
      <c r="AH43" s="16" t="str">
        <f>IF($A43="","",IF(COUNTIFS('LỆNH ĐIỀU XE'!$B$5:$B$604,$A43,'LỆNH ĐIỀU XE'!$C$5:$C$604,$B43,'LỆNH ĐIỀU XE'!$N$5:$N$604,"Có")&gt;0,"Có","Không"))</f>
        <v/>
      </c>
      <c r="AI43" s="16" t="str">
        <f>IF(OR($A43="",H43="",N(T43)=0),"",IF(_xlfn.MAXIFS('LỆNH ĐIỀU XE'!$U$5:$U$604,'LỆNH ĐIỀU XE'!$B$5:$B$604,$A43,'LỆNH ĐIỀU XE'!$C$5:$C$604,$B43)=0,"",ROUND((H43+(H43&lt;4/24)-_xlfn.MAXIFS('LỆNH ĐIỀU XE'!$U$5:$U$604,'LỆNH ĐIỀU XE'!$B$5:$B$604,$A43,'LỆNH ĐIỀU XE'!$C$5:$C$604,$B43))*1440,0)))</f>
        <v/>
      </c>
      <c r="AJ43" s="16" t="str">
        <f>IF($A43="","",IF(OR(AI43="",V43=""),"Thiếu dữ liệu",IF(AND(AI43&lt;='THAM SỐ'!$B$29,ABS(V43)&lt;='THAM SỐ'!$B$28),"Đạt","Không đạt")))</f>
        <v/>
      </c>
      <c r="AK43" s="16" t="str">
        <f t="shared" si="8"/>
        <v/>
      </c>
      <c r="AL43" s="16" t="str">
        <f>IF($A43="","",TRIM(IF(T43=0,"Không có lệnh; ","")&amp;IF(N(N43)&gt;0,"Dừng ngoài lệnh; ","")&amp;IF(N(J43)&gt;0,"Quá tốc độ; ","")&amp;IF(N(K43)&gt;0,"Lái quá 4h; ","")&amp;IF(N(L43)&gt;0,"Không tắt máy; ","")&amp;IF(OR(P43&lt;&gt;"Đủ",Q43&lt;&gt;"Đủ",R43&lt;&gt;"Đủ"),"Thiếu ảnh; ","")&amp;IF(S43&lt;&gt;"Đạt","Lốp chưa đạt; ","")&amp;IF(N(W43)&gt;'THAM SỐ'!$B$27,"Có mặt quá giờ; ","")&amp;IF(N(X43)&gt;'THAM SỐ'!$B$25,"Lái quá giờ ngày; ","")&amp;IF(ISNUMBER(V43),IF(ABS(V43)&gt;'THAM SỐ'!$B$28,"Lệch km; ",""),"")))</f>
        <v/>
      </c>
      <c r="AM43" s="29"/>
      <c r="AN43" s="30"/>
      <c r="AO43" s="28" t="str">
        <f t="shared" si="9"/>
        <v/>
      </c>
      <c r="AP43" s="21" t="str">
        <f>IF(OR($A43="",AO43=""),"",IF(AG43=0,0,ROUND((AC43*'THAM SỐ'!$B$18+AD43*'THAM SỐ'!$B$19+AE43*'THAM SỐ'!$B$20+AF43*'THAM SỐ'!$B$21)*MIN(1,AO43/AG43),0)))</f>
        <v/>
      </c>
      <c r="AQ43" s="18"/>
    </row>
    <row r="44" spans="1:43" x14ac:dyDescent="0.45">
      <c r="A44" s="17"/>
      <c r="B44" s="18"/>
      <c r="C44" s="18"/>
      <c r="D44" s="25"/>
      <c r="E44" s="26"/>
      <c r="F44" s="26"/>
      <c r="G44" s="20"/>
      <c r="H44" s="20"/>
      <c r="I44" s="18"/>
      <c r="J44" s="18"/>
      <c r="K44" s="18"/>
      <c r="L44" s="18"/>
      <c r="M44" s="18"/>
      <c r="N44" s="18"/>
      <c r="O44" s="18"/>
      <c r="P44" s="18"/>
      <c r="Q44" s="18"/>
      <c r="R44" s="18"/>
      <c r="S44" s="18"/>
      <c r="T44" s="16" t="str">
        <f>IF($A44="","",COUNTIFS('LỆNH ĐIỀU XE'!$B$5:$B$604,$A44,'LỆNH ĐIỀU XE'!$C$5:$C$604,$B44))</f>
        <v/>
      </c>
      <c r="U44" s="27" t="str">
        <f>IF($A44="","",SUMIFS('LỆNH ĐIỀU XE'!$J$5:$J$604,'LỆNH ĐIỀU XE'!$B$5:$B$604,$A44,'LỆNH ĐIỀU XE'!$C$5:$C$604,$B44))</f>
        <v/>
      </c>
      <c r="V44" s="22" t="str">
        <f t="shared" si="0"/>
        <v/>
      </c>
      <c r="W44" s="28" t="str">
        <f t="shared" si="1"/>
        <v/>
      </c>
      <c r="X44" s="28" t="str">
        <f t="shared" si="2"/>
        <v/>
      </c>
      <c r="Y44" s="28" t="str">
        <f t="shared" si="3"/>
        <v/>
      </c>
      <c r="Z44" s="22" t="str">
        <f t="shared" si="4"/>
        <v/>
      </c>
      <c r="AA44" s="28" t="str">
        <f t="shared" si="5"/>
        <v/>
      </c>
      <c r="AB44" s="28" t="str">
        <f t="shared" si="6"/>
        <v/>
      </c>
      <c r="AC44" s="28" t="str">
        <f>IF($A44="","",SUMIFS('CHẶNG TĂNG CA'!$E$5:$E$304,'CHẶNG TĂNG CA'!$A$5:$A$304,$A44,'CHẶNG TĂNG CA'!$B$5:$B$304,$B44))</f>
        <v/>
      </c>
      <c r="AD44" s="28" t="str">
        <f>IF($A44="","",SUMIFS('CHẶNG TĂNG CA'!$F$5:$F$304,'CHẶNG TĂNG CA'!$A$5:$A$304,$A44,'CHẶNG TĂNG CA'!$B$5:$B$304,$B44))</f>
        <v/>
      </c>
      <c r="AE44" s="28" t="str">
        <f>IF($A44="","",SUMIFS('CHẶNG TĂNG CA'!$G$5:$G$304,'CHẶNG TĂNG CA'!$A$5:$A$304,$A44,'CHẶNG TĂNG CA'!$B$5:$B$304,$B44))</f>
        <v/>
      </c>
      <c r="AF44" s="28" t="str">
        <f>IF($A44="","",SUMIFS('CHẶNG TĂNG CA'!$H$5:$H$304,'CHẶNG TĂNG CA'!$A$5:$A$304,$A44,'CHẶNG TĂNG CA'!$B$5:$B$304,$B44))</f>
        <v/>
      </c>
      <c r="AG44" s="28" t="str">
        <f t="shared" si="7"/>
        <v/>
      </c>
      <c r="AH44" s="16" t="str">
        <f>IF($A44="","",IF(COUNTIFS('LỆNH ĐIỀU XE'!$B$5:$B$604,$A44,'LỆNH ĐIỀU XE'!$C$5:$C$604,$B44,'LỆNH ĐIỀU XE'!$N$5:$N$604,"Có")&gt;0,"Có","Không"))</f>
        <v/>
      </c>
      <c r="AI44" s="16" t="str">
        <f>IF(OR($A44="",H44="",N(T44)=0),"",IF(_xlfn.MAXIFS('LỆNH ĐIỀU XE'!$U$5:$U$604,'LỆNH ĐIỀU XE'!$B$5:$B$604,$A44,'LỆNH ĐIỀU XE'!$C$5:$C$604,$B44)=0,"",ROUND((H44+(H44&lt;4/24)-_xlfn.MAXIFS('LỆNH ĐIỀU XE'!$U$5:$U$604,'LỆNH ĐIỀU XE'!$B$5:$B$604,$A44,'LỆNH ĐIỀU XE'!$C$5:$C$604,$B44))*1440,0)))</f>
        <v/>
      </c>
      <c r="AJ44" s="16" t="str">
        <f>IF($A44="","",IF(OR(AI44="",V44=""),"Thiếu dữ liệu",IF(AND(AI44&lt;='THAM SỐ'!$B$29,ABS(V44)&lt;='THAM SỐ'!$B$28),"Đạt","Không đạt")))</f>
        <v/>
      </c>
      <c r="AK44" s="16" t="str">
        <f t="shared" si="8"/>
        <v/>
      </c>
      <c r="AL44" s="16" t="str">
        <f>IF($A44="","",TRIM(IF(T44=0,"Không có lệnh; ","")&amp;IF(N(N44)&gt;0,"Dừng ngoài lệnh; ","")&amp;IF(N(J44)&gt;0,"Quá tốc độ; ","")&amp;IF(N(K44)&gt;0,"Lái quá 4h; ","")&amp;IF(N(L44)&gt;0,"Không tắt máy; ","")&amp;IF(OR(P44&lt;&gt;"Đủ",Q44&lt;&gt;"Đủ",R44&lt;&gt;"Đủ"),"Thiếu ảnh; ","")&amp;IF(S44&lt;&gt;"Đạt","Lốp chưa đạt; ","")&amp;IF(N(W44)&gt;'THAM SỐ'!$B$27,"Có mặt quá giờ; ","")&amp;IF(N(X44)&gt;'THAM SỐ'!$B$25,"Lái quá giờ ngày; ","")&amp;IF(ISNUMBER(V44),IF(ABS(V44)&gt;'THAM SỐ'!$B$28,"Lệch km; ",""),"")))</f>
        <v/>
      </c>
      <c r="AM44" s="29"/>
      <c r="AN44" s="30"/>
      <c r="AO44" s="28" t="str">
        <f t="shared" si="9"/>
        <v/>
      </c>
      <c r="AP44" s="21" t="str">
        <f>IF(OR($A44="",AO44=""),"",IF(AG44=0,0,ROUND((AC44*'THAM SỐ'!$B$18+AD44*'THAM SỐ'!$B$19+AE44*'THAM SỐ'!$B$20+AF44*'THAM SỐ'!$B$21)*MIN(1,AO44/AG44),0)))</f>
        <v/>
      </c>
      <c r="AQ44" s="18"/>
    </row>
    <row r="45" spans="1:43" x14ac:dyDescent="0.45">
      <c r="A45" s="17"/>
      <c r="B45" s="18"/>
      <c r="C45" s="18"/>
      <c r="D45" s="25"/>
      <c r="E45" s="26"/>
      <c r="F45" s="26"/>
      <c r="G45" s="20"/>
      <c r="H45" s="20"/>
      <c r="I45" s="18"/>
      <c r="J45" s="18"/>
      <c r="K45" s="18"/>
      <c r="L45" s="18"/>
      <c r="M45" s="18"/>
      <c r="N45" s="18"/>
      <c r="O45" s="18"/>
      <c r="P45" s="18"/>
      <c r="Q45" s="18"/>
      <c r="R45" s="18"/>
      <c r="S45" s="18"/>
      <c r="T45" s="16" t="str">
        <f>IF($A45="","",COUNTIFS('LỆNH ĐIỀU XE'!$B$5:$B$604,$A45,'LỆNH ĐIỀU XE'!$C$5:$C$604,$B45))</f>
        <v/>
      </c>
      <c r="U45" s="27" t="str">
        <f>IF($A45="","",SUMIFS('LỆNH ĐIỀU XE'!$J$5:$J$604,'LỆNH ĐIỀU XE'!$B$5:$B$604,$A45,'LỆNH ĐIỀU XE'!$C$5:$C$604,$B45))</f>
        <v/>
      </c>
      <c r="V45" s="22" t="str">
        <f t="shared" si="0"/>
        <v/>
      </c>
      <c r="W45" s="28" t="str">
        <f t="shared" si="1"/>
        <v/>
      </c>
      <c r="X45" s="28" t="str">
        <f t="shared" si="2"/>
        <v/>
      </c>
      <c r="Y45" s="28" t="str">
        <f t="shared" si="3"/>
        <v/>
      </c>
      <c r="Z45" s="22" t="str">
        <f t="shared" si="4"/>
        <v/>
      </c>
      <c r="AA45" s="28" t="str">
        <f t="shared" si="5"/>
        <v/>
      </c>
      <c r="AB45" s="28" t="str">
        <f t="shared" si="6"/>
        <v/>
      </c>
      <c r="AC45" s="28" t="str">
        <f>IF($A45="","",SUMIFS('CHẶNG TĂNG CA'!$E$5:$E$304,'CHẶNG TĂNG CA'!$A$5:$A$304,$A45,'CHẶNG TĂNG CA'!$B$5:$B$304,$B45))</f>
        <v/>
      </c>
      <c r="AD45" s="28" t="str">
        <f>IF($A45="","",SUMIFS('CHẶNG TĂNG CA'!$F$5:$F$304,'CHẶNG TĂNG CA'!$A$5:$A$304,$A45,'CHẶNG TĂNG CA'!$B$5:$B$304,$B45))</f>
        <v/>
      </c>
      <c r="AE45" s="28" t="str">
        <f>IF($A45="","",SUMIFS('CHẶNG TĂNG CA'!$G$5:$G$304,'CHẶNG TĂNG CA'!$A$5:$A$304,$A45,'CHẶNG TĂNG CA'!$B$5:$B$304,$B45))</f>
        <v/>
      </c>
      <c r="AF45" s="28" t="str">
        <f>IF($A45="","",SUMIFS('CHẶNG TĂNG CA'!$H$5:$H$304,'CHẶNG TĂNG CA'!$A$5:$A$304,$A45,'CHẶNG TĂNG CA'!$B$5:$B$304,$B45))</f>
        <v/>
      </c>
      <c r="AG45" s="28" t="str">
        <f t="shared" si="7"/>
        <v/>
      </c>
      <c r="AH45" s="16" t="str">
        <f>IF($A45="","",IF(COUNTIFS('LỆNH ĐIỀU XE'!$B$5:$B$604,$A45,'LỆNH ĐIỀU XE'!$C$5:$C$604,$B45,'LỆNH ĐIỀU XE'!$N$5:$N$604,"Có")&gt;0,"Có","Không"))</f>
        <v/>
      </c>
      <c r="AI45" s="16" t="str">
        <f>IF(OR($A45="",H45="",N(T45)=0),"",IF(_xlfn.MAXIFS('LỆNH ĐIỀU XE'!$U$5:$U$604,'LỆNH ĐIỀU XE'!$B$5:$B$604,$A45,'LỆNH ĐIỀU XE'!$C$5:$C$604,$B45)=0,"",ROUND((H45+(H45&lt;4/24)-_xlfn.MAXIFS('LỆNH ĐIỀU XE'!$U$5:$U$604,'LỆNH ĐIỀU XE'!$B$5:$B$604,$A45,'LỆNH ĐIỀU XE'!$C$5:$C$604,$B45))*1440,0)))</f>
        <v/>
      </c>
      <c r="AJ45" s="16" t="str">
        <f>IF($A45="","",IF(OR(AI45="",V45=""),"Thiếu dữ liệu",IF(AND(AI45&lt;='THAM SỐ'!$B$29,ABS(V45)&lt;='THAM SỐ'!$B$28),"Đạt","Không đạt")))</f>
        <v/>
      </c>
      <c r="AK45" s="16" t="str">
        <f t="shared" si="8"/>
        <v/>
      </c>
      <c r="AL45" s="16" t="str">
        <f>IF($A45="","",TRIM(IF(T45=0,"Không có lệnh; ","")&amp;IF(N(N45)&gt;0,"Dừng ngoài lệnh; ","")&amp;IF(N(J45)&gt;0,"Quá tốc độ; ","")&amp;IF(N(K45)&gt;0,"Lái quá 4h; ","")&amp;IF(N(L45)&gt;0,"Không tắt máy; ","")&amp;IF(OR(P45&lt;&gt;"Đủ",Q45&lt;&gt;"Đủ",R45&lt;&gt;"Đủ"),"Thiếu ảnh; ","")&amp;IF(S45&lt;&gt;"Đạt","Lốp chưa đạt; ","")&amp;IF(N(W45)&gt;'THAM SỐ'!$B$27,"Có mặt quá giờ; ","")&amp;IF(N(X45)&gt;'THAM SỐ'!$B$25,"Lái quá giờ ngày; ","")&amp;IF(ISNUMBER(V45),IF(ABS(V45)&gt;'THAM SỐ'!$B$28,"Lệch km; ",""),"")))</f>
        <v/>
      </c>
      <c r="AM45" s="29"/>
      <c r="AN45" s="30"/>
      <c r="AO45" s="28" t="str">
        <f t="shared" si="9"/>
        <v/>
      </c>
      <c r="AP45" s="21" t="str">
        <f>IF(OR($A45="",AO45=""),"",IF(AG45=0,0,ROUND((AC45*'THAM SỐ'!$B$18+AD45*'THAM SỐ'!$B$19+AE45*'THAM SỐ'!$B$20+AF45*'THAM SỐ'!$B$21)*MIN(1,AO45/AG45),0)))</f>
        <v/>
      </c>
      <c r="AQ45" s="18"/>
    </row>
    <row r="46" spans="1:43" x14ac:dyDescent="0.45">
      <c r="A46" s="17"/>
      <c r="B46" s="18"/>
      <c r="C46" s="18"/>
      <c r="D46" s="25"/>
      <c r="E46" s="26"/>
      <c r="F46" s="26"/>
      <c r="G46" s="20"/>
      <c r="H46" s="20"/>
      <c r="I46" s="18"/>
      <c r="J46" s="18"/>
      <c r="K46" s="18"/>
      <c r="L46" s="18"/>
      <c r="M46" s="18"/>
      <c r="N46" s="18"/>
      <c r="O46" s="18"/>
      <c r="P46" s="18"/>
      <c r="Q46" s="18"/>
      <c r="R46" s="18"/>
      <c r="S46" s="18"/>
      <c r="T46" s="16" t="str">
        <f>IF($A46="","",COUNTIFS('LỆNH ĐIỀU XE'!$B$5:$B$604,$A46,'LỆNH ĐIỀU XE'!$C$5:$C$604,$B46))</f>
        <v/>
      </c>
      <c r="U46" s="27" t="str">
        <f>IF($A46="","",SUMIFS('LỆNH ĐIỀU XE'!$J$5:$J$604,'LỆNH ĐIỀU XE'!$B$5:$B$604,$A46,'LỆNH ĐIỀU XE'!$C$5:$C$604,$B46))</f>
        <v/>
      </c>
      <c r="V46" s="22" t="str">
        <f t="shared" si="0"/>
        <v/>
      </c>
      <c r="W46" s="28" t="str">
        <f t="shared" si="1"/>
        <v/>
      </c>
      <c r="X46" s="28" t="str">
        <f t="shared" si="2"/>
        <v/>
      </c>
      <c r="Y46" s="28" t="str">
        <f t="shared" si="3"/>
        <v/>
      </c>
      <c r="Z46" s="22" t="str">
        <f t="shared" si="4"/>
        <v/>
      </c>
      <c r="AA46" s="28" t="str">
        <f t="shared" si="5"/>
        <v/>
      </c>
      <c r="AB46" s="28" t="str">
        <f t="shared" si="6"/>
        <v/>
      </c>
      <c r="AC46" s="28" t="str">
        <f>IF($A46="","",SUMIFS('CHẶNG TĂNG CA'!$E$5:$E$304,'CHẶNG TĂNG CA'!$A$5:$A$304,$A46,'CHẶNG TĂNG CA'!$B$5:$B$304,$B46))</f>
        <v/>
      </c>
      <c r="AD46" s="28" t="str">
        <f>IF($A46="","",SUMIFS('CHẶNG TĂNG CA'!$F$5:$F$304,'CHẶNG TĂNG CA'!$A$5:$A$304,$A46,'CHẶNG TĂNG CA'!$B$5:$B$304,$B46))</f>
        <v/>
      </c>
      <c r="AE46" s="28" t="str">
        <f>IF($A46="","",SUMIFS('CHẶNG TĂNG CA'!$G$5:$G$304,'CHẶNG TĂNG CA'!$A$5:$A$304,$A46,'CHẶNG TĂNG CA'!$B$5:$B$304,$B46))</f>
        <v/>
      </c>
      <c r="AF46" s="28" t="str">
        <f>IF($A46="","",SUMIFS('CHẶNG TĂNG CA'!$H$5:$H$304,'CHẶNG TĂNG CA'!$A$5:$A$304,$A46,'CHẶNG TĂNG CA'!$B$5:$B$304,$B46))</f>
        <v/>
      </c>
      <c r="AG46" s="28" t="str">
        <f t="shared" si="7"/>
        <v/>
      </c>
      <c r="AH46" s="16" t="str">
        <f>IF($A46="","",IF(COUNTIFS('LỆNH ĐIỀU XE'!$B$5:$B$604,$A46,'LỆNH ĐIỀU XE'!$C$5:$C$604,$B46,'LỆNH ĐIỀU XE'!$N$5:$N$604,"Có")&gt;0,"Có","Không"))</f>
        <v/>
      </c>
      <c r="AI46" s="16" t="str">
        <f>IF(OR($A46="",H46="",N(T46)=0),"",IF(_xlfn.MAXIFS('LỆNH ĐIỀU XE'!$U$5:$U$604,'LỆNH ĐIỀU XE'!$B$5:$B$604,$A46,'LỆNH ĐIỀU XE'!$C$5:$C$604,$B46)=0,"",ROUND((H46+(H46&lt;4/24)-_xlfn.MAXIFS('LỆNH ĐIỀU XE'!$U$5:$U$604,'LỆNH ĐIỀU XE'!$B$5:$B$604,$A46,'LỆNH ĐIỀU XE'!$C$5:$C$604,$B46))*1440,0)))</f>
        <v/>
      </c>
      <c r="AJ46" s="16" t="str">
        <f>IF($A46="","",IF(OR(AI46="",V46=""),"Thiếu dữ liệu",IF(AND(AI46&lt;='THAM SỐ'!$B$29,ABS(V46)&lt;='THAM SỐ'!$B$28),"Đạt","Không đạt")))</f>
        <v/>
      </c>
      <c r="AK46" s="16" t="str">
        <f t="shared" si="8"/>
        <v/>
      </c>
      <c r="AL46" s="16" t="str">
        <f>IF($A46="","",TRIM(IF(T46=0,"Không có lệnh; ","")&amp;IF(N(N46)&gt;0,"Dừng ngoài lệnh; ","")&amp;IF(N(J46)&gt;0,"Quá tốc độ; ","")&amp;IF(N(K46)&gt;0,"Lái quá 4h; ","")&amp;IF(N(L46)&gt;0,"Không tắt máy; ","")&amp;IF(OR(P46&lt;&gt;"Đủ",Q46&lt;&gt;"Đủ",R46&lt;&gt;"Đủ"),"Thiếu ảnh; ","")&amp;IF(S46&lt;&gt;"Đạt","Lốp chưa đạt; ","")&amp;IF(N(W46)&gt;'THAM SỐ'!$B$27,"Có mặt quá giờ; ","")&amp;IF(N(X46)&gt;'THAM SỐ'!$B$25,"Lái quá giờ ngày; ","")&amp;IF(ISNUMBER(V46),IF(ABS(V46)&gt;'THAM SỐ'!$B$28,"Lệch km; ",""),"")))</f>
        <v/>
      </c>
      <c r="AM46" s="29"/>
      <c r="AN46" s="30"/>
      <c r="AO46" s="28" t="str">
        <f t="shared" si="9"/>
        <v/>
      </c>
      <c r="AP46" s="21" t="str">
        <f>IF(OR($A46="",AO46=""),"",IF(AG46=0,0,ROUND((AC46*'THAM SỐ'!$B$18+AD46*'THAM SỐ'!$B$19+AE46*'THAM SỐ'!$B$20+AF46*'THAM SỐ'!$B$21)*MIN(1,AO46/AG46),0)))</f>
        <v/>
      </c>
      <c r="AQ46" s="18"/>
    </row>
    <row r="47" spans="1:43" x14ac:dyDescent="0.45">
      <c r="A47" s="17"/>
      <c r="B47" s="18"/>
      <c r="C47" s="18"/>
      <c r="D47" s="25"/>
      <c r="E47" s="26"/>
      <c r="F47" s="26"/>
      <c r="G47" s="20"/>
      <c r="H47" s="20"/>
      <c r="I47" s="18"/>
      <c r="J47" s="18"/>
      <c r="K47" s="18"/>
      <c r="L47" s="18"/>
      <c r="M47" s="18"/>
      <c r="N47" s="18"/>
      <c r="O47" s="18"/>
      <c r="P47" s="18"/>
      <c r="Q47" s="18"/>
      <c r="R47" s="18"/>
      <c r="S47" s="18"/>
      <c r="T47" s="16" t="str">
        <f>IF($A47="","",COUNTIFS('LỆNH ĐIỀU XE'!$B$5:$B$604,$A47,'LỆNH ĐIỀU XE'!$C$5:$C$604,$B47))</f>
        <v/>
      </c>
      <c r="U47" s="27" t="str">
        <f>IF($A47="","",SUMIFS('LỆNH ĐIỀU XE'!$J$5:$J$604,'LỆNH ĐIỀU XE'!$B$5:$B$604,$A47,'LỆNH ĐIỀU XE'!$C$5:$C$604,$B47))</f>
        <v/>
      </c>
      <c r="V47" s="22" t="str">
        <f t="shared" si="0"/>
        <v/>
      </c>
      <c r="W47" s="28" t="str">
        <f t="shared" si="1"/>
        <v/>
      </c>
      <c r="X47" s="28" t="str">
        <f t="shared" si="2"/>
        <v/>
      </c>
      <c r="Y47" s="28" t="str">
        <f t="shared" si="3"/>
        <v/>
      </c>
      <c r="Z47" s="22" t="str">
        <f t="shared" si="4"/>
        <v/>
      </c>
      <c r="AA47" s="28" t="str">
        <f t="shared" si="5"/>
        <v/>
      </c>
      <c r="AB47" s="28" t="str">
        <f t="shared" si="6"/>
        <v/>
      </c>
      <c r="AC47" s="28" t="str">
        <f>IF($A47="","",SUMIFS('CHẶNG TĂNG CA'!$E$5:$E$304,'CHẶNG TĂNG CA'!$A$5:$A$304,$A47,'CHẶNG TĂNG CA'!$B$5:$B$304,$B47))</f>
        <v/>
      </c>
      <c r="AD47" s="28" t="str">
        <f>IF($A47="","",SUMIFS('CHẶNG TĂNG CA'!$F$5:$F$304,'CHẶNG TĂNG CA'!$A$5:$A$304,$A47,'CHẶNG TĂNG CA'!$B$5:$B$304,$B47))</f>
        <v/>
      </c>
      <c r="AE47" s="28" t="str">
        <f>IF($A47="","",SUMIFS('CHẶNG TĂNG CA'!$G$5:$G$304,'CHẶNG TĂNG CA'!$A$5:$A$304,$A47,'CHẶNG TĂNG CA'!$B$5:$B$304,$B47))</f>
        <v/>
      </c>
      <c r="AF47" s="28" t="str">
        <f>IF($A47="","",SUMIFS('CHẶNG TĂNG CA'!$H$5:$H$304,'CHẶNG TĂNG CA'!$A$5:$A$304,$A47,'CHẶNG TĂNG CA'!$B$5:$B$304,$B47))</f>
        <v/>
      </c>
      <c r="AG47" s="28" t="str">
        <f t="shared" si="7"/>
        <v/>
      </c>
      <c r="AH47" s="16" t="str">
        <f>IF($A47="","",IF(COUNTIFS('LỆNH ĐIỀU XE'!$B$5:$B$604,$A47,'LỆNH ĐIỀU XE'!$C$5:$C$604,$B47,'LỆNH ĐIỀU XE'!$N$5:$N$604,"Có")&gt;0,"Có","Không"))</f>
        <v/>
      </c>
      <c r="AI47" s="16" t="str">
        <f>IF(OR($A47="",H47="",N(T47)=0),"",IF(_xlfn.MAXIFS('LỆNH ĐIỀU XE'!$U$5:$U$604,'LỆNH ĐIỀU XE'!$B$5:$B$604,$A47,'LỆNH ĐIỀU XE'!$C$5:$C$604,$B47)=0,"",ROUND((H47+(H47&lt;4/24)-_xlfn.MAXIFS('LỆNH ĐIỀU XE'!$U$5:$U$604,'LỆNH ĐIỀU XE'!$B$5:$B$604,$A47,'LỆNH ĐIỀU XE'!$C$5:$C$604,$B47))*1440,0)))</f>
        <v/>
      </c>
      <c r="AJ47" s="16" t="str">
        <f>IF($A47="","",IF(OR(AI47="",V47=""),"Thiếu dữ liệu",IF(AND(AI47&lt;='THAM SỐ'!$B$29,ABS(V47)&lt;='THAM SỐ'!$B$28),"Đạt","Không đạt")))</f>
        <v/>
      </c>
      <c r="AK47" s="16" t="str">
        <f t="shared" si="8"/>
        <v/>
      </c>
      <c r="AL47" s="16" t="str">
        <f>IF($A47="","",TRIM(IF(T47=0,"Không có lệnh; ","")&amp;IF(N(N47)&gt;0,"Dừng ngoài lệnh; ","")&amp;IF(N(J47)&gt;0,"Quá tốc độ; ","")&amp;IF(N(K47)&gt;0,"Lái quá 4h; ","")&amp;IF(N(L47)&gt;0,"Không tắt máy; ","")&amp;IF(OR(P47&lt;&gt;"Đủ",Q47&lt;&gt;"Đủ",R47&lt;&gt;"Đủ"),"Thiếu ảnh; ","")&amp;IF(S47&lt;&gt;"Đạt","Lốp chưa đạt; ","")&amp;IF(N(W47)&gt;'THAM SỐ'!$B$27,"Có mặt quá giờ; ","")&amp;IF(N(X47)&gt;'THAM SỐ'!$B$25,"Lái quá giờ ngày; ","")&amp;IF(ISNUMBER(V47),IF(ABS(V47)&gt;'THAM SỐ'!$B$28,"Lệch km; ",""),"")))</f>
        <v/>
      </c>
      <c r="AM47" s="29"/>
      <c r="AN47" s="30"/>
      <c r="AO47" s="28" t="str">
        <f t="shared" si="9"/>
        <v/>
      </c>
      <c r="AP47" s="21" t="str">
        <f>IF(OR($A47="",AO47=""),"",IF(AG47=0,0,ROUND((AC47*'THAM SỐ'!$B$18+AD47*'THAM SỐ'!$B$19+AE47*'THAM SỐ'!$B$20+AF47*'THAM SỐ'!$B$21)*MIN(1,AO47/AG47),0)))</f>
        <v/>
      </c>
      <c r="AQ47" s="18"/>
    </row>
    <row r="48" spans="1:43" x14ac:dyDescent="0.45">
      <c r="A48" s="17"/>
      <c r="B48" s="18"/>
      <c r="C48" s="18"/>
      <c r="D48" s="25"/>
      <c r="E48" s="26"/>
      <c r="F48" s="26"/>
      <c r="G48" s="20"/>
      <c r="H48" s="20"/>
      <c r="I48" s="18"/>
      <c r="J48" s="18"/>
      <c r="K48" s="18"/>
      <c r="L48" s="18"/>
      <c r="M48" s="18"/>
      <c r="N48" s="18"/>
      <c r="O48" s="18"/>
      <c r="P48" s="18"/>
      <c r="Q48" s="18"/>
      <c r="R48" s="18"/>
      <c r="S48" s="18"/>
      <c r="T48" s="16" t="str">
        <f>IF($A48="","",COUNTIFS('LỆNH ĐIỀU XE'!$B$5:$B$604,$A48,'LỆNH ĐIỀU XE'!$C$5:$C$604,$B48))</f>
        <v/>
      </c>
      <c r="U48" s="27" t="str">
        <f>IF($A48="","",SUMIFS('LỆNH ĐIỀU XE'!$J$5:$J$604,'LỆNH ĐIỀU XE'!$B$5:$B$604,$A48,'LỆNH ĐIỀU XE'!$C$5:$C$604,$B48))</f>
        <v/>
      </c>
      <c r="V48" s="22" t="str">
        <f t="shared" si="0"/>
        <v/>
      </c>
      <c r="W48" s="28" t="str">
        <f t="shared" si="1"/>
        <v/>
      </c>
      <c r="X48" s="28" t="str">
        <f t="shared" si="2"/>
        <v/>
      </c>
      <c r="Y48" s="28" t="str">
        <f t="shared" si="3"/>
        <v/>
      </c>
      <c r="Z48" s="22" t="str">
        <f t="shared" si="4"/>
        <v/>
      </c>
      <c r="AA48" s="28" t="str">
        <f t="shared" si="5"/>
        <v/>
      </c>
      <c r="AB48" s="28" t="str">
        <f t="shared" si="6"/>
        <v/>
      </c>
      <c r="AC48" s="28" t="str">
        <f>IF($A48="","",SUMIFS('CHẶNG TĂNG CA'!$E$5:$E$304,'CHẶNG TĂNG CA'!$A$5:$A$304,$A48,'CHẶNG TĂNG CA'!$B$5:$B$304,$B48))</f>
        <v/>
      </c>
      <c r="AD48" s="28" t="str">
        <f>IF($A48="","",SUMIFS('CHẶNG TĂNG CA'!$F$5:$F$304,'CHẶNG TĂNG CA'!$A$5:$A$304,$A48,'CHẶNG TĂNG CA'!$B$5:$B$304,$B48))</f>
        <v/>
      </c>
      <c r="AE48" s="28" t="str">
        <f>IF($A48="","",SUMIFS('CHẶNG TĂNG CA'!$G$5:$G$304,'CHẶNG TĂNG CA'!$A$5:$A$304,$A48,'CHẶNG TĂNG CA'!$B$5:$B$304,$B48))</f>
        <v/>
      </c>
      <c r="AF48" s="28" t="str">
        <f>IF($A48="","",SUMIFS('CHẶNG TĂNG CA'!$H$5:$H$304,'CHẶNG TĂNG CA'!$A$5:$A$304,$A48,'CHẶNG TĂNG CA'!$B$5:$B$304,$B48))</f>
        <v/>
      </c>
      <c r="AG48" s="28" t="str">
        <f t="shared" si="7"/>
        <v/>
      </c>
      <c r="AH48" s="16" t="str">
        <f>IF($A48="","",IF(COUNTIFS('LỆNH ĐIỀU XE'!$B$5:$B$604,$A48,'LỆNH ĐIỀU XE'!$C$5:$C$604,$B48,'LỆNH ĐIỀU XE'!$N$5:$N$604,"Có")&gt;0,"Có","Không"))</f>
        <v/>
      </c>
      <c r="AI48" s="16" t="str">
        <f>IF(OR($A48="",H48="",N(T48)=0),"",IF(_xlfn.MAXIFS('LỆNH ĐIỀU XE'!$U$5:$U$604,'LỆNH ĐIỀU XE'!$B$5:$B$604,$A48,'LỆNH ĐIỀU XE'!$C$5:$C$604,$B48)=0,"",ROUND((H48+(H48&lt;4/24)-_xlfn.MAXIFS('LỆNH ĐIỀU XE'!$U$5:$U$604,'LỆNH ĐIỀU XE'!$B$5:$B$604,$A48,'LỆNH ĐIỀU XE'!$C$5:$C$604,$B48))*1440,0)))</f>
        <v/>
      </c>
      <c r="AJ48" s="16" t="str">
        <f>IF($A48="","",IF(OR(AI48="",V48=""),"Thiếu dữ liệu",IF(AND(AI48&lt;='THAM SỐ'!$B$29,ABS(V48)&lt;='THAM SỐ'!$B$28),"Đạt","Không đạt")))</f>
        <v/>
      </c>
      <c r="AK48" s="16" t="str">
        <f t="shared" si="8"/>
        <v/>
      </c>
      <c r="AL48" s="16" t="str">
        <f>IF($A48="","",TRIM(IF(T48=0,"Không có lệnh; ","")&amp;IF(N(N48)&gt;0,"Dừng ngoài lệnh; ","")&amp;IF(N(J48)&gt;0,"Quá tốc độ; ","")&amp;IF(N(K48)&gt;0,"Lái quá 4h; ","")&amp;IF(N(L48)&gt;0,"Không tắt máy; ","")&amp;IF(OR(P48&lt;&gt;"Đủ",Q48&lt;&gt;"Đủ",R48&lt;&gt;"Đủ"),"Thiếu ảnh; ","")&amp;IF(S48&lt;&gt;"Đạt","Lốp chưa đạt; ","")&amp;IF(N(W48)&gt;'THAM SỐ'!$B$27,"Có mặt quá giờ; ","")&amp;IF(N(X48)&gt;'THAM SỐ'!$B$25,"Lái quá giờ ngày; ","")&amp;IF(ISNUMBER(V48),IF(ABS(V48)&gt;'THAM SỐ'!$B$28,"Lệch km; ",""),"")))</f>
        <v/>
      </c>
      <c r="AM48" s="29"/>
      <c r="AN48" s="30"/>
      <c r="AO48" s="28" t="str">
        <f t="shared" si="9"/>
        <v/>
      </c>
      <c r="AP48" s="21" t="str">
        <f>IF(OR($A48="",AO48=""),"",IF(AG48=0,0,ROUND((AC48*'THAM SỐ'!$B$18+AD48*'THAM SỐ'!$B$19+AE48*'THAM SỐ'!$B$20+AF48*'THAM SỐ'!$B$21)*MIN(1,AO48/AG48),0)))</f>
        <v/>
      </c>
      <c r="AQ48" s="18"/>
    </row>
    <row r="49" spans="1:43" x14ac:dyDescent="0.45">
      <c r="A49" s="17"/>
      <c r="B49" s="18"/>
      <c r="C49" s="18"/>
      <c r="D49" s="25"/>
      <c r="E49" s="26"/>
      <c r="F49" s="26"/>
      <c r="G49" s="20"/>
      <c r="H49" s="20"/>
      <c r="I49" s="18"/>
      <c r="J49" s="18"/>
      <c r="K49" s="18"/>
      <c r="L49" s="18"/>
      <c r="M49" s="18"/>
      <c r="N49" s="18"/>
      <c r="O49" s="18"/>
      <c r="P49" s="18"/>
      <c r="Q49" s="18"/>
      <c r="R49" s="18"/>
      <c r="S49" s="18"/>
      <c r="T49" s="16" t="str">
        <f>IF($A49="","",COUNTIFS('LỆNH ĐIỀU XE'!$B$5:$B$604,$A49,'LỆNH ĐIỀU XE'!$C$5:$C$604,$B49))</f>
        <v/>
      </c>
      <c r="U49" s="27" t="str">
        <f>IF($A49="","",SUMIFS('LỆNH ĐIỀU XE'!$J$5:$J$604,'LỆNH ĐIỀU XE'!$B$5:$B$604,$A49,'LỆNH ĐIỀU XE'!$C$5:$C$604,$B49))</f>
        <v/>
      </c>
      <c r="V49" s="22" t="str">
        <f t="shared" si="0"/>
        <v/>
      </c>
      <c r="W49" s="28" t="str">
        <f t="shared" si="1"/>
        <v/>
      </c>
      <c r="X49" s="28" t="str">
        <f t="shared" si="2"/>
        <v/>
      </c>
      <c r="Y49" s="28" t="str">
        <f t="shared" si="3"/>
        <v/>
      </c>
      <c r="Z49" s="22" t="str">
        <f t="shared" si="4"/>
        <v/>
      </c>
      <c r="AA49" s="28" t="str">
        <f t="shared" si="5"/>
        <v/>
      </c>
      <c r="AB49" s="28" t="str">
        <f t="shared" si="6"/>
        <v/>
      </c>
      <c r="AC49" s="28" t="str">
        <f>IF($A49="","",SUMIFS('CHẶNG TĂNG CA'!$E$5:$E$304,'CHẶNG TĂNG CA'!$A$5:$A$304,$A49,'CHẶNG TĂNG CA'!$B$5:$B$304,$B49))</f>
        <v/>
      </c>
      <c r="AD49" s="28" t="str">
        <f>IF($A49="","",SUMIFS('CHẶNG TĂNG CA'!$F$5:$F$304,'CHẶNG TĂNG CA'!$A$5:$A$304,$A49,'CHẶNG TĂNG CA'!$B$5:$B$304,$B49))</f>
        <v/>
      </c>
      <c r="AE49" s="28" t="str">
        <f>IF($A49="","",SUMIFS('CHẶNG TĂNG CA'!$G$5:$G$304,'CHẶNG TĂNG CA'!$A$5:$A$304,$A49,'CHẶNG TĂNG CA'!$B$5:$B$304,$B49))</f>
        <v/>
      </c>
      <c r="AF49" s="28" t="str">
        <f>IF($A49="","",SUMIFS('CHẶNG TĂNG CA'!$H$5:$H$304,'CHẶNG TĂNG CA'!$A$5:$A$304,$A49,'CHẶNG TĂNG CA'!$B$5:$B$304,$B49))</f>
        <v/>
      </c>
      <c r="AG49" s="28" t="str">
        <f t="shared" si="7"/>
        <v/>
      </c>
      <c r="AH49" s="16" t="str">
        <f>IF($A49="","",IF(COUNTIFS('LỆNH ĐIỀU XE'!$B$5:$B$604,$A49,'LỆNH ĐIỀU XE'!$C$5:$C$604,$B49,'LỆNH ĐIỀU XE'!$N$5:$N$604,"Có")&gt;0,"Có","Không"))</f>
        <v/>
      </c>
      <c r="AI49" s="16" t="str">
        <f>IF(OR($A49="",H49="",N(T49)=0),"",IF(_xlfn.MAXIFS('LỆNH ĐIỀU XE'!$U$5:$U$604,'LỆNH ĐIỀU XE'!$B$5:$B$604,$A49,'LỆNH ĐIỀU XE'!$C$5:$C$604,$B49)=0,"",ROUND((H49+(H49&lt;4/24)-_xlfn.MAXIFS('LỆNH ĐIỀU XE'!$U$5:$U$604,'LỆNH ĐIỀU XE'!$B$5:$B$604,$A49,'LỆNH ĐIỀU XE'!$C$5:$C$604,$B49))*1440,0)))</f>
        <v/>
      </c>
      <c r="AJ49" s="16" t="str">
        <f>IF($A49="","",IF(OR(AI49="",V49=""),"Thiếu dữ liệu",IF(AND(AI49&lt;='THAM SỐ'!$B$29,ABS(V49)&lt;='THAM SỐ'!$B$28),"Đạt","Không đạt")))</f>
        <v/>
      </c>
      <c r="AK49" s="16" t="str">
        <f t="shared" si="8"/>
        <v/>
      </c>
      <c r="AL49" s="16" t="str">
        <f>IF($A49="","",TRIM(IF(T49=0,"Không có lệnh; ","")&amp;IF(N(N49)&gt;0,"Dừng ngoài lệnh; ","")&amp;IF(N(J49)&gt;0,"Quá tốc độ; ","")&amp;IF(N(K49)&gt;0,"Lái quá 4h; ","")&amp;IF(N(L49)&gt;0,"Không tắt máy; ","")&amp;IF(OR(P49&lt;&gt;"Đủ",Q49&lt;&gt;"Đủ",R49&lt;&gt;"Đủ"),"Thiếu ảnh; ","")&amp;IF(S49&lt;&gt;"Đạt","Lốp chưa đạt; ","")&amp;IF(N(W49)&gt;'THAM SỐ'!$B$27,"Có mặt quá giờ; ","")&amp;IF(N(X49)&gt;'THAM SỐ'!$B$25,"Lái quá giờ ngày; ","")&amp;IF(ISNUMBER(V49),IF(ABS(V49)&gt;'THAM SỐ'!$B$28,"Lệch km; ",""),"")))</f>
        <v/>
      </c>
      <c r="AM49" s="29"/>
      <c r="AN49" s="30"/>
      <c r="AO49" s="28" t="str">
        <f t="shared" si="9"/>
        <v/>
      </c>
      <c r="AP49" s="21" t="str">
        <f>IF(OR($A49="",AO49=""),"",IF(AG49=0,0,ROUND((AC49*'THAM SỐ'!$B$18+AD49*'THAM SỐ'!$B$19+AE49*'THAM SỐ'!$B$20+AF49*'THAM SỐ'!$B$21)*MIN(1,AO49/AG49),0)))</f>
        <v/>
      </c>
      <c r="AQ49" s="18"/>
    </row>
    <row r="50" spans="1:43" x14ac:dyDescent="0.45">
      <c r="A50" s="17"/>
      <c r="B50" s="18"/>
      <c r="C50" s="18"/>
      <c r="D50" s="25"/>
      <c r="E50" s="26"/>
      <c r="F50" s="26"/>
      <c r="G50" s="20"/>
      <c r="H50" s="20"/>
      <c r="I50" s="18"/>
      <c r="J50" s="18"/>
      <c r="K50" s="18"/>
      <c r="L50" s="18"/>
      <c r="M50" s="18"/>
      <c r="N50" s="18"/>
      <c r="O50" s="18"/>
      <c r="P50" s="18"/>
      <c r="Q50" s="18"/>
      <c r="R50" s="18"/>
      <c r="S50" s="18"/>
      <c r="T50" s="16" t="str">
        <f>IF($A50="","",COUNTIFS('LỆNH ĐIỀU XE'!$B$5:$B$604,$A50,'LỆNH ĐIỀU XE'!$C$5:$C$604,$B50))</f>
        <v/>
      </c>
      <c r="U50" s="27" t="str">
        <f>IF($A50="","",SUMIFS('LỆNH ĐIỀU XE'!$J$5:$J$604,'LỆNH ĐIỀU XE'!$B$5:$B$604,$A50,'LỆNH ĐIỀU XE'!$C$5:$C$604,$B50))</f>
        <v/>
      </c>
      <c r="V50" s="22" t="str">
        <f t="shared" si="0"/>
        <v/>
      </c>
      <c r="W50" s="28" t="str">
        <f t="shared" si="1"/>
        <v/>
      </c>
      <c r="X50" s="28" t="str">
        <f t="shared" si="2"/>
        <v/>
      </c>
      <c r="Y50" s="28" t="str">
        <f t="shared" si="3"/>
        <v/>
      </c>
      <c r="Z50" s="22" t="str">
        <f t="shared" si="4"/>
        <v/>
      </c>
      <c r="AA50" s="28" t="str">
        <f t="shared" si="5"/>
        <v/>
      </c>
      <c r="AB50" s="28" t="str">
        <f t="shared" si="6"/>
        <v/>
      </c>
      <c r="AC50" s="28" t="str">
        <f>IF($A50="","",SUMIFS('CHẶNG TĂNG CA'!$E$5:$E$304,'CHẶNG TĂNG CA'!$A$5:$A$304,$A50,'CHẶNG TĂNG CA'!$B$5:$B$304,$B50))</f>
        <v/>
      </c>
      <c r="AD50" s="28" t="str">
        <f>IF($A50="","",SUMIFS('CHẶNG TĂNG CA'!$F$5:$F$304,'CHẶNG TĂNG CA'!$A$5:$A$304,$A50,'CHẶNG TĂNG CA'!$B$5:$B$304,$B50))</f>
        <v/>
      </c>
      <c r="AE50" s="28" t="str">
        <f>IF($A50="","",SUMIFS('CHẶNG TĂNG CA'!$G$5:$G$304,'CHẶNG TĂNG CA'!$A$5:$A$304,$A50,'CHẶNG TĂNG CA'!$B$5:$B$304,$B50))</f>
        <v/>
      </c>
      <c r="AF50" s="28" t="str">
        <f>IF($A50="","",SUMIFS('CHẶNG TĂNG CA'!$H$5:$H$304,'CHẶNG TĂNG CA'!$A$5:$A$304,$A50,'CHẶNG TĂNG CA'!$B$5:$B$304,$B50))</f>
        <v/>
      </c>
      <c r="AG50" s="28" t="str">
        <f t="shared" si="7"/>
        <v/>
      </c>
      <c r="AH50" s="16" t="str">
        <f>IF($A50="","",IF(COUNTIFS('LỆNH ĐIỀU XE'!$B$5:$B$604,$A50,'LỆNH ĐIỀU XE'!$C$5:$C$604,$B50,'LỆNH ĐIỀU XE'!$N$5:$N$604,"Có")&gt;0,"Có","Không"))</f>
        <v/>
      </c>
      <c r="AI50" s="16" t="str">
        <f>IF(OR($A50="",H50="",N(T50)=0),"",IF(_xlfn.MAXIFS('LỆNH ĐIỀU XE'!$U$5:$U$604,'LỆNH ĐIỀU XE'!$B$5:$B$604,$A50,'LỆNH ĐIỀU XE'!$C$5:$C$604,$B50)=0,"",ROUND((H50+(H50&lt;4/24)-_xlfn.MAXIFS('LỆNH ĐIỀU XE'!$U$5:$U$604,'LỆNH ĐIỀU XE'!$B$5:$B$604,$A50,'LỆNH ĐIỀU XE'!$C$5:$C$604,$B50))*1440,0)))</f>
        <v/>
      </c>
      <c r="AJ50" s="16" t="str">
        <f>IF($A50="","",IF(OR(AI50="",V50=""),"Thiếu dữ liệu",IF(AND(AI50&lt;='THAM SỐ'!$B$29,ABS(V50)&lt;='THAM SỐ'!$B$28),"Đạt","Không đạt")))</f>
        <v/>
      </c>
      <c r="AK50" s="16" t="str">
        <f t="shared" si="8"/>
        <v/>
      </c>
      <c r="AL50" s="16" t="str">
        <f>IF($A50="","",TRIM(IF(T50=0,"Không có lệnh; ","")&amp;IF(N(N50)&gt;0,"Dừng ngoài lệnh; ","")&amp;IF(N(J50)&gt;0,"Quá tốc độ; ","")&amp;IF(N(K50)&gt;0,"Lái quá 4h; ","")&amp;IF(N(L50)&gt;0,"Không tắt máy; ","")&amp;IF(OR(P50&lt;&gt;"Đủ",Q50&lt;&gt;"Đủ",R50&lt;&gt;"Đủ"),"Thiếu ảnh; ","")&amp;IF(S50&lt;&gt;"Đạt","Lốp chưa đạt; ","")&amp;IF(N(W50)&gt;'THAM SỐ'!$B$27,"Có mặt quá giờ; ","")&amp;IF(N(X50)&gt;'THAM SỐ'!$B$25,"Lái quá giờ ngày; ","")&amp;IF(ISNUMBER(V50),IF(ABS(V50)&gt;'THAM SỐ'!$B$28,"Lệch km; ",""),"")))</f>
        <v/>
      </c>
      <c r="AM50" s="29"/>
      <c r="AN50" s="30"/>
      <c r="AO50" s="28" t="str">
        <f t="shared" si="9"/>
        <v/>
      </c>
      <c r="AP50" s="21" t="str">
        <f>IF(OR($A50="",AO50=""),"",IF(AG50=0,0,ROUND((AC50*'THAM SỐ'!$B$18+AD50*'THAM SỐ'!$B$19+AE50*'THAM SỐ'!$B$20+AF50*'THAM SỐ'!$B$21)*MIN(1,AO50/AG50),0)))</f>
        <v/>
      </c>
      <c r="AQ50" s="18"/>
    </row>
    <row r="51" spans="1:43" x14ac:dyDescent="0.45">
      <c r="A51" s="17"/>
      <c r="B51" s="18"/>
      <c r="C51" s="18"/>
      <c r="D51" s="25"/>
      <c r="E51" s="26"/>
      <c r="F51" s="26"/>
      <c r="G51" s="20"/>
      <c r="H51" s="20"/>
      <c r="I51" s="18"/>
      <c r="J51" s="18"/>
      <c r="K51" s="18"/>
      <c r="L51" s="18"/>
      <c r="M51" s="18"/>
      <c r="N51" s="18"/>
      <c r="O51" s="18"/>
      <c r="P51" s="18"/>
      <c r="Q51" s="18"/>
      <c r="R51" s="18"/>
      <c r="S51" s="18"/>
      <c r="T51" s="16" t="str">
        <f>IF($A51="","",COUNTIFS('LỆNH ĐIỀU XE'!$B$5:$B$604,$A51,'LỆNH ĐIỀU XE'!$C$5:$C$604,$B51))</f>
        <v/>
      </c>
      <c r="U51" s="27" t="str">
        <f>IF($A51="","",SUMIFS('LỆNH ĐIỀU XE'!$J$5:$J$604,'LỆNH ĐIỀU XE'!$B$5:$B$604,$A51,'LỆNH ĐIỀU XE'!$C$5:$C$604,$B51))</f>
        <v/>
      </c>
      <c r="V51" s="22" t="str">
        <f t="shared" si="0"/>
        <v/>
      </c>
      <c r="W51" s="28" t="str">
        <f t="shared" si="1"/>
        <v/>
      </c>
      <c r="X51" s="28" t="str">
        <f t="shared" si="2"/>
        <v/>
      </c>
      <c r="Y51" s="28" t="str">
        <f t="shared" si="3"/>
        <v/>
      </c>
      <c r="Z51" s="22" t="str">
        <f t="shared" si="4"/>
        <v/>
      </c>
      <c r="AA51" s="28" t="str">
        <f t="shared" si="5"/>
        <v/>
      </c>
      <c r="AB51" s="28" t="str">
        <f t="shared" si="6"/>
        <v/>
      </c>
      <c r="AC51" s="28" t="str">
        <f>IF($A51="","",SUMIFS('CHẶNG TĂNG CA'!$E$5:$E$304,'CHẶNG TĂNG CA'!$A$5:$A$304,$A51,'CHẶNG TĂNG CA'!$B$5:$B$304,$B51))</f>
        <v/>
      </c>
      <c r="AD51" s="28" t="str">
        <f>IF($A51="","",SUMIFS('CHẶNG TĂNG CA'!$F$5:$F$304,'CHẶNG TĂNG CA'!$A$5:$A$304,$A51,'CHẶNG TĂNG CA'!$B$5:$B$304,$B51))</f>
        <v/>
      </c>
      <c r="AE51" s="28" t="str">
        <f>IF($A51="","",SUMIFS('CHẶNG TĂNG CA'!$G$5:$G$304,'CHẶNG TĂNG CA'!$A$5:$A$304,$A51,'CHẶNG TĂNG CA'!$B$5:$B$304,$B51))</f>
        <v/>
      </c>
      <c r="AF51" s="28" t="str">
        <f>IF($A51="","",SUMIFS('CHẶNG TĂNG CA'!$H$5:$H$304,'CHẶNG TĂNG CA'!$A$5:$A$304,$A51,'CHẶNG TĂNG CA'!$B$5:$B$304,$B51))</f>
        <v/>
      </c>
      <c r="AG51" s="28" t="str">
        <f t="shared" si="7"/>
        <v/>
      </c>
      <c r="AH51" s="16" t="str">
        <f>IF($A51="","",IF(COUNTIFS('LỆNH ĐIỀU XE'!$B$5:$B$604,$A51,'LỆNH ĐIỀU XE'!$C$5:$C$604,$B51,'LỆNH ĐIỀU XE'!$N$5:$N$604,"Có")&gt;0,"Có","Không"))</f>
        <v/>
      </c>
      <c r="AI51" s="16" t="str">
        <f>IF(OR($A51="",H51="",N(T51)=0),"",IF(_xlfn.MAXIFS('LỆNH ĐIỀU XE'!$U$5:$U$604,'LỆNH ĐIỀU XE'!$B$5:$B$604,$A51,'LỆNH ĐIỀU XE'!$C$5:$C$604,$B51)=0,"",ROUND((H51+(H51&lt;4/24)-_xlfn.MAXIFS('LỆNH ĐIỀU XE'!$U$5:$U$604,'LỆNH ĐIỀU XE'!$B$5:$B$604,$A51,'LỆNH ĐIỀU XE'!$C$5:$C$604,$B51))*1440,0)))</f>
        <v/>
      </c>
      <c r="AJ51" s="16" t="str">
        <f>IF($A51="","",IF(OR(AI51="",V51=""),"Thiếu dữ liệu",IF(AND(AI51&lt;='THAM SỐ'!$B$29,ABS(V51)&lt;='THAM SỐ'!$B$28),"Đạt","Không đạt")))</f>
        <v/>
      </c>
      <c r="AK51" s="16" t="str">
        <f t="shared" si="8"/>
        <v/>
      </c>
      <c r="AL51" s="16" t="str">
        <f>IF($A51="","",TRIM(IF(T51=0,"Không có lệnh; ","")&amp;IF(N(N51)&gt;0,"Dừng ngoài lệnh; ","")&amp;IF(N(J51)&gt;0,"Quá tốc độ; ","")&amp;IF(N(K51)&gt;0,"Lái quá 4h; ","")&amp;IF(N(L51)&gt;0,"Không tắt máy; ","")&amp;IF(OR(P51&lt;&gt;"Đủ",Q51&lt;&gt;"Đủ",R51&lt;&gt;"Đủ"),"Thiếu ảnh; ","")&amp;IF(S51&lt;&gt;"Đạt","Lốp chưa đạt; ","")&amp;IF(N(W51)&gt;'THAM SỐ'!$B$27,"Có mặt quá giờ; ","")&amp;IF(N(X51)&gt;'THAM SỐ'!$B$25,"Lái quá giờ ngày; ","")&amp;IF(ISNUMBER(V51),IF(ABS(V51)&gt;'THAM SỐ'!$B$28,"Lệch km; ",""),"")))</f>
        <v/>
      </c>
      <c r="AM51" s="29"/>
      <c r="AN51" s="30"/>
      <c r="AO51" s="28" t="str">
        <f t="shared" si="9"/>
        <v/>
      </c>
      <c r="AP51" s="21" t="str">
        <f>IF(OR($A51="",AO51=""),"",IF(AG51=0,0,ROUND((AC51*'THAM SỐ'!$B$18+AD51*'THAM SỐ'!$B$19+AE51*'THAM SỐ'!$B$20+AF51*'THAM SỐ'!$B$21)*MIN(1,AO51/AG51),0)))</f>
        <v/>
      </c>
      <c r="AQ51" s="18"/>
    </row>
    <row r="52" spans="1:43" x14ac:dyDescent="0.45">
      <c r="A52" s="17"/>
      <c r="B52" s="18"/>
      <c r="C52" s="18"/>
      <c r="D52" s="25"/>
      <c r="E52" s="26"/>
      <c r="F52" s="26"/>
      <c r="G52" s="20"/>
      <c r="H52" s="20"/>
      <c r="I52" s="18"/>
      <c r="J52" s="18"/>
      <c r="K52" s="18"/>
      <c r="L52" s="18"/>
      <c r="M52" s="18"/>
      <c r="N52" s="18"/>
      <c r="O52" s="18"/>
      <c r="P52" s="18"/>
      <c r="Q52" s="18"/>
      <c r="R52" s="18"/>
      <c r="S52" s="18"/>
      <c r="T52" s="16" t="str">
        <f>IF($A52="","",COUNTIFS('LỆNH ĐIỀU XE'!$B$5:$B$604,$A52,'LỆNH ĐIỀU XE'!$C$5:$C$604,$B52))</f>
        <v/>
      </c>
      <c r="U52" s="27" t="str">
        <f>IF($A52="","",SUMIFS('LỆNH ĐIỀU XE'!$J$5:$J$604,'LỆNH ĐIỀU XE'!$B$5:$B$604,$A52,'LỆNH ĐIỀU XE'!$C$5:$C$604,$B52))</f>
        <v/>
      </c>
      <c r="V52" s="22" t="str">
        <f t="shared" si="0"/>
        <v/>
      </c>
      <c r="W52" s="28" t="str">
        <f t="shared" si="1"/>
        <v/>
      </c>
      <c r="X52" s="28" t="str">
        <f t="shared" si="2"/>
        <v/>
      </c>
      <c r="Y52" s="28" t="str">
        <f t="shared" si="3"/>
        <v/>
      </c>
      <c r="Z52" s="22" t="str">
        <f t="shared" si="4"/>
        <v/>
      </c>
      <c r="AA52" s="28" t="str">
        <f t="shared" si="5"/>
        <v/>
      </c>
      <c r="AB52" s="28" t="str">
        <f t="shared" si="6"/>
        <v/>
      </c>
      <c r="AC52" s="28" t="str">
        <f>IF($A52="","",SUMIFS('CHẶNG TĂNG CA'!$E$5:$E$304,'CHẶNG TĂNG CA'!$A$5:$A$304,$A52,'CHẶNG TĂNG CA'!$B$5:$B$304,$B52))</f>
        <v/>
      </c>
      <c r="AD52" s="28" t="str">
        <f>IF($A52="","",SUMIFS('CHẶNG TĂNG CA'!$F$5:$F$304,'CHẶNG TĂNG CA'!$A$5:$A$304,$A52,'CHẶNG TĂNG CA'!$B$5:$B$304,$B52))</f>
        <v/>
      </c>
      <c r="AE52" s="28" t="str">
        <f>IF($A52="","",SUMIFS('CHẶNG TĂNG CA'!$G$5:$G$304,'CHẶNG TĂNG CA'!$A$5:$A$304,$A52,'CHẶNG TĂNG CA'!$B$5:$B$304,$B52))</f>
        <v/>
      </c>
      <c r="AF52" s="28" t="str">
        <f>IF($A52="","",SUMIFS('CHẶNG TĂNG CA'!$H$5:$H$304,'CHẶNG TĂNG CA'!$A$5:$A$304,$A52,'CHẶNG TĂNG CA'!$B$5:$B$304,$B52))</f>
        <v/>
      </c>
      <c r="AG52" s="28" t="str">
        <f t="shared" si="7"/>
        <v/>
      </c>
      <c r="AH52" s="16" t="str">
        <f>IF($A52="","",IF(COUNTIFS('LỆNH ĐIỀU XE'!$B$5:$B$604,$A52,'LỆNH ĐIỀU XE'!$C$5:$C$604,$B52,'LỆNH ĐIỀU XE'!$N$5:$N$604,"Có")&gt;0,"Có","Không"))</f>
        <v/>
      </c>
      <c r="AI52" s="16" t="str">
        <f>IF(OR($A52="",H52="",N(T52)=0),"",IF(_xlfn.MAXIFS('LỆNH ĐIỀU XE'!$U$5:$U$604,'LỆNH ĐIỀU XE'!$B$5:$B$604,$A52,'LỆNH ĐIỀU XE'!$C$5:$C$604,$B52)=0,"",ROUND((H52+(H52&lt;4/24)-_xlfn.MAXIFS('LỆNH ĐIỀU XE'!$U$5:$U$604,'LỆNH ĐIỀU XE'!$B$5:$B$604,$A52,'LỆNH ĐIỀU XE'!$C$5:$C$604,$B52))*1440,0)))</f>
        <v/>
      </c>
      <c r="AJ52" s="16" t="str">
        <f>IF($A52="","",IF(OR(AI52="",V52=""),"Thiếu dữ liệu",IF(AND(AI52&lt;='THAM SỐ'!$B$29,ABS(V52)&lt;='THAM SỐ'!$B$28),"Đạt","Không đạt")))</f>
        <v/>
      </c>
      <c r="AK52" s="16" t="str">
        <f t="shared" si="8"/>
        <v/>
      </c>
      <c r="AL52" s="16" t="str">
        <f>IF($A52="","",TRIM(IF(T52=0,"Không có lệnh; ","")&amp;IF(N(N52)&gt;0,"Dừng ngoài lệnh; ","")&amp;IF(N(J52)&gt;0,"Quá tốc độ; ","")&amp;IF(N(K52)&gt;0,"Lái quá 4h; ","")&amp;IF(N(L52)&gt;0,"Không tắt máy; ","")&amp;IF(OR(P52&lt;&gt;"Đủ",Q52&lt;&gt;"Đủ",R52&lt;&gt;"Đủ"),"Thiếu ảnh; ","")&amp;IF(S52&lt;&gt;"Đạt","Lốp chưa đạt; ","")&amp;IF(N(W52)&gt;'THAM SỐ'!$B$27,"Có mặt quá giờ; ","")&amp;IF(N(X52)&gt;'THAM SỐ'!$B$25,"Lái quá giờ ngày; ","")&amp;IF(ISNUMBER(V52),IF(ABS(V52)&gt;'THAM SỐ'!$B$28,"Lệch km; ",""),"")))</f>
        <v/>
      </c>
      <c r="AM52" s="29"/>
      <c r="AN52" s="30"/>
      <c r="AO52" s="28" t="str">
        <f t="shared" si="9"/>
        <v/>
      </c>
      <c r="AP52" s="21" t="str">
        <f>IF(OR($A52="",AO52=""),"",IF(AG52=0,0,ROUND((AC52*'THAM SỐ'!$B$18+AD52*'THAM SỐ'!$B$19+AE52*'THAM SỐ'!$B$20+AF52*'THAM SỐ'!$B$21)*MIN(1,AO52/AG52),0)))</f>
        <v/>
      </c>
      <c r="AQ52" s="18"/>
    </row>
    <row r="53" spans="1:43" x14ac:dyDescent="0.45">
      <c r="A53" s="17"/>
      <c r="B53" s="18"/>
      <c r="C53" s="18"/>
      <c r="D53" s="25"/>
      <c r="E53" s="26"/>
      <c r="F53" s="26"/>
      <c r="G53" s="20"/>
      <c r="H53" s="20"/>
      <c r="I53" s="18"/>
      <c r="J53" s="18"/>
      <c r="K53" s="18"/>
      <c r="L53" s="18"/>
      <c r="M53" s="18"/>
      <c r="N53" s="18"/>
      <c r="O53" s="18"/>
      <c r="P53" s="18"/>
      <c r="Q53" s="18"/>
      <c r="R53" s="18"/>
      <c r="S53" s="18"/>
      <c r="T53" s="16" t="str">
        <f>IF($A53="","",COUNTIFS('LỆNH ĐIỀU XE'!$B$5:$B$604,$A53,'LỆNH ĐIỀU XE'!$C$5:$C$604,$B53))</f>
        <v/>
      </c>
      <c r="U53" s="27" t="str">
        <f>IF($A53="","",SUMIFS('LỆNH ĐIỀU XE'!$J$5:$J$604,'LỆNH ĐIỀU XE'!$B$5:$B$604,$A53,'LỆNH ĐIỀU XE'!$C$5:$C$604,$B53))</f>
        <v/>
      </c>
      <c r="V53" s="22" t="str">
        <f t="shared" si="0"/>
        <v/>
      </c>
      <c r="W53" s="28" t="str">
        <f t="shared" si="1"/>
        <v/>
      </c>
      <c r="X53" s="28" t="str">
        <f t="shared" si="2"/>
        <v/>
      </c>
      <c r="Y53" s="28" t="str">
        <f t="shared" si="3"/>
        <v/>
      </c>
      <c r="Z53" s="22" t="str">
        <f t="shared" si="4"/>
        <v/>
      </c>
      <c r="AA53" s="28" t="str">
        <f t="shared" si="5"/>
        <v/>
      </c>
      <c r="AB53" s="28" t="str">
        <f t="shared" si="6"/>
        <v/>
      </c>
      <c r="AC53" s="28" t="str">
        <f>IF($A53="","",SUMIFS('CHẶNG TĂNG CA'!$E$5:$E$304,'CHẶNG TĂNG CA'!$A$5:$A$304,$A53,'CHẶNG TĂNG CA'!$B$5:$B$304,$B53))</f>
        <v/>
      </c>
      <c r="AD53" s="28" t="str">
        <f>IF($A53="","",SUMIFS('CHẶNG TĂNG CA'!$F$5:$F$304,'CHẶNG TĂNG CA'!$A$5:$A$304,$A53,'CHẶNG TĂNG CA'!$B$5:$B$304,$B53))</f>
        <v/>
      </c>
      <c r="AE53" s="28" t="str">
        <f>IF($A53="","",SUMIFS('CHẶNG TĂNG CA'!$G$5:$G$304,'CHẶNG TĂNG CA'!$A$5:$A$304,$A53,'CHẶNG TĂNG CA'!$B$5:$B$304,$B53))</f>
        <v/>
      </c>
      <c r="AF53" s="28" t="str">
        <f>IF($A53="","",SUMIFS('CHẶNG TĂNG CA'!$H$5:$H$304,'CHẶNG TĂNG CA'!$A$5:$A$304,$A53,'CHẶNG TĂNG CA'!$B$5:$B$304,$B53))</f>
        <v/>
      </c>
      <c r="AG53" s="28" t="str">
        <f t="shared" si="7"/>
        <v/>
      </c>
      <c r="AH53" s="16" t="str">
        <f>IF($A53="","",IF(COUNTIFS('LỆNH ĐIỀU XE'!$B$5:$B$604,$A53,'LỆNH ĐIỀU XE'!$C$5:$C$604,$B53,'LỆNH ĐIỀU XE'!$N$5:$N$604,"Có")&gt;0,"Có","Không"))</f>
        <v/>
      </c>
      <c r="AI53" s="16" t="str">
        <f>IF(OR($A53="",H53="",N(T53)=0),"",IF(_xlfn.MAXIFS('LỆNH ĐIỀU XE'!$U$5:$U$604,'LỆNH ĐIỀU XE'!$B$5:$B$604,$A53,'LỆNH ĐIỀU XE'!$C$5:$C$604,$B53)=0,"",ROUND((H53+(H53&lt;4/24)-_xlfn.MAXIFS('LỆNH ĐIỀU XE'!$U$5:$U$604,'LỆNH ĐIỀU XE'!$B$5:$B$604,$A53,'LỆNH ĐIỀU XE'!$C$5:$C$604,$B53))*1440,0)))</f>
        <v/>
      </c>
      <c r="AJ53" s="16" t="str">
        <f>IF($A53="","",IF(OR(AI53="",V53=""),"Thiếu dữ liệu",IF(AND(AI53&lt;='THAM SỐ'!$B$29,ABS(V53)&lt;='THAM SỐ'!$B$28),"Đạt","Không đạt")))</f>
        <v/>
      </c>
      <c r="AK53" s="16" t="str">
        <f t="shared" si="8"/>
        <v/>
      </c>
      <c r="AL53" s="16" t="str">
        <f>IF($A53="","",TRIM(IF(T53=0,"Không có lệnh; ","")&amp;IF(N(N53)&gt;0,"Dừng ngoài lệnh; ","")&amp;IF(N(J53)&gt;0,"Quá tốc độ; ","")&amp;IF(N(K53)&gt;0,"Lái quá 4h; ","")&amp;IF(N(L53)&gt;0,"Không tắt máy; ","")&amp;IF(OR(P53&lt;&gt;"Đủ",Q53&lt;&gt;"Đủ",R53&lt;&gt;"Đủ"),"Thiếu ảnh; ","")&amp;IF(S53&lt;&gt;"Đạt","Lốp chưa đạt; ","")&amp;IF(N(W53)&gt;'THAM SỐ'!$B$27,"Có mặt quá giờ; ","")&amp;IF(N(X53)&gt;'THAM SỐ'!$B$25,"Lái quá giờ ngày; ","")&amp;IF(ISNUMBER(V53),IF(ABS(V53)&gt;'THAM SỐ'!$B$28,"Lệch km; ",""),"")))</f>
        <v/>
      </c>
      <c r="AM53" s="29"/>
      <c r="AN53" s="30"/>
      <c r="AO53" s="28" t="str">
        <f t="shared" si="9"/>
        <v/>
      </c>
      <c r="AP53" s="21" t="str">
        <f>IF(OR($A53="",AO53=""),"",IF(AG53=0,0,ROUND((AC53*'THAM SỐ'!$B$18+AD53*'THAM SỐ'!$B$19+AE53*'THAM SỐ'!$B$20+AF53*'THAM SỐ'!$B$21)*MIN(1,AO53/AG53),0)))</f>
        <v/>
      </c>
      <c r="AQ53" s="18"/>
    </row>
    <row r="54" spans="1:43" x14ac:dyDescent="0.45">
      <c r="A54" s="17"/>
      <c r="B54" s="18"/>
      <c r="C54" s="18"/>
      <c r="D54" s="25"/>
      <c r="E54" s="26"/>
      <c r="F54" s="26"/>
      <c r="G54" s="20"/>
      <c r="H54" s="20"/>
      <c r="I54" s="18"/>
      <c r="J54" s="18"/>
      <c r="K54" s="18"/>
      <c r="L54" s="18"/>
      <c r="M54" s="18"/>
      <c r="N54" s="18"/>
      <c r="O54" s="18"/>
      <c r="P54" s="18"/>
      <c r="Q54" s="18"/>
      <c r="R54" s="18"/>
      <c r="S54" s="18"/>
      <c r="T54" s="16" t="str">
        <f>IF($A54="","",COUNTIFS('LỆNH ĐIỀU XE'!$B$5:$B$604,$A54,'LỆNH ĐIỀU XE'!$C$5:$C$604,$B54))</f>
        <v/>
      </c>
      <c r="U54" s="27" t="str">
        <f>IF($A54="","",SUMIFS('LỆNH ĐIỀU XE'!$J$5:$J$604,'LỆNH ĐIỀU XE'!$B$5:$B$604,$A54,'LỆNH ĐIỀU XE'!$C$5:$C$604,$B54))</f>
        <v/>
      </c>
      <c r="V54" s="22" t="str">
        <f t="shared" si="0"/>
        <v/>
      </c>
      <c r="W54" s="28" t="str">
        <f t="shared" si="1"/>
        <v/>
      </c>
      <c r="X54" s="28" t="str">
        <f t="shared" si="2"/>
        <v/>
      </c>
      <c r="Y54" s="28" t="str">
        <f t="shared" si="3"/>
        <v/>
      </c>
      <c r="Z54" s="22" t="str">
        <f t="shared" si="4"/>
        <v/>
      </c>
      <c r="AA54" s="28" t="str">
        <f t="shared" si="5"/>
        <v/>
      </c>
      <c r="AB54" s="28" t="str">
        <f t="shared" si="6"/>
        <v/>
      </c>
      <c r="AC54" s="28" t="str">
        <f>IF($A54="","",SUMIFS('CHẶNG TĂNG CA'!$E$5:$E$304,'CHẶNG TĂNG CA'!$A$5:$A$304,$A54,'CHẶNG TĂNG CA'!$B$5:$B$304,$B54))</f>
        <v/>
      </c>
      <c r="AD54" s="28" t="str">
        <f>IF($A54="","",SUMIFS('CHẶNG TĂNG CA'!$F$5:$F$304,'CHẶNG TĂNG CA'!$A$5:$A$304,$A54,'CHẶNG TĂNG CA'!$B$5:$B$304,$B54))</f>
        <v/>
      </c>
      <c r="AE54" s="28" t="str">
        <f>IF($A54="","",SUMIFS('CHẶNG TĂNG CA'!$G$5:$G$304,'CHẶNG TĂNG CA'!$A$5:$A$304,$A54,'CHẶNG TĂNG CA'!$B$5:$B$304,$B54))</f>
        <v/>
      </c>
      <c r="AF54" s="28" t="str">
        <f>IF($A54="","",SUMIFS('CHẶNG TĂNG CA'!$H$5:$H$304,'CHẶNG TĂNG CA'!$A$5:$A$304,$A54,'CHẶNG TĂNG CA'!$B$5:$B$304,$B54))</f>
        <v/>
      </c>
      <c r="AG54" s="28" t="str">
        <f t="shared" si="7"/>
        <v/>
      </c>
      <c r="AH54" s="16" t="str">
        <f>IF($A54="","",IF(COUNTIFS('LỆNH ĐIỀU XE'!$B$5:$B$604,$A54,'LỆNH ĐIỀU XE'!$C$5:$C$604,$B54,'LỆNH ĐIỀU XE'!$N$5:$N$604,"Có")&gt;0,"Có","Không"))</f>
        <v/>
      </c>
      <c r="AI54" s="16" t="str">
        <f>IF(OR($A54="",H54="",N(T54)=0),"",IF(_xlfn.MAXIFS('LỆNH ĐIỀU XE'!$U$5:$U$604,'LỆNH ĐIỀU XE'!$B$5:$B$604,$A54,'LỆNH ĐIỀU XE'!$C$5:$C$604,$B54)=0,"",ROUND((H54+(H54&lt;4/24)-_xlfn.MAXIFS('LỆNH ĐIỀU XE'!$U$5:$U$604,'LỆNH ĐIỀU XE'!$B$5:$B$604,$A54,'LỆNH ĐIỀU XE'!$C$5:$C$604,$B54))*1440,0)))</f>
        <v/>
      </c>
      <c r="AJ54" s="16" t="str">
        <f>IF($A54="","",IF(OR(AI54="",V54=""),"Thiếu dữ liệu",IF(AND(AI54&lt;='THAM SỐ'!$B$29,ABS(V54)&lt;='THAM SỐ'!$B$28),"Đạt","Không đạt")))</f>
        <v/>
      </c>
      <c r="AK54" s="16" t="str">
        <f t="shared" si="8"/>
        <v/>
      </c>
      <c r="AL54" s="16" t="str">
        <f>IF($A54="","",TRIM(IF(T54=0,"Không có lệnh; ","")&amp;IF(N(N54)&gt;0,"Dừng ngoài lệnh; ","")&amp;IF(N(J54)&gt;0,"Quá tốc độ; ","")&amp;IF(N(K54)&gt;0,"Lái quá 4h; ","")&amp;IF(N(L54)&gt;0,"Không tắt máy; ","")&amp;IF(OR(P54&lt;&gt;"Đủ",Q54&lt;&gt;"Đủ",R54&lt;&gt;"Đủ"),"Thiếu ảnh; ","")&amp;IF(S54&lt;&gt;"Đạt","Lốp chưa đạt; ","")&amp;IF(N(W54)&gt;'THAM SỐ'!$B$27,"Có mặt quá giờ; ","")&amp;IF(N(X54)&gt;'THAM SỐ'!$B$25,"Lái quá giờ ngày; ","")&amp;IF(ISNUMBER(V54),IF(ABS(V54)&gt;'THAM SỐ'!$B$28,"Lệch km; ",""),"")))</f>
        <v/>
      </c>
      <c r="AM54" s="29"/>
      <c r="AN54" s="30"/>
      <c r="AO54" s="28" t="str">
        <f t="shared" si="9"/>
        <v/>
      </c>
      <c r="AP54" s="21" t="str">
        <f>IF(OR($A54="",AO54=""),"",IF(AG54=0,0,ROUND((AC54*'THAM SỐ'!$B$18+AD54*'THAM SỐ'!$B$19+AE54*'THAM SỐ'!$B$20+AF54*'THAM SỐ'!$B$21)*MIN(1,AO54/AG54),0)))</f>
        <v/>
      </c>
      <c r="AQ54" s="18"/>
    </row>
    <row r="55" spans="1:43" x14ac:dyDescent="0.45">
      <c r="A55" s="17"/>
      <c r="B55" s="18"/>
      <c r="C55" s="18"/>
      <c r="D55" s="25"/>
      <c r="E55" s="26"/>
      <c r="F55" s="26"/>
      <c r="G55" s="20"/>
      <c r="H55" s="20"/>
      <c r="I55" s="18"/>
      <c r="J55" s="18"/>
      <c r="K55" s="18"/>
      <c r="L55" s="18"/>
      <c r="M55" s="18"/>
      <c r="N55" s="18"/>
      <c r="O55" s="18"/>
      <c r="P55" s="18"/>
      <c r="Q55" s="18"/>
      <c r="R55" s="18"/>
      <c r="S55" s="18"/>
      <c r="T55" s="16" t="str">
        <f>IF($A55="","",COUNTIFS('LỆNH ĐIỀU XE'!$B$5:$B$604,$A55,'LỆNH ĐIỀU XE'!$C$5:$C$604,$B55))</f>
        <v/>
      </c>
      <c r="U55" s="27" t="str">
        <f>IF($A55="","",SUMIFS('LỆNH ĐIỀU XE'!$J$5:$J$604,'LỆNH ĐIỀU XE'!$B$5:$B$604,$A55,'LỆNH ĐIỀU XE'!$C$5:$C$604,$B55))</f>
        <v/>
      </c>
      <c r="V55" s="22" t="str">
        <f t="shared" si="0"/>
        <v/>
      </c>
      <c r="W55" s="28" t="str">
        <f t="shared" si="1"/>
        <v/>
      </c>
      <c r="X55" s="28" t="str">
        <f t="shared" si="2"/>
        <v/>
      </c>
      <c r="Y55" s="28" t="str">
        <f t="shared" si="3"/>
        <v/>
      </c>
      <c r="Z55" s="22" t="str">
        <f t="shared" si="4"/>
        <v/>
      </c>
      <c r="AA55" s="28" t="str">
        <f t="shared" si="5"/>
        <v/>
      </c>
      <c r="AB55" s="28" t="str">
        <f t="shared" si="6"/>
        <v/>
      </c>
      <c r="AC55" s="28" t="str">
        <f>IF($A55="","",SUMIFS('CHẶNG TĂNG CA'!$E$5:$E$304,'CHẶNG TĂNG CA'!$A$5:$A$304,$A55,'CHẶNG TĂNG CA'!$B$5:$B$304,$B55))</f>
        <v/>
      </c>
      <c r="AD55" s="28" t="str">
        <f>IF($A55="","",SUMIFS('CHẶNG TĂNG CA'!$F$5:$F$304,'CHẶNG TĂNG CA'!$A$5:$A$304,$A55,'CHẶNG TĂNG CA'!$B$5:$B$304,$B55))</f>
        <v/>
      </c>
      <c r="AE55" s="28" t="str">
        <f>IF($A55="","",SUMIFS('CHẶNG TĂNG CA'!$G$5:$G$304,'CHẶNG TĂNG CA'!$A$5:$A$304,$A55,'CHẶNG TĂNG CA'!$B$5:$B$304,$B55))</f>
        <v/>
      </c>
      <c r="AF55" s="28" t="str">
        <f>IF($A55="","",SUMIFS('CHẶNG TĂNG CA'!$H$5:$H$304,'CHẶNG TĂNG CA'!$A$5:$A$304,$A55,'CHẶNG TĂNG CA'!$B$5:$B$304,$B55))</f>
        <v/>
      </c>
      <c r="AG55" s="28" t="str">
        <f t="shared" si="7"/>
        <v/>
      </c>
      <c r="AH55" s="16" t="str">
        <f>IF($A55="","",IF(COUNTIFS('LỆNH ĐIỀU XE'!$B$5:$B$604,$A55,'LỆNH ĐIỀU XE'!$C$5:$C$604,$B55,'LỆNH ĐIỀU XE'!$N$5:$N$604,"Có")&gt;0,"Có","Không"))</f>
        <v/>
      </c>
      <c r="AI55" s="16" t="str">
        <f>IF(OR($A55="",H55="",N(T55)=0),"",IF(_xlfn.MAXIFS('LỆNH ĐIỀU XE'!$U$5:$U$604,'LỆNH ĐIỀU XE'!$B$5:$B$604,$A55,'LỆNH ĐIỀU XE'!$C$5:$C$604,$B55)=0,"",ROUND((H55+(H55&lt;4/24)-_xlfn.MAXIFS('LỆNH ĐIỀU XE'!$U$5:$U$604,'LỆNH ĐIỀU XE'!$B$5:$B$604,$A55,'LỆNH ĐIỀU XE'!$C$5:$C$604,$B55))*1440,0)))</f>
        <v/>
      </c>
      <c r="AJ55" s="16" t="str">
        <f>IF($A55="","",IF(OR(AI55="",V55=""),"Thiếu dữ liệu",IF(AND(AI55&lt;='THAM SỐ'!$B$29,ABS(V55)&lt;='THAM SỐ'!$B$28),"Đạt","Không đạt")))</f>
        <v/>
      </c>
      <c r="AK55" s="16" t="str">
        <f t="shared" si="8"/>
        <v/>
      </c>
      <c r="AL55" s="16" t="str">
        <f>IF($A55="","",TRIM(IF(T55=0,"Không có lệnh; ","")&amp;IF(N(N55)&gt;0,"Dừng ngoài lệnh; ","")&amp;IF(N(J55)&gt;0,"Quá tốc độ; ","")&amp;IF(N(K55)&gt;0,"Lái quá 4h; ","")&amp;IF(N(L55)&gt;0,"Không tắt máy; ","")&amp;IF(OR(P55&lt;&gt;"Đủ",Q55&lt;&gt;"Đủ",R55&lt;&gt;"Đủ"),"Thiếu ảnh; ","")&amp;IF(S55&lt;&gt;"Đạt","Lốp chưa đạt; ","")&amp;IF(N(W55)&gt;'THAM SỐ'!$B$27,"Có mặt quá giờ; ","")&amp;IF(N(X55)&gt;'THAM SỐ'!$B$25,"Lái quá giờ ngày; ","")&amp;IF(ISNUMBER(V55),IF(ABS(V55)&gt;'THAM SỐ'!$B$28,"Lệch km; ",""),"")))</f>
        <v/>
      </c>
      <c r="AM55" s="29"/>
      <c r="AN55" s="30"/>
      <c r="AO55" s="28" t="str">
        <f t="shared" si="9"/>
        <v/>
      </c>
      <c r="AP55" s="21" t="str">
        <f>IF(OR($A55="",AO55=""),"",IF(AG55=0,0,ROUND((AC55*'THAM SỐ'!$B$18+AD55*'THAM SỐ'!$B$19+AE55*'THAM SỐ'!$B$20+AF55*'THAM SỐ'!$B$21)*MIN(1,AO55/AG55),0)))</f>
        <v/>
      </c>
      <c r="AQ55" s="18"/>
    </row>
    <row r="56" spans="1:43" x14ac:dyDescent="0.45">
      <c r="A56" s="17"/>
      <c r="B56" s="18"/>
      <c r="C56" s="18"/>
      <c r="D56" s="25"/>
      <c r="E56" s="26"/>
      <c r="F56" s="26"/>
      <c r="G56" s="20"/>
      <c r="H56" s="20"/>
      <c r="I56" s="18"/>
      <c r="J56" s="18"/>
      <c r="K56" s="18"/>
      <c r="L56" s="18"/>
      <c r="M56" s="18"/>
      <c r="N56" s="18"/>
      <c r="O56" s="18"/>
      <c r="P56" s="18"/>
      <c r="Q56" s="18"/>
      <c r="R56" s="18"/>
      <c r="S56" s="18"/>
      <c r="T56" s="16" t="str">
        <f>IF($A56="","",COUNTIFS('LỆNH ĐIỀU XE'!$B$5:$B$604,$A56,'LỆNH ĐIỀU XE'!$C$5:$C$604,$B56))</f>
        <v/>
      </c>
      <c r="U56" s="27" t="str">
        <f>IF($A56="","",SUMIFS('LỆNH ĐIỀU XE'!$J$5:$J$604,'LỆNH ĐIỀU XE'!$B$5:$B$604,$A56,'LỆNH ĐIỀU XE'!$C$5:$C$604,$B56))</f>
        <v/>
      </c>
      <c r="V56" s="22" t="str">
        <f t="shared" si="0"/>
        <v/>
      </c>
      <c r="W56" s="28" t="str">
        <f t="shared" si="1"/>
        <v/>
      </c>
      <c r="X56" s="28" t="str">
        <f t="shared" si="2"/>
        <v/>
      </c>
      <c r="Y56" s="28" t="str">
        <f t="shared" si="3"/>
        <v/>
      </c>
      <c r="Z56" s="22" t="str">
        <f t="shared" si="4"/>
        <v/>
      </c>
      <c r="AA56" s="28" t="str">
        <f t="shared" si="5"/>
        <v/>
      </c>
      <c r="AB56" s="28" t="str">
        <f t="shared" si="6"/>
        <v/>
      </c>
      <c r="AC56" s="28" t="str">
        <f>IF($A56="","",SUMIFS('CHẶNG TĂNG CA'!$E$5:$E$304,'CHẶNG TĂNG CA'!$A$5:$A$304,$A56,'CHẶNG TĂNG CA'!$B$5:$B$304,$B56))</f>
        <v/>
      </c>
      <c r="AD56" s="28" t="str">
        <f>IF($A56="","",SUMIFS('CHẶNG TĂNG CA'!$F$5:$F$304,'CHẶNG TĂNG CA'!$A$5:$A$304,$A56,'CHẶNG TĂNG CA'!$B$5:$B$304,$B56))</f>
        <v/>
      </c>
      <c r="AE56" s="28" t="str">
        <f>IF($A56="","",SUMIFS('CHẶNG TĂNG CA'!$G$5:$G$304,'CHẶNG TĂNG CA'!$A$5:$A$304,$A56,'CHẶNG TĂNG CA'!$B$5:$B$304,$B56))</f>
        <v/>
      </c>
      <c r="AF56" s="28" t="str">
        <f>IF($A56="","",SUMIFS('CHẶNG TĂNG CA'!$H$5:$H$304,'CHẶNG TĂNG CA'!$A$5:$A$304,$A56,'CHẶNG TĂNG CA'!$B$5:$B$304,$B56))</f>
        <v/>
      </c>
      <c r="AG56" s="28" t="str">
        <f t="shared" si="7"/>
        <v/>
      </c>
      <c r="AH56" s="16" t="str">
        <f>IF($A56="","",IF(COUNTIFS('LỆNH ĐIỀU XE'!$B$5:$B$604,$A56,'LỆNH ĐIỀU XE'!$C$5:$C$604,$B56,'LỆNH ĐIỀU XE'!$N$5:$N$604,"Có")&gt;0,"Có","Không"))</f>
        <v/>
      </c>
      <c r="AI56" s="16" t="str">
        <f>IF(OR($A56="",H56="",N(T56)=0),"",IF(_xlfn.MAXIFS('LỆNH ĐIỀU XE'!$U$5:$U$604,'LỆNH ĐIỀU XE'!$B$5:$B$604,$A56,'LỆNH ĐIỀU XE'!$C$5:$C$604,$B56)=0,"",ROUND((H56+(H56&lt;4/24)-_xlfn.MAXIFS('LỆNH ĐIỀU XE'!$U$5:$U$604,'LỆNH ĐIỀU XE'!$B$5:$B$604,$A56,'LỆNH ĐIỀU XE'!$C$5:$C$604,$B56))*1440,0)))</f>
        <v/>
      </c>
      <c r="AJ56" s="16" t="str">
        <f>IF($A56="","",IF(OR(AI56="",V56=""),"Thiếu dữ liệu",IF(AND(AI56&lt;='THAM SỐ'!$B$29,ABS(V56)&lt;='THAM SỐ'!$B$28),"Đạt","Không đạt")))</f>
        <v/>
      </c>
      <c r="AK56" s="16" t="str">
        <f t="shared" si="8"/>
        <v/>
      </c>
      <c r="AL56" s="16" t="str">
        <f>IF($A56="","",TRIM(IF(T56=0,"Không có lệnh; ","")&amp;IF(N(N56)&gt;0,"Dừng ngoài lệnh; ","")&amp;IF(N(J56)&gt;0,"Quá tốc độ; ","")&amp;IF(N(K56)&gt;0,"Lái quá 4h; ","")&amp;IF(N(L56)&gt;0,"Không tắt máy; ","")&amp;IF(OR(P56&lt;&gt;"Đủ",Q56&lt;&gt;"Đủ",R56&lt;&gt;"Đủ"),"Thiếu ảnh; ","")&amp;IF(S56&lt;&gt;"Đạt","Lốp chưa đạt; ","")&amp;IF(N(W56)&gt;'THAM SỐ'!$B$27,"Có mặt quá giờ; ","")&amp;IF(N(X56)&gt;'THAM SỐ'!$B$25,"Lái quá giờ ngày; ","")&amp;IF(ISNUMBER(V56),IF(ABS(V56)&gt;'THAM SỐ'!$B$28,"Lệch km; ",""),"")))</f>
        <v/>
      </c>
      <c r="AM56" s="29"/>
      <c r="AN56" s="30"/>
      <c r="AO56" s="28" t="str">
        <f t="shared" si="9"/>
        <v/>
      </c>
      <c r="AP56" s="21" t="str">
        <f>IF(OR($A56="",AO56=""),"",IF(AG56=0,0,ROUND((AC56*'THAM SỐ'!$B$18+AD56*'THAM SỐ'!$B$19+AE56*'THAM SỐ'!$B$20+AF56*'THAM SỐ'!$B$21)*MIN(1,AO56/AG56),0)))</f>
        <v/>
      </c>
      <c r="AQ56" s="18"/>
    </row>
    <row r="57" spans="1:43" x14ac:dyDescent="0.45">
      <c r="A57" s="17"/>
      <c r="B57" s="18"/>
      <c r="C57" s="18"/>
      <c r="D57" s="25"/>
      <c r="E57" s="26"/>
      <c r="F57" s="26"/>
      <c r="G57" s="20"/>
      <c r="H57" s="20"/>
      <c r="I57" s="18"/>
      <c r="J57" s="18"/>
      <c r="K57" s="18"/>
      <c r="L57" s="18"/>
      <c r="M57" s="18"/>
      <c r="N57" s="18"/>
      <c r="O57" s="18"/>
      <c r="P57" s="18"/>
      <c r="Q57" s="18"/>
      <c r="R57" s="18"/>
      <c r="S57" s="18"/>
      <c r="T57" s="16" t="str">
        <f>IF($A57="","",COUNTIFS('LỆNH ĐIỀU XE'!$B$5:$B$604,$A57,'LỆNH ĐIỀU XE'!$C$5:$C$604,$B57))</f>
        <v/>
      </c>
      <c r="U57" s="27" t="str">
        <f>IF($A57="","",SUMIFS('LỆNH ĐIỀU XE'!$J$5:$J$604,'LỆNH ĐIỀU XE'!$B$5:$B$604,$A57,'LỆNH ĐIỀU XE'!$C$5:$C$604,$B57))</f>
        <v/>
      </c>
      <c r="V57" s="22" t="str">
        <f t="shared" si="0"/>
        <v/>
      </c>
      <c r="W57" s="28" t="str">
        <f t="shared" si="1"/>
        <v/>
      </c>
      <c r="X57" s="28" t="str">
        <f t="shared" si="2"/>
        <v/>
      </c>
      <c r="Y57" s="28" t="str">
        <f t="shared" si="3"/>
        <v/>
      </c>
      <c r="Z57" s="22" t="str">
        <f t="shared" si="4"/>
        <v/>
      </c>
      <c r="AA57" s="28" t="str">
        <f t="shared" si="5"/>
        <v/>
      </c>
      <c r="AB57" s="28" t="str">
        <f t="shared" si="6"/>
        <v/>
      </c>
      <c r="AC57" s="28" t="str">
        <f>IF($A57="","",SUMIFS('CHẶNG TĂNG CA'!$E$5:$E$304,'CHẶNG TĂNG CA'!$A$5:$A$304,$A57,'CHẶNG TĂNG CA'!$B$5:$B$304,$B57))</f>
        <v/>
      </c>
      <c r="AD57" s="28" t="str">
        <f>IF($A57="","",SUMIFS('CHẶNG TĂNG CA'!$F$5:$F$304,'CHẶNG TĂNG CA'!$A$5:$A$304,$A57,'CHẶNG TĂNG CA'!$B$5:$B$304,$B57))</f>
        <v/>
      </c>
      <c r="AE57" s="28" t="str">
        <f>IF($A57="","",SUMIFS('CHẶNG TĂNG CA'!$G$5:$G$304,'CHẶNG TĂNG CA'!$A$5:$A$304,$A57,'CHẶNG TĂNG CA'!$B$5:$B$304,$B57))</f>
        <v/>
      </c>
      <c r="AF57" s="28" t="str">
        <f>IF($A57="","",SUMIFS('CHẶNG TĂNG CA'!$H$5:$H$304,'CHẶNG TĂNG CA'!$A$5:$A$304,$A57,'CHẶNG TĂNG CA'!$B$5:$B$304,$B57))</f>
        <v/>
      </c>
      <c r="AG57" s="28" t="str">
        <f t="shared" si="7"/>
        <v/>
      </c>
      <c r="AH57" s="16" t="str">
        <f>IF($A57="","",IF(COUNTIFS('LỆNH ĐIỀU XE'!$B$5:$B$604,$A57,'LỆNH ĐIỀU XE'!$C$5:$C$604,$B57,'LỆNH ĐIỀU XE'!$N$5:$N$604,"Có")&gt;0,"Có","Không"))</f>
        <v/>
      </c>
      <c r="AI57" s="16" t="str">
        <f>IF(OR($A57="",H57="",N(T57)=0),"",IF(_xlfn.MAXIFS('LỆNH ĐIỀU XE'!$U$5:$U$604,'LỆNH ĐIỀU XE'!$B$5:$B$604,$A57,'LỆNH ĐIỀU XE'!$C$5:$C$604,$B57)=0,"",ROUND((H57+(H57&lt;4/24)-_xlfn.MAXIFS('LỆNH ĐIỀU XE'!$U$5:$U$604,'LỆNH ĐIỀU XE'!$B$5:$B$604,$A57,'LỆNH ĐIỀU XE'!$C$5:$C$604,$B57))*1440,0)))</f>
        <v/>
      </c>
      <c r="AJ57" s="16" t="str">
        <f>IF($A57="","",IF(OR(AI57="",V57=""),"Thiếu dữ liệu",IF(AND(AI57&lt;='THAM SỐ'!$B$29,ABS(V57)&lt;='THAM SỐ'!$B$28),"Đạt","Không đạt")))</f>
        <v/>
      </c>
      <c r="AK57" s="16" t="str">
        <f t="shared" si="8"/>
        <v/>
      </c>
      <c r="AL57" s="16" t="str">
        <f>IF($A57="","",TRIM(IF(T57=0,"Không có lệnh; ","")&amp;IF(N(N57)&gt;0,"Dừng ngoài lệnh; ","")&amp;IF(N(J57)&gt;0,"Quá tốc độ; ","")&amp;IF(N(K57)&gt;0,"Lái quá 4h; ","")&amp;IF(N(L57)&gt;0,"Không tắt máy; ","")&amp;IF(OR(P57&lt;&gt;"Đủ",Q57&lt;&gt;"Đủ",R57&lt;&gt;"Đủ"),"Thiếu ảnh; ","")&amp;IF(S57&lt;&gt;"Đạt","Lốp chưa đạt; ","")&amp;IF(N(W57)&gt;'THAM SỐ'!$B$27,"Có mặt quá giờ; ","")&amp;IF(N(X57)&gt;'THAM SỐ'!$B$25,"Lái quá giờ ngày; ","")&amp;IF(ISNUMBER(V57),IF(ABS(V57)&gt;'THAM SỐ'!$B$28,"Lệch km; ",""),"")))</f>
        <v/>
      </c>
      <c r="AM57" s="29"/>
      <c r="AN57" s="30"/>
      <c r="AO57" s="28" t="str">
        <f t="shared" si="9"/>
        <v/>
      </c>
      <c r="AP57" s="21" t="str">
        <f>IF(OR($A57="",AO57=""),"",IF(AG57=0,0,ROUND((AC57*'THAM SỐ'!$B$18+AD57*'THAM SỐ'!$B$19+AE57*'THAM SỐ'!$B$20+AF57*'THAM SỐ'!$B$21)*MIN(1,AO57/AG57),0)))</f>
        <v/>
      </c>
      <c r="AQ57" s="18"/>
    </row>
    <row r="58" spans="1:43" x14ac:dyDescent="0.45">
      <c r="A58" s="17"/>
      <c r="B58" s="18"/>
      <c r="C58" s="18"/>
      <c r="D58" s="25"/>
      <c r="E58" s="26"/>
      <c r="F58" s="26"/>
      <c r="G58" s="20"/>
      <c r="H58" s="20"/>
      <c r="I58" s="18"/>
      <c r="J58" s="18"/>
      <c r="K58" s="18"/>
      <c r="L58" s="18"/>
      <c r="M58" s="18"/>
      <c r="N58" s="18"/>
      <c r="O58" s="18"/>
      <c r="P58" s="18"/>
      <c r="Q58" s="18"/>
      <c r="R58" s="18"/>
      <c r="S58" s="18"/>
      <c r="T58" s="16" t="str">
        <f>IF($A58="","",COUNTIFS('LỆNH ĐIỀU XE'!$B$5:$B$604,$A58,'LỆNH ĐIỀU XE'!$C$5:$C$604,$B58))</f>
        <v/>
      </c>
      <c r="U58" s="27" t="str">
        <f>IF($A58="","",SUMIFS('LỆNH ĐIỀU XE'!$J$5:$J$604,'LỆNH ĐIỀU XE'!$B$5:$B$604,$A58,'LỆNH ĐIỀU XE'!$C$5:$C$604,$B58))</f>
        <v/>
      </c>
      <c r="V58" s="22" t="str">
        <f t="shared" si="0"/>
        <v/>
      </c>
      <c r="W58" s="28" t="str">
        <f t="shared" si="1"/>
        <v/>
      </c>
      <c r="X58" s="28" t="str">
        <f t="shared" si="2"/>
        <v/>
      </c>
      <c r="Y58" s="28" t="str">
        <f t="shared" si="3"/>
        <v/>
      </c>
      <c r="Z58" s="22" t="str">
        <f t="shared" si="4"/>
        <v/>
      </c>
      <c r="AA58" s="28" t="str">
        <f t="shared" si="5"/>
        <v/>
      </c>
      <c r="AB58" s="28" t="str">
        <f t="shared" si="6"/>
        <v/>
      </c>
      <c r="AC58" s="28" t="str">
        <f>IF($A58="","",SUMIFS('CHẶNG TĂNG CA'!$E$5:$E$304,'CHẶNG TĂNG CA'!$A$5:$A$304,$A58,'CHẶNG TĂNG CA'!$B$5:$B$304,$B58))</f>
        <v/>
      </c>
      <c r="AD58" s="28" t="str">
        <f>IF($A58="","",SUMIFS('CHẶNG TĂNG CA'!$F$5:$F$304,'CHẶNG TĂNG CA'!$A$5:$A$304,$A58,'CHẶNG TĂNG CA'!$B$5:$B$304,$B58))</f>
        <v/>
      </c>
      <c r="AE58" s="28" t="str">
        <f>IF($A58="","",SUMIFS('CHẶNG TĂNG CA'!$G$5:$G$304,'CHẶNG TĂNG CA'!$A$5:$A$304,$A58,'CHẶNG TĂNG CA'!$B$5:$B$304,$B58))</f>
        <v/>
      </c>
      <c r="AF58" s="28" t="str">
        <f>IF($A58="","",SUMIFS('CHẶNG TĂNG CA'!$H$5:$H$304,'CHẶNG TĂNG CA'!$A$5:$A$304,$A58,'CHẶNG TĂNG CA'!$B$5:$B$304,$B58))</f>
        <v/>
      </c>
      <c r="AG58" s="28" t="str">
        <f t="shared" si="7"/>
        <v/>
      </c>
      <c r="AH58" s="16" t="str">
        <f>IF($A58="","",IF(COUNTIFS('LỆNH ĐIỀU XE'!$B$5:$B$604,$A58,'LỆNH ĐIỀU XE'!$C$5:$C$604,$B58,'LỆNH ĐIỀU XE'!$N$5:$N$604,"Có")&gt;0,"Có","Không"))</f>
        <v/>
      </c>
      <c r="AI58" s="16" t="str">
        <f>IF(OR($A58="",H58="",N(T58)=0),"",IF(_xlfn.MAXIFS('LỆNH ĐIỀU XE'!$U$5:$U$604,'LỆNH ĐIỀU XE'!$B$5:$B$604,$A58,'LỆNH ĐIỀU XE'!$C$5:$C$604,$B58)=0,"",ROUND((H58+(H58&lt;4/24)-_xlfn.MAXIFS('LỆNH ĐIỀU XE'!$U$5:$U$604,'LỆNH ĐIỀU XE'!$B$5:$B$604,$A58,'LỆNH ĐIỀU XE'!$C$5:$C$604,$B58))*1440,0)))</f>
        <v/>
      </c>
      <c r="AJ58" s="16" t="str">
        <f>IF($A58="","",IF(OR(AI58="",V58=""),"Thiếu dữ liệu",IF(AND(AI58&lt;='THAM SỐ'!$B$29,ABS(V58)&lt;='THAM SỐ'!$B$28),"Đạt","Không đạt")))</f>
        <v/>
      </c>
      <c r="AK58" s="16" t="str">
        <f t="shared" si="8"/>
        <v/>
      </c>
      <c r="AL58" s="16" t="str">
        <f>IF($A58="","",TRIM(IF(T58=0,"Không có lệnh; ","")&amp;IF(N(N58)&gt;0,"Dừng ngoài lệnh; ","")&amp;IF(N(J58)&gt;0,"Quá tốc độ; ","")&amp;IF(N(K58)&gt;0,"Lái quá 4h; ","")&amp;IF(N(L58)&gt;0,"Không tắt máy; ","")&amp;IF(OR(P58&lt;&gt;"Đủ",Q58&lt;&gt;"Đủ",R58&lt;&gt;"Đủ"),"Thiếu ảnh; ","")&amp;IF(S58&lt;&gt;"Đạt","Lốp chưa đạt; ","")&amp;IF(N(W58)&gt;'THAM SỐ'!$B$27,"Có mặt quá giờ; ","")&amp;IF(N(X58)&gt;'THAM SỐ'!$B$25,"Lái quá giờ ngày; ","")&amp;IF(ISNUMBER(V58),IF(ABS(V58)&gt;'THAM SỐ'!$B$28,"Lệch km; ",""),"")))</f>
        <v/>
      </c>
      <c r="AM58" s="29"/>
      <c r="AN58" s="30"/>
      <c r="AO58" s="28" t="str">
        <f t="shared" si="9"/>
        <v/>
      </c>
      <c r="AP58" s="21" t="str">
        <f>IF(OR($A58="",AO58=""),"",IF(AG58=0,0,ROUND((AC58*'THAM SỐ'!$B$18+AD58*'THAM SỐ'!$B$19+AE58*'THAM SỐ'!$B$20+AF58*'THAM SỐ'!$B$21)*MIN(1,AO58/AG58),0)))</f>
        <v/>
      </c>
      <c r="AQ58" s="18"/>
    </row>
    <row r="59" spans="1:43" x14ac:dyDescent="0.45">
      <c r="A59" s="17"/>
      <c r="B59" s="18"/>
      <c r="C59" s="18"/>
      <c r="D59" s="25"/>
      <c r="E59" s="26"/>
      <c r="F59" s="26"/>
      <c r="G59" s="20"/>
      <c r="H59" s="20"/>
      <c r="I59" s="18"/>
      <c r="J59" s="18"/>
      <c r="K59" s="18"/>
      <c r="L59" s="18"/>
      <c r="M59" s="18"/>
      <c r="N59" s="18"/>
      <c r="O59" s="18"/>
      <c r="P59" s="18"/>
      <c r="Q59" s="18"/>
      <c r="R59" s="18"/>
      <c r="S59" s="18"/>
      <c r="T59" s="16" t="str">
        <f>IF($A59="","",COUNTIFS('LỆNH ĐIỀU XE'!$B$5:$B$604,$A59,'LỆNH ĐIỀU XE'!$C$5:$C$604,$B59))</f>
        <v/>
      </c>
      <c r="U59" s="27" t="str">
        <f>IF($A59="","",SUMIFS('LỆNH ĐIỀU XE'!$J$5:$J$604,'LỆNH ĐIỀU XE'!$B$5:$B$604,$A59,'LỆNH ĐIỀU XE'!$C$5:$C$604,$B59))</f>
        <v/>
      </c>
      <c r="V59" s="22" t="str">
        <f t="shared" si="0"/>
        <v/>
      </c>
      <c r="W59" s="28" t="str">
        <f t="shared" si="1"/>
        <v/>
      </c>
      <c r="X59" s="28" t="str">
        <f t="shared" si="2"/>
        <v/>
      </c>
      <c r="Y59" s="28" t="str">
        <f t="shared" si="3"/>
        <v/>
      </c>
      <c r="Z59" s="22" t="str">
        <f t="shared" si="4"/>
        <v/>
      </c>
      <c r="AA59" s="28" t="str">
        <f t="shared" si="5"/>
        <v/>
      </c>
      <c r="AB59" s="28" t="str">
        <f t="shared" si="6"/>
        <v/>
      </c>
      <c r="AC59" s="28" t="str">
        <f>IF($A59="","",SUMIFS('CHẶNG TĂNG CA'!$E$5:$E$304,'CHẶNG TĂNG CA'!$A$5:$A$304,$A59,'CHẶNG TĂNG CA'!$B$5:$B$304,$B59))</f>
        <v/>
      </c>
      <c r="AD59" s="28" t="str">
        <f>IF($A59="","",SUMIFS('CHẶNG TĂNG CA'!$F$5:$F$304,'CHẶNG TĂNG CA'!$A$5:$A$304,$A59,'CHẶNG TĂNG CA'!$B$5:$B$304,$B59))</f>
        <v/>
      </c>
      <c r="AE59" s="28" t="str">
        <f>IF($A59="","",SUMIFS('CHẶNG TĂNG CA'!$G$5:$G$304,'CHẶNG TĂNG CA'!$A$5:$A$304,$A59,'CHẶNG TĂNG CA'!$B$5:$B$304,$B59))</f>
        <v/>
      </c>
      <c r="AF59" s="28" t="str">
        <f>IF($A59="","",SUMIFS('CHẶNG TĂNG CA'!$H$5:$H$304,'CHẶNG TĂNG CA'!$A$5:$A$304,$A59,'CHẶNG TĂNG CA'!$B$5:$B$304,$B59))</f>
        <v/>
      </c>
      <c r="AG59" s="28" t="str">
        <f t="shared" si="7"/>
        <v/>
      </c>
      <c r="AH59" s="16" t="str">
        <f>IF($A59="","",IF(COUNTIFS('LỆNH ĐIỀU XE'!$B$5:$B$604,$A59,'LỆNH ĐIỀU XE'!$C$5:$C$604,$B59,'LỆNH ĐIỀU XE'!$N$5:$N$604,"Có")&gt;0,"Có","Không"))</f>
        <v/>
      </c>
      <c r="AI59" s="16" t="str">
        <f>IF(OR($A59="",H59="",N(T59)=0),"",IF(_xlfn.MAXIFS('LỆNH ĐIỀU XE'!$U$5:$U$604,'LỆNH ĐIỀU XE'!$B$5:$B$604,$A59,'LỆNH ĐIỀU XE'!$C$5:$C$604,$B59)=0,"",ROUND((H59+(H59&lt;4/24)-_xlfn.MAXIFS('LỆNH ĐIỀU XE'!$U$5:$U$604,'LỆNH ĐIỀU XE'!$B$5:$B$604,$A59,'LỆNH ĐIỀU XE'!$C$5:$C$604,$B59))*1440,0)))</f>
        <v/>
      </c>
      <c r="AJ59" s="16" t="str">
        <f>IF($A59="","",IF(OR(AI59="",V59=""),"Thiếu dữ liệu",IF(AND(AI59&lt;='THAM SỐ'!$B$29,ABS(V59)&lt;='THAM SỐ'!$B$28),"Đạt","Không đạt")))</f>
        <v/>
      </c>
      <c r="AK59" s="16" t="str">
        <f t="shared" si="8"/>
        <v/>
      </c>
      <c r="AL59" s="16" t="str">
        <f>IF($A59="","",TRIM(IF(T59=0,"Không có lệnh; ","")&amp;IF(N(N59)&gt;0,"Dừng ngoài lệnh; ","")&amp;IF(N(J59)&gt;0,"Quá tốc độ; ","")&amp;IF(N(K59)&gt;0,"Lái quá 4h; ","")&amp;IF(N(L59)&gt;0,"Không tắt máy; ","")&amp;IF(OR(P59&lt;&gt;"Đủ",Q59&lt;&gt;"Đủ",R59&lt;&gt;"Đủ"),"Thiếu ảnh; ","")&amp;IF(S59&lt;&gt;"Đạt","Lốp chưa đạt; ","")&amp;IF(N(W59)&gt;'THAM SỐ'!$B$27,"Có mặt quá giờ; ","")&amp;IF(N(X59)&gt;'THAM SỐ'!$B$25,"Lái quá giờ ngày; ","")&amp;IF(ISNUMBER(V59),IF(ABS(V59)&gt;'THAM SỐ'!$B$28,"Lệch km; ",""),"")))</f>
        <v/>
      </c>
      <c r="AM59" s="29"/>
      <c r="AN59" s="30"/>
      <c r="AO59" s="28" t="str">
        <f t="shared" si="9"/>
        <v/>
      </c>
      <c r="AP59" s="21" t="str">
        <f>IF(OR($A59="",AO59=""),"",IF(AG59=0,0,ROUND((AC59*'THAM SỐ'!$B$18+AD59*'THAM SỐ'!$B$19+AE59*'THAM SỐ'!$B$20+AF59*'THAM SỐ'!$B$21)*MIN(1,AO59/AG59),0)))</f>
        <v/>
      </c>
      <c r="AQ59" s="18"/>
    </row>
    <row r="60" spans="1:43" x14ac:dyDescent="0.45">
      <c r="A60" s="17"/>
      <c r="B60" s="18"/>
      <c r="C60" s="18"/>
      <c r="D60" s="25"/>
      <c r="E60" s="26"/>
      <c r="F60" s="26"/>
      <c r="G60" s="20"/>
      <c r="H60" s="20"/>
      <c r="I60" s="18"/>
      <c r="J60" s="18"/>
      <c r="K60" s="18"/>
      <c r="L60" s="18"/>
      <c r="M60" s="18"/>
      <c r="N60" s="18"/>
      <c r="O60" s="18"/>
      <c r="P60" s="18"/>
      <c r="Q60" s="18"/>
      <c r="R60" s="18"/>
      <c r="S60" s="18"/>
      <c r="T60" s="16" t="str">
        <f>IF($A60="","",COUNTIFS('LỆNH ĐIỀU XE'!$B$5:$B$604,$A60,'LỆNH ĐIỀU XE'!$C$5:$C$604,$B60))</f>
        <v/>
      </c>
      <c r="U60" s="27" t="str">
        <f>IF($A60="","",SUMIFS('LỆNH ĐIỀU XE'!$J$5:$J$604,'LỆNH ĐIỀU XE'!$B$5:$B$604,$A60,'LỆNH ĐIỀU XE'!$C$5:$C$604,$B60))</f>
        <v/>
      </c>
      <c r="V60" s="22" t="str">
        <f t="shared" si="0"/>
        <v/>
      </c>
      <c r="W60" s="28" t="str">
        <f t="shared" si="1"/>
        <v/>
      </c>
      <c r="X60" s="28" t="str">
        <f t="shared" si="2"/>
        <v/>
      </c>
      <c r="Y60" s="28" t="str">
        <f t="shared" si="3"/>
        <v/>
      </c>
      <c r="Z60" s="22" t="str">
        <f t="shared" si="4"/>
        <v/>
      </c>
      <c r="AA60" s="28" t="str">
        <f t="shared" si="5"/>
        <v/>
      </c>
      <c r="AB60" s="28" t="str">
        <f t="shared" si="6"/>
        <v/>
      </c>
      <c r="AC60" s="28" t="str">
        <f>IF($A60="","",SUMIFS('CHẶNG TĂNG CA'!$E$5:$E$304,'CHẶNG TĂNG CA'!$A$5:$A$304,$A60,'CHẶNG TĂNG CA'!$B$5:$B$304,$B60))</f>
        <v/>
      </c>
      <c r="AD60" s="28" t="str">
        <f>IF($A60="","",SUMIFS('CHẶNG TĂNG CA'!$F$5:$F$304,'CHẶNG TĂNG CA'!$A$5:$A$304,$A60,'CHẶNG TĂNG CA'!$B$5:$B$304,$B60))</f>
        <v/>
      </c>
      <c r="AE60" s="28" t="str">
        <f>IF($A60="","",SUMIFS('CHẶNG TĂNG CA'!$G$5:$G$304,'CHẶNG TĂNG CA'!$A$5:$A$304,$A60,'CHẶNG TĂNG CA'!$B$5:$B$304,$B60))</f>
        <v/>
      </c>
      <c r="AF60" s="28" t="str">
        <f>IF($A60="","",SUMIFS('CHẶNG TĂNG CA'!$H$5:$H$304,'CHẶNG TĂNG CA'!$A$5:$A$304,$A60,'CHẶNG TĂNG CA'!$B$5:$B$304,$B60))</f>
        <v/>
      </c>
      <c r="AG60" s="28" t="str">
        <f t="shared" si="7"/>
        <v/>
      </c>
      <c r="AH60" s="16" t="str">
        <f>IF($A60="","",IF(COUNTIFS('LỆNH ĐIỀU XE'!$B$5:$B$604,$A60,'LỆNH ĐIỀU XE'!$C$5:$C$604,$B60,'LỆNH ĐIỀU XE'!$N$5:$N$604,"Có")&gt;0,"Có","Không"))</f>
        <v/>
      </c>
      <c r="AI60" s="16" t="str">
        <f>IF(OR($A60="",H60="",N(T60)=0),"",IF(_xlfn.MAXIFS('LỆNH ĐIỀU XE'!$U$5:$U$604,'LỆNH ĐIỀU XE'!$B$5:$B$604,$A60,'LỆNH ĐIỀU XE'!$C$5:$C$604,$B60)=0,"",ROUND((H60+(H60&lt;4/24)-_xlfn.MAXIFS('LỆNH ĐIỀU XE'!$U$5:$U$604,'LỆNH ĐIỀU XE'!$B$5:$B$604,$A60,'LỆNH ĐIỀU XE'!$C$5:$C$604,$B60))*1440,0)))</f>
        <v/>
      </c>
      <c r="AJ60" s="16" t="str">
        <f>IF($A60="","",IF(OR(AI60="",V60=""),"Thiếu dữ liệu",IF(AND(AI60&lt;='THAM SỐ'!$B$29,ABS(V60)&lt;='THAM SỐ'!$B$28),"Đạt","Không đạt")))</f>
        <v/>
      </c>
      <c r="AK60" s="16" t="str">
        <f t="shared" si="8"/>
        <v/>
      </c>
      <c r="AL60" s="16" t="str">
        <f>IF($A60="","",TRIM(IF(T60=0,"Không có lệnh; ","")&amp;IF(N(N60)&gt;0,"Dừng ngoài lệnh; ","")&amp;IF(N(J60)&gt;0,"Quá tốc độ; ","")&amp;IF(N(K60)&gt;0,"Lái quá 4h; ","")&amp;IF(N(L60)&gt;0,"Không tắt máy; ","")&amp;IF(OR(P60&lt;&gt;"Đủ",Q60&lt;&gt;"Đủ",R60&lt;&gt;"Đủ"),"Thiếu ảnh; ","")&amp;IF(S60&lt;&gt;"Đạt","Lốp chưa đạt; ","")&amp;IF(N(W60)&gt;'THAM SỐ'!$B$27,"Có mặt quá giờ; ","")&amp;IF(N(X60)&gt;'THAM SỐ'!$B$25,"Lái quá giờ ngày; ","")&amp;IF(ISNUMBER(V60),IF(ABS(V60)&gt;'THAM SỐ'!$B$28,"Lệch km; ",""),"")))</f>
        <v/>
      </c>
      <c r="AM60" s="29"/>
      <c r="AN60" s="30"/>
      <c r="AO60" s="28" t="str">
        <f t="shared" si="9"/>
        <v/>
      </c>
      <c r="AP60" s="21" t="str">
        <f>IF(OR($A60="",AO60=""),"",IF(AG60=0,0,ROUND((AC60*'THAM SỐ'!$B$18+AD60*'THAM SỐ'!$B$19+AE60*'THAM SỐ'!$B$20+AF60*'THAM SỐ'!$B$21)*MIN(1,AO60/AG60),0)))</f>
        <v/>
      </c>
      <c r="AQ60" s="18"/>
    </row>
    <row r="61" spans="1:43" x14ac:dyDescent="0.45">
      <c r="A61" s="17"/>
      <c r="B61" s="18"/>
      <c r="C61" s="18"/>
      <c r="D61" s="25"/>
      <c r="E61" s="26"/>
      <c r="F61" s="26"/>
      <c r="G61" s="20"/>
      <c r="H61" s="20"/>
      <c r="I61" s="18"/>
      <c r="J61" s="18"/>
      <c r="K61" s="18"/>
      <c r="L61" s="18"/>
      <c r="M61" s="18"/>
      <c r="N61" s="18"/>
      <c r="O61" s="18"/>
      <c r="P61" s="18"/>
      <c r="Q61" s="18"/>
      <c r="R61" s="18"/>
      <c r="S61" s="18"/>
      <c r="T61" s="16" t="str">
        <f>IF($A61="","",COUNTIFS('LỆNH ĐIỀU XE'!$B$5:$B$604,$A61,'LỆNH ĐIỀU XE'!$C$5:$C$604,$B61))</f>
        <v/>
      </c>
      <c r="U61" s="27" t="str">
        <f>IF($A61="","",SUMIFS('LỆNH ĐIỀU XE'!$J$5:$J$604,'LỆNH ĐIỀU XE'!$B$5:$B$604,$A61,'LỆNH ĐIỀU XE'!$C$5:$C$604,$B61))</f>
        <v/>
      </c>
      <c r="V61" s="22" t="str">
        <f t="shared" si="0"/>
        <v/>
      </c>
      <c r="W61" s="28" t="str">
        <f t="shared" si="1"/>
        <v/>
      </c>
      <c r="X61" s="28" t="str">
        <f t="shared" si="2"/>
        <v/>
      </c>
      <c r="Y61" s="28" t="str">
        <f t="shared" si="3"/>
        <v/>
      </c>
      <c r="Z61" s="22" t="str">
        <f t="shared" si="4"/>
        <v/>
      </c>
      <c r="AA61" s="28" t="str">
        <f t="shared" si="5"/>
        <v/>
      </c>
      <c r="AB61" s="28" t="str">
        <f t="shared" si="6"/>
        <v/>
      </c>
      <c r="AC61" s="28" t="str">
        <f>IF($A61="","",SUMIFS('CHẶNG TĂNG CA'!$E$5:$E$304,'CHẶNG TĂNG CA'!$A$5:$A$304,$A61,'CHẶNG TĂNG CA'!$B$5:$B$304,$B61))</f>
        <v/>
      </c>
      <c r="AD61" s="28" t="str">
        <f>IF($A61="","",SUMIFS('CHẶNG TĂNG CA'!$F$5:$F$304,'CHẶNG TĂNG CA'!$A$5:$A$304,$A61,'CHẶNG TĂNG CA'!$B$5:$B$304,$B61))</f>
        <v/>
      </c>
      <c r="AE61" s="28" t="str">
        <f>IF($A61="","",SUMIFS('CHẶNG TĂNG CA'!$G$5:$G$304,'CHẶNG TĂNG CA'!$A$5:$A$304,$A61,'CHẶNG TĂNG CA'!$B$5:$B$304,$B61))</f>
        <v/>
      </c>
      <c r="AF61" s="28" t="str">
        <f>IF($A61="","",SUMIFS('CHẶNG TĂNG CA'!$H$5:$H$304,'CHẶNG TĂNG CA'!$A$5:$A$304,$A61,'CHẶNG TĂNG CA'!$B$5:$B$304,$B61))</f>
        <v/>
      </c>
      <c r="AG61" s="28" t="str">
        <f t="shared" si="7"/>
        <v/>
      </c>
      <c r="AH61" s="16" t="str">
        <f>IF($A61="","",IF(COUNTIFS('LỆNH ĐIỀU XE'!$B$5:$B$604,$A61,'LỆNH ĐIỀU XE'!$C$5:$C$604,$B61,'LỆNH ĐIỀU XE'!$N$5:$N$604,"Có")&gt;0,"Có","Không"))</f>
        <v/>
      </c>
      <c r="AI61" s="16" t="str">
        <f>IF(OR($A61="",H61="",N(T61)=0),"",IF(_xlfn.MAXIFS('LỆNH ĐIỀU XE'!$U$5:$U$604,'LỆNH ĐIỀU XE'!$B$5:$B$604,$A61,'LỆNH ĐIỀU XE'!$C$5:$C$604,$B61)=0,"",ROUND((H61+(H61&lt;4/24)-_xlfn.MAXIFS('LỆNH ĐIỀU XE'!$U$5:$U$604,'LỆNH ĐIỀU XE'!$B$5:$B$604,$A61,'LỆNH ĐIỀU XE'!$C$5:$C$604,$B61))*1440,0)))</f>
        <v/>
      </c>
      <c r="AJ61" s="16" t="str">
        <f>IF($A61="","",IF(OR(AI61="",V61=""),"Thiếu dữ liệu",IF(AND(AI61&lt;='THAM SỐ'!$B$29,ABS(V61)&lt;='THAM SỐ'!$B$28),"Đạt","Không đạt")))</f>
        <v/>
      </c>
      <c r="AK61" s="16" t="str">
        <f t="shared" si="8"/>
        <v/>
      </c>
      <c r="AL61" s="16" t="str">
        <f>IF($A61="","",TRIM(IF(T61=0,"Không có lệnh; ","")&amp;IF(N(N61)&gt;0,"Dừng ngoài lệnh; ","")&amp;IF(N(J61)&gt;0,"Quá tốc độ; ","")&amp;IF(N(K61)&gt;0,"Lái quá 4h; ","")&amp;IF(N(L61)&gt;0,"Không tắt máy; ","")&amp;IF(OR(P61&lt;&gt;"Đủ",Q61&lt;&gt;"Đủ",R61&lt;&gt;"Đủ"),"Thiếu ảnh; ","")&amp;IF(S61&lt;&gt;"Đạt","Lốp chưa đạt; ","")&amp;IF(N(W61)&gt;'THAM SỐ'!$B$27,"Có mặt quá giờ; ","")&amp;IF(N(X61)&gt;'THAM SỐ'!$B$25,"Lái quá giờ ngày; ","")&amp;IF(ISNUMBER(V61),IF(ABS(V61)&gt;'THAM SỐ'!$B$28,"Lệch km; ",""),"")))</f>
        <v/>
      </c>
      <c r="AM61" s="29"/>
      <c r="AN61" s="30"/>
      <c r="AO61" s="28" t="str">
        <f t="shared" si="9"/>
        <v/>
      </c>
      <c r="AP61" s="21" t="str">
        <f>IF(OR($A61="",AO61=""),"",IF(AG61=0,0,ROUND((AC61*'THAM SỐ'!$B$18+AD61*'THAM SỐ'!$B$19+AE61*'THAM SỐ'!$B$20+AF61*'THAM SỐ'!$B$21)*MIN(1,AO61/AG61),0)))</f>
        <v/>
      </c>
      <c r="AQ61" s="18"/>
    </row>
    <row r="62" spans="1:43" x14ac:dyDescent="0.45">
      <c r="A62" s="17"/>
      <c r="B62" s="18"/>
      <c r="C62" s="18"/>
      <c r="D62" s="25"/>
      <c r="E62" s="26"/>
      <c r="F62" s="26"/>
      <c r="G62" s="20"/>
      <c r="H62" s="20"/>
      <c r="I62" s="18"/>
      <c r="J62" s="18"/>
      <c r="K62" s="18"/>
      <c r="L62" s="18"/>
      <c r="M62" s="18"/>
      <c r="N62" s="18"/>
      <c r="O62" s="18"/>
      <c r="P62" s="18"/>
      <c r="Q62" s="18"/>
      <c r="R62" s="18"/>
      <c r="S62" s="18"/>
      <c r="T62" s="16" t="str">
        <f>IF($A62="","",COUNTIFS('LỆNH ĐIỀU XE'!$B$5:$B$604,$A62,'LỆNH ĐIỀU XE'!$C$5:$C$604,$B62))</f>
        <v/>
      </c>
      <c r="U62" s="27" t="str">
        <f>IF($A62="","",SUMIFS('LỆNH ĐIỀU XE'!$J$5:$J$604,'LỆNH ĐIỀU XE'!$B$5:$B$604,$A62,'LỆNH ĐIỀU XE'!$C$5:$C$604,$B62))</f>
        <v/>
      </c>
      <c r="V62" s="22" t="str">
        <f t="shared" si="0"/>
        <v/>
      </c>
      <c r="W62" s="28" t="str">
        <f t="shared" si="1"/>
        <v/>
      </c>
      <c r="X62" s="28" t="str">
        <f t="shared" si="2"/>
        <v/>
      </c>
      <c r="Y62" s="28" t="str">
        <f t="shared" si="3"/>
        <v/>
      </c>
      <c r="Z62" s="22" t="str">
        <f t="shared" si="4"/>
        <v/>
      </c>
      <c r="AA62" s="28" t="str">
        <f t="shared" si="5"/>
        <v/>
      </c>
      <c r="AB62" s="28" t="str">
        <f t="shared" si="6"/>
        <v/>
      </c>
      <c r="AC62" s="28" t="str">
        <f>IF($A62="","",SUMIFS('CHẶNG TĂNG CA'!$E$5:$E$304,'CHẶNG TĂNG CA'!$A$5:$A$304,$A62,'CHẶNG TĂNG CA'!$B$5:$B$304,$B62))</f>
        <v/>
      </c>
      <c r="AD62" s="28" t="str">
        <f>IF($A62="","",SUMIFS('CHẶNG TĂNG CA'!$F$5:$F$304,'CHẶNG TĂNG CA'!$A$5:$A$304,$A62,'CHẶNG TĂNG CA'!$B$5:$B$304,$B62))</f>
        <v/>
      </c>
      <c r="AE62" s="28" t="str">
        <f>IF($A62="","",SUMIFS('CHẶNG TĂNG CA'!$G$5:$G$304,'CHẶNG TĂNG CA'!$A$5:$A$304,$A62,'CHẶNG TĂNG CA'!$B$5:$B$304,$B62))</f>
        <v/>
      </c>
      <c r="AF62" s="28" t="str">
        <f>IF($A62="","",SUMIFS('CHẶNG TĂNG CA'!$H$5:$H$304,'CHẶNG TĂNG CA'!$A$5:$A$304,$A62,'CHẶNG TĂNG CA'!$B$5:$B$304,$B62))</f>
        <v/>
      </c>
      <c r="AG62" s="28" t="str">
        <f t="shared" si="7"/>
        <v/>
      </c>
      <c r="AH62" s="16" t="str">
        <f>IF($A62="","",IF(COUNTIFS('LỆNH ĐIỀU XE'!$B$5:$B$604,$A62,'LỆNH ĐIỀU XE'!$C$5:$C$604,$B62,'LỆNH ĐIỀU XE'!$N$5:$N$604,"Có")&gt;0,"Có","Không"))</f>
        <v/>
      </c>
      <c r="AI62" s="16" t="str">
        <f>IF(OR($A62="",H62="",N(T62)=0),"",IF(_xlfn.MAXIFS('LỆNH ĐIỀU XE'!$U$5:$U$604,'LỆNH ĐIỀU XE'!$B$5:$B$604,$A62,'LỆNH ĐIỀU XE'!$C$5:$C$604,$B62)=0,"",ROUND((H62+(H62&lt;4/24)-_xlfn.MAXIFS('LỆNH ĐIỀU XE'!$U$5:$U$604,'LỆNH ĐIỀU XE'!$B$5:$B$604,$A62,'LỆNH ĐIỀU XE'!$C$5:$C$604,$B62))*1440,0)))</f>
        <v/>
      </c>
      <c r="AJ62" s="16" t="str">
        <f>IF($A62="","",IF(OR(AI62="",V62=""),"Thiếu dữ liệu",IF(AND(AI62&lt;='THAM SỐ'!$B$29,ABS(V62)&lt;='THAM SỐ'!$B$28),"Đạt","Không đạt")))</f>
        <v/>
      </c>
      <c r="AK62" s="16" t="str">
        <f t="shared" si="8"/>
        <v/>
      </c>
      <c r="AL62" s="16" t="str">
        <f>IF($A62="","",TRIM(IF(T62=0,"Không có lệnh; ","")&amp;IF(N(N62)&gt;0,"Dừng ngoài lệnh; ","")&amp;IF(N(J62)&gt;0,"Quá tốc độ; ","")&amp;IF(N(K62)&gt;0,"Lái quá 4h; ","")&amp;IF(N(L62)&gt;0,"Không tắt máy; ","")&amp;IF(OR(P62&lt;&gt;"Đủ",Q62&lt;&gt;"Đủ",R62&lt;&gt;"Đủ"),"Thiếu ảnh; ","")&amp;IF(S62&lt;&gt;"Đạt","Lốp chưa đạt; ","")&amp;IF(N(W62)&gt;'THAM SỐ'!$B$27,"Có mặt quá giờ; ","")&amp;IF(N(X62)&gt;'THAM SỐ'!$B$25,"Lái quá giờ ngày; ","")&amp;IF(ISNUMBER(V62),IF(ABS(V62)&gt;'THAM SỐ'!$B$28,"Lệch km; ",""),"")))</f>
        <v/>
      </c>
      <c r="AM62" s="29"/>
      <c r="AN62" s="30"/>
      <c r="AO62" s="28" t="str">
        <f t="shared" si="9"/>
        <v/>
      </c>
      <c r="AP62" s="21" t="str">
        <f>IF(OR($A62="",AO62=""),"",IF(AG62=0,0,ROUND((AC62*'THAM SỐ'!$B$18+AD62*'THAM SỐ'!$B$19+AE62*'THAM SỐ'!$B$20+AF62*'THAM SỐ'!$B$21)*MIN(1,AO62/AG62),0)))</f>
        <v/>
      </c>
      <c r="AQ62" s="18"/>
    </row>
    <row r="63" spans="1:43" x14ac:dyDescent="0.45">
      <c r="A63" s="17"/>
      <c r="B63" s="18"/>
      <c r="C63" s="18"/>
      <c r="D63" s="25"/>
      <c r="E63" s="26"/>
      <c r="F63" s="26"/>
      <c r="G63" s="20"/>
      <c r="H63" s="20"/>
      <c r="I63" s="18"/>
      <c r="J63" s="18"/>
      <c r="K63" s="18"/>
      <c r="L63" s="18"/>
      <c r="M63" s="18"/>
      <c r="N63" s="18"/>
      <c r="O63" s="18"/>
      <c r="P63" s="18"/>
      <c r="Q63" s="18"/>
      <c r="R63" s="18"/>
      <c r="S63" s="18"/>
      <c r="T63" s="16" t="str">
        <f>IF($A63="","",COUNTIFS('LỆNH ĐIỀU XE'!$B$5:$B$604,$A63,'LỆNH ĐIỀU XE'!$C$5:$C$604,$B63))</f>
        <v/>
      </c>
      <c r="U63" s="27" t="str">
        <f>IF($A63="","",SUMIFS('LỆNH ĐIỀU XE'!$J$5:$J$604,'LỆNH ĐIỀU XE'!$B$5:$B$604,$A63,'LỆNH ĐIỀU XE'!$C$5:$C$604,$B63))</f>
        <v/>
      </c>
      <c r="V63" s="22" t="str">
        <f t="shared" si="0"/>
        <v/>
      </c>
      <c r="W63" s="28" t="str">
        <f t="shared" si="1"/>
        <v/>
      </c>
      <c r="X63" s="28" t="str">
        <f t="shared" si="2"/>
        <v/>
      </c>
      <c r="Y63" s="28" t="str">
        <f t="shared" si="3"/>
        <v/>
      </c>
      <c r="Z63" s="22" t="str">
        <f t="shared" si="4"/>
        <v/>
      </c>
      <c r="AA63" s="28" t="str">
        <f t="shared" si="5"/>
        <v/>
      </c>
      <c r="AB63" s="28" t="str">
        <f t="shared" si="6"/>
        <v/>
      </c>
      <c r="AC63" s="28" t="str">
        <f>IF($A63="","",SUMIFS('CHẶNG TĂNG CA'!$E$5:$E$304,'CHẶNG TĂNG CA'!$A$5:$A$304,$A63,'CHẶNG TĂNG CA'!$B$5:$B$304,$B63))</f>
        <v/>
      </c>
      <c r="AD63" s="28" t="str">
        <f>IF($A63="","",SUMIFS('CHẶNG TĂNG CA'!$F$5:$F$304,'CHẶNG TĂNG CA'!$A$5:$A$304,$A63,'CHẶNG TĂNG CA'!$B$5:$B$304,$B63))</f>
        <v/>
      </c>
      <c r="AE63" s="28" t="str">
        <f>IF($A63="","",SUMIFS('CHẶNG TĂNG CA'!$G$5:$G$304,'CHẶNG TĂNG CA'!$A$5:$A$304,$A63,'CHẶNG TĂNG CA'!$B$5:$B$304,$B63))</f>
        <v/>
      </c>
      <c r="AF63" s="28" t="str">
        <f>IF($A63="","",SUMIFS('CHẶNG TĂNG CA'!$H$5:$H$304,'CHẶNG TĂNG CA'!$A$5:$A$304,$A63,'CHẶNG TĂNG CA'!$B$5:$B$304,$B63))</f>
        <v/>
      </c>
      <c r="AG63" s="28" t="str">
        <f t="shared" si="7"/>
        <v/>
      </c>
      <c r="AH63" s="16" t="str">
        <f>IF($A63="","",IF(COUNTIFS('LỆNH ĐIỀU XE'!$B$5:$B$604,$A63,'LỆNH ĐIỀU XE'!$C$5:$C$604,$B63,'LỆNH ĐIỀU XE'!$N$5:$N$604,"Có")&gt;0,"Có","Không"))</f>
        <v/>
      </c>
      <c r="AI63" s="16" t="str">
        <f>IF(OR($A63="",H63="",N(T63)=0),"",IF(_xlfn.MAXIFS('LỆNH ĐIỀU XE'!$U$5:$U$604,'LỆNH ĐIỀU XE'!$B$5:$B$604,$A63,'LỆNH ĐIỀU XE'!$C$5:$C$604,$B63)=0,"",ROUND((H63+(H63&lt;4/24)-_xlfn.MAXIFS('LỆNH ĐIỀU XE'!$U$5:$U$604,'LỆNH ĐIỀU XE'!$B$5:$B$604,$A63,'LỆNH ĐIỀU XE'!$C$5:$C$604,$B63))*1440,0)))</f>
        <v/>
      </c>
      <c r="AJ63" s="16" t="str">
        <f>IF($A63="","",IF(OR(AI63="",V63=""),"Thiếu dữ liệu",IF(AND(AI63&lt;='THAM SỐ'!$B$29,ABS(V63)&lt;='THAM SỐ'!$B$28),"Đạt","Không đạt")))</f>
        <v/>
      </c>
      <c r="AK63" s="16" t="str">
        <f t="shared" si="8"/>
        <v/>
      </c>
      <c r="AL63" s="16" t="str">
        <f>IF($A63="","",TRIM(IF(T63=0,"Không có lệnh; ","")&amp;IF(N(N63)&gt;0,"Dừng ngoài lệnh; ","")&amp;IF(N(J63)&gt;0,"Quá tốc độ; ","")&amp;IF(N(K63)&gt;0,"Lái quá 4h; ","")&amp;IF(N(L63)&gt;0,"Không tắt máy; ","")&amp;IF(OR(P63&lt;&gt;"Đủ",Q63&lt;&gt;"Đủ",R63&lt;&gt;"Đủ"),"Thiếu ảnh; ","")&amp;IF(S63&lt;&gt;"Đạt","Lốp chưa đạt; ","")&amp;IF(N(W63)&gt;'THAM SỐ'!$B$27,"Có mặt quá giờ; ","")&amp;IF(N(X63)&gt;'THAM SỐ'!$B$25,"Lái quá giờ ngày; ","")&amp;IF(ISNUMBER(V63),IF(ABS(V63)&gt;'THAM SỐ'!$B$28,"Lệch km; ",""),"")))</f>
        <v/>
      </c>
      <c r="AM63" s="29"/>
      <c r="AN63" s="30"/>
      <c r="AO63" s="28" t="str">
        <f t="shared" si="9"/>
        <v/>
      </c>
      <c r="AP63" s="21" t="str">
        <f>IF(OR($A63="",AO63=""),"",IF(AG63=0,0,ROUND((AC63*'THAM SỐ'!$B$18+AD63*'THAM SỐ'!$B$19+AE63*'THAM SỐ'!$B$20+AF63*'THAM SỐ'!$B$21)*MIN(1,AO63/AG63),0)))</f>
        <v/>
      </c>
      <c r="AQ63" s="18"/>
    </row>
    <row r="64" spans="1:43" x14ac:dyDescent="0.45">
      <c r="A64" s="17"/>
      <c r="B64" s="18"/>
      <c r="C64" s="18"/>
      <c r="D64" s="25"/>
      <c r="E64" s="26"/>
      <c r="F64" s="26"/>
      <c r="G64" s="20"/>
      <c r="H64" s="20"/>
      <c r="I64" s="18"/>
      <c r="J64" s="18"/>
      <c r="K64" s="18"/>
      <c r="L64" s="18"/>
      <c r="M64" s="18"/>
      <c r="N64" s="18"/>
      <c r="O64" s="18"/>
      <c r="P64" s="18"/>
      <c r="Q64" s="18"/>
      <c r="R64" s="18"/>
      <c r="S64" s="18"/>
      <c r="T64" s="16" t="str">
        <f>IF($A64="","",COUNTIFS('LỆNH ĐIỀU XE'!$B$5:$B$604,$A64,'LỆNH ĐIỀU XE'!$C$5:$C$604,$B64))</f>
        <v/>
      </c>
      <c r="U64" s="27" t="str">
        <f>IF($A64="","",SUMIFS('LỆNH ĐIỀU XE'!$J$5:$J$604,'LỆNH ĐIỀU XE'!$B$5:$B$604,$A64,'LỆNH ĐIỀU XE'!$C$5:$C$604,$B64))</f>
        <v/>
      </c>
      <c r="V64" s="22" t="str">
        <f t="shared" si="0"/>
        <v/>
      </c>
      <c r="W64" s="28" t="str">
        <f t="shared" si="1"/>
        <v/>
      </c>
      <c r="X64" s="28" t="str">
        <f t="shared" si="2"/>
        <v/>
      </c>
      <c r="Y64" s="28" t="str">
        <f t="shared" si="3"/>
        <v/>
      </c>
      <c r="Z64" s="22" t="str">
        <f t="shared" si="4"/>
        <v/>
      </c>
      <c r="AA64" s="28" t="str">
        <f t="shared" si="5"/>
        <v/>
      </c>
      <c r="AB64" s="28" t="str">
        <f t="shared" si="6"/>
        <v/>
      </c>
      <c r="AC64" s="28" t="str">
        <f>IF($A64="","",SUMIFS('CHẶNG TĂNG CA'!$E$5:$E$304,'CHẶNG TĂNG CA'!$A$5:$A$304,$A64,'CHẶNG TĂNG CA'!$B$5:$B$304,$B64))</f>
        <v/>
      </c>
      <c r="AD64" s="28" t="str">
        <f>IF($A64="","",SUMIFS('CHẶNG TĂNG CA'!$F$5:$F$304,'CHẶNG TĂNG CA'!$A$5:$A$304,$A64,'CHẶNG TĂNG CA'!$B$5:$B$304,$B64))</f>
        <v/>
      </c>
      <c r="AE64" s="28" t="str">
        <f>IF($A64="","",SUMIFS('CHẶNG TĂNG CA'!$G$5:$G$304,'CHẶNG TĂNG CA'!$A$5:$A$304,$A64,'CHẶNG TĂNG CA'!$B$5:$B$304,$B64))</f>
        <v/>
      </c>
      <c r="AF64" s="28" t="str">
        <f>IF($A64="","",SUMIFS('CHẶNG TĂNG CA'!$H$5:$H$304,'CHẶNG TĂNG CA'!$A$5:$A$304,$A64,'CHẶNG TĂNG CA'!$B$5:$B$304,$B64))</f>
        <v/>
      </c>
      <c r="AG64" s="28" t="str">
        <f t="shared" si="7"/>
        <v/>
      </c>
      <c r="AH64" s="16" t="str">
        <f>IF($A64="","",IF(COUNTIFS('LỆNH ĐIỀU XE'!$B$5:$B$604,$A64,'LỆNH ĐIỀU XE'!$C$5:$C$604,$B64,'LỆNH ĐIỀU XE'!$N$5:$N$604,"Có")&gt;0,"Có","Không"))</f>
        <v/>
      </c>
      <c r="AI64" s="16" t="str">
        <f>IF(OR($A64="",H64="",N(T64)=0),"",IF(_xlfn.MAXIFS('LỆNH ĐIỀU XE'!$U$5:$U$604,'LỆNH ĐIỀU XE'!$B$5:$B$604,$A64,'LỆNH ĐIỀU XE'!$C$5:$C$604,$B64)=0,"",ROUND((H64+(H64&lt;4/24)-_xlfn.MAXIFS('LỆNH ĐIỀU XE'!$U$5:$U$604,'LỆNH ĐIỀU XE'!$B$5:$B$604,$A64,'LỆNH ĐIỀU XE'!$C$5:$C$604,$B64))*1440,0)))</f>
        <v/>
      </c>
      <c r="AJ64" s="16" t="str">
        <f>IF($A64="","",IF(OR(AI64="",V64=""),"Thiếu dữ liệu",IF(AND(AI64&lt;='THAM SỐ'!$B$29,ABS(V64)&lt;='THAM SỐ'!$B$28),"Đạt","Không đạt")))</f>
        <v/>
      </c>
      <c r="AK64" s="16" t="str">
        <f t="shared" si="8"/>
        <v/>
      </c>
      <c r="AL64" s="16" t="str">
        <f>IF($A64="","",TRIM(IF(T64=0,"Không có lệnh; ","")&amp;IF(N(N64)&gt;0,"Dừng ngoài lệnh; ","")&amp;IF(N(J64)&gt;0,"Quá tốc độ; ","")&amp;IF(N(K64)&gt;0,"Lái quá 4h; ","")&amp;IF(N(L64)&gt;0,"Không tắt máy; ","")&amp;IF(OR(P64&lt;&gt;"Đủ",Q64&lt;&gt;"Đủ",R64&lt;&gt;"Đủ"),"Thiếu ảnh; ","")&amp;IF(S64&lt;&gt;"Đạt","Lốp chưa đạt; ","")&amp;IF(N(W64)&gt;'THAM SỐ'!$B$27,"Có mặt quá giờ; ","")&amp;IF(N(X64)&gt;'THAM SỐ'!$B$25,"Lái quá giờ ngày; ","")&amp;IF(ISNUMBER(V64),IF(ABS(V64)&gt;'THAM SỐ'!$B$28,"Lệch km; ",""),"")))</f>
        <v/>
      </c>
      <c r="AM64" s="29"/>
      <c r="AN64" s="30"/>
      <c r="AO64" s="28" t="str">
        <f t="shared" si="9"/>
        <v/>
      </c>
      <c r="AP64" s="21" t="str">
        <f>IF(OR($A64="",AO64=""),"",IF(AG64=0,0,ROUND((AC64*'THAM SỐ'!$B$18+AD64*'THAM SỐ'!$B$19+AE64*'THAM SỐ'!$B$20+AF64*'THAM SỐ'!$B$21)*MIN(1,AO64/AG64),0)))</f>
        <v/>
      </c>
      <c r="AQ64" s="18"/>
    </row>
    <row r="65" spans="1:43" x14ac:dyDescent="0.45">
      <c r="A65" s="17"/>
      <c r="B65" s="18"/>
      <c r="C65" s="18"/>
      <c r="D65" s="25"/>
      <c r="E65" s="26"/>
      <c r="F65" s="26"/>
      <c r="G65" s="20"/>
      <c r="H65" s="20"/>
      <c r="I65" s="18"/>
      <c r="J65" s="18"/>
      <c r="K65" s="18"/>
      <c r="L65" s="18"/>
      <c r="M65" s="18"/>
      <c r="N65" s="18"/>
      <c r="O65" s="18"/>
      <c r="P65" s="18"/>
      <c r="Q65" s="18"/>
      <c r="R65" s="18"/>
      <c r="S65" s="18"/>
      <c r="T65" s="16" t="str">
        <f>IF($A65="","",COUNTIFS('LỆNH ĐIỀU XE'!$B$5:$B$604,$A65,'LỆNH ĐIỀU XE'!$C$5:$C$604,$B65))</f>
        <v/>
      </c>
      <c r="U65" s="27" t="str">
        <f>IF($A65="","",SUMIFS('LỆNH ĐIỀU XE'!$J$5:$J$604,'LỆNH ĐIỀU XE'!$B$5:$B$604,$A65,'LỆNH ĐIỀU XE'!$C$5:$C$604,$B65))</f>
        <v/>
      </c>
      <c r="V65" s="22" t="str">
        <f t="shared" si="0"/>
        <v/>
      </c>
      <c r="W65" s="28" t="str">
        <f t="shared" si="1"/>
        <v/>
      </c>
      <c r="X65" s="28" t="str">
        <f t="shared" si="2"/>
        <v/>
      </c>
      <c r="Y65" s="28" t="str">
        <f t="shared" si="3"/>
        <v/>
      </c>
      <c r="Z65" s="22" t="str">
        <f t="shared" si="4"/>
        <v/>
      </c>
      <c r="AA65" s="28" t="str">
        <f t="shared" si="5"/>
        <v/>
      </c>
      <c r="AB65" s="28" t="str">
        <f t="shared" si="6"/>
        <v/>
      </c>
      <c r="AC65" s="28" t="str">
        <f>IF($A65="","",SUMIFS('CHẶNG TĂNG CA'!$E$5:$E$304,'CHẶNG TĂNG CA'!$A$5:$A$304,$A65,'CHẶNG TĂNG CA'!$B$5:$B$304,$B65))</f>
        <v/>
      </c>
      <c r="AD65" s="28" t="str">
        <f>IF($A65="","",SUMIFS('CHẶNG TĂNG CA'!$F$5:$F$304,'CHẶNG TĂNG CA'!$A$5:$A$304,$A65,'CHẶNG TĂNG CA'!$B$5:$B$304,$B65))</f>
        <v/>
      </c>
      <c r="AE65" s="28" t="str">
        <f>IF($A65="","",SUMIFS('CHẶNG TĂNG CA'!$G$5:$G$304,'CHẶNG TĂNG CA'!$A$5:$A$304,$A65,'CHẶNG TĂNG CA'!$B$5:$B$304,$B65))</f>
        <v/>
      </c>
      <c r="AF65" s="28" t="str">
        <f>IF($A65="","",SUMIFS('CHẶNG TĂNG CA'!$H$5:$H$304,'CHẶNG TĂNG CA'!$A$5:$A$304,$A65,'CHẶNG TĂNG CA'!$B$5:$B$304,$B65))</f>
        <v/>
      </c>
      <c r="AG65" s="28" t="str">
        <f t="shared" si="7"/>
        <v/>
      </c>
      <c r="AH65" s="16" t="str">
        <f>IF($A65="","",IF(COUNTIFS('LỆNH ĐIỀU XE'!$B$5:$B$604,$A65,'LỆNH ĐIỀU XE'!$C$5:$C$604,$B65,'LỆNH ĐIỀU XE'!$N$5:$N$604,"Có")&gt;0,"Có","Không"))</f>
        <v/>
      </c>
      <c r="AI65" s="16" t="str">
        <f>IF(OR($A65="",H65="",N(T65)=0),"",IF(_xlfn.MAXIFS('LỆNH ĐIỀU XE'!$U$5:$U$604,'LỆNH ĐIỀU XE'!$B$5:$B$604,$A65,'LỆNH ĐIỀU XE'!$C$5:$C$604,$B65)=0,"",ROUND((H65+(H65&lt;4/24)-_xlfn.MAXIFS('LỆNH ĐIỀU XE'!$U$5:$U$604,'LỆNH ĐIỀU XE'!$B$5:$B$604,$A65,'LỆNH ĐIỀU XE'!$C$5:$C$604,$B65))*1440,0)))</f>
        <v/>
      </c>
      <c r="AJ65" s="16" t="str">
        <f>IF($A65="","",IF(OR(AI65="",V65=""),"Thiếu dữ liệu",IF(AND(AI65&lt;='THAM SỐ'!$B$29,ABS(V65)&lt;='THAM SỐ'!$B$28),"Đạt","Không đạt")))</f>
        <v/>
      </c>
      <c r="AK65" s="16" t="str">
        <f t="shared" si="8"/>
        <v/>
      </c>
      <c r="AL65" s="16" t="str">
        <f>IF($A65="","",TRIM(IF(T65=0,"Không có lệnh; ","")&amp;IF(N(N65)&gt;0,"Dừng ngoài lệnh; ","")&amp;IF(N(J65)&gt;0,"Quá tốc độ; ","")&amp;IF(N(K65)&gt;0,"Lái quá 4h; ","")&amp;IF(N(L65)&gt;0,"Không tắt máy; ","")&amp;IF(OR(P65&lt;&gt;"Đủ",Q65&lt;&gt;"Đủ",R65&lt;&gt;"Đủ"),"Thiếu ảnh; ","")&amp;IF(S65&lt;&gt;"Đạt","Lốp chưa đạt; ","")&amp;IF(N(W65)&gt;'THAM SỐ'!$B$27,"Có mặt quá giờ; ","")&amp;IF(N(X65)&gt;'THAM SỐ'!$B$25,"Lái quá giờ ngày; ","")&amp;IF(ISNUMBER(V65),IF(ABS(V65)&gt;'THAM SỐ'!$B$28,"Lệch km; ",""),"")))</f>
        <v/>
      </c>
      <c r="AM65" s="29"/>
      <c r="AN65" s="30"/>
      <c r="AO65" s="28" t="str">
        <f t="shared" si="9"/>
        <v/>
      </c>
      <c r="AP65" s="21" t="str">
        <f>IF(OR($A65="",AO65=""),"",IF(AG65=0,0,ROUND((AC65*'THAM SỐ'!$B$18+AD65*'THAM SỐ'!$B$19+AE65*'THAM SỐ'!$B$20+AF65*'THAM SỐ'!$B$21)*MIN(1,AO65/AG65),0)))</f>
        <v/>
      </c>
      <c r="AQ65" s="18"/>
    </row>
    <row r="66" spans="1:43" x14ac:dyDescent="0.45">
      <c r="A66" s="17"/>
      <c r="B66" s="18"/>
      <c r="C66" s="18"/>
      <c r="D66" s="25"/>
      <c r="E66" s="26"/>
      <c r="F66" s="26"/>
      <c r="G66" s="20"/>
      <c r="H66" s="20"/>
      <c r="I66" s="18"/>
      <c r="J66" s="18"/>
      <c r="K66" s="18"/>
      <c r="L66" s="18"/>
      <c r="M66" s="18"/>
      <c r="N66" s="18"/>
      <c r="O66" s="18"/>
      <c r="P66" s="18"/>
      <c r="Q66" s="18"/>
      <c r="R66" s="18"/>
      <c r="S66" s="18"/>
      <c r="T66" s="16" t="str">
        <f>IF($A66="","",COUNTIFS('LỆNH ĐIỀU XE'!$B$5:$B$604,$A66,'LỆNH ĐIỀU XE'!$C$5:$C$604,$B66))</f>
        <v/>
      </c>
      <c r="U66" s="27" t="str">
        <f>IF($A66="","",SUMIFS('LỆNH ĐIỀU XE'!$J$5:$J$604,'LỆNH ĐIỀU XE'!$B$5:$B$604,$A66,'LỆNH ĐIỀU XE'!$C$5:$C$604,$B66))</f>
        <v/>
      </c>
      <c r="V66" s="22" t="str">
        <f t="shared" si="0"/>
        <v/>
      </c>
      <c r="W66" s="28" t="str">
        <f t="shared" si="1"/>
        <v/>
      </c>
      <c r="X66" s="28" t="str">
        <f t="shared" si="2"/>
        <v/>
      </c>
      <c r="Y66" s="28" t="str">
        <f t="shared" si="3"/>
        <v/>
      </c>
      <c r="Z66" s="22" t="str">
        <f t="shared" si="4"/>
        <v/>
      </c>
      <c r="AA66" s="28" t="str">
        <f t="shared" si="5"/>
        <v/>
      </c>
      <c r="AB66" s="28" t="str">
        <f t="shared" si="6"/>
        <v/>
      </c>
      <c r="AC66" s="28" t="str">
        <f>IF($A66="","",SUMIFS('CHẶNG TĂNG CA'!$E$5:$E$304,'CHẶNG TĂNG CA'!$A$5:$A$304,$A66,'CHẶNG TĂNG CA'!$B$5:$B$304,$B66))</f>
        <v/>
      </c>
      <c r="AD66" s="28" t="str">
        <f>IF($A66="","",SUMIFS('CHẶNG TĂNG CA'!$F$5:$F$304,'CHẶNG TĂNG CA'!$A$5:$A$304,$A66,'CHẶNG TĂNG CA'!$B$5:$B$304,$B66))</f>
        <v/>
      </c>
      <c r="AE66" s="28" t="str">
        <f>IF($A66="","",SUMIFS('CHẶNG TĂNG CA'!$G$5:$G$304,'CHẶNG TĂNG CA'!$A$5:$A$304,$A66,'CHẶNG TĂNG CA'!$B$5:$B$304,$B66))</f>
        <v/>
      </c>
      <c r="AF66" s="28" t="str">
        <f>IF($A66="","",SUMIFS('CHẶNG TĂNG CA'!$H$5:$H$304,'CHẶNG TĂNG CA'!$A$5:$A$304,$A66,'CHẶNG TĂNG CA'!$B$5:$B$304,$B66))</f>
        <v/>
      </c>
      <c r="AG66" s="28" t="str">
        <f t="shared" si="7"/>
        <v/>
      </c>
      <c r="AH66" s="16" t="str">
        <f>IF($A66="","",IF(COUNTIFS('LỆNH ĐIỀU XE'!$B$5:$B$604,$A66,'LỆNH ĐIỀU XE'!$C$5:$C$604,$B66,'LỆNH ĐIỀU XE'!$N$5:$N$604,"Có")&gt;0,"Có","Không"))</f>
        <v/>
      </c>
      <c r="AI66" s="16" t="str">
        <f>IF(OR($A66="",H66="",N(T66)=0),"",IF(_xlfn.MAXIFS('LỆNH ĐIỀU XE'!$U$5:$U$604,'LỆNH ĐIỀU XE'!$B$5:$B$604,$A66,'LỆNH ĐIỀU XE'!$C$5:$C$604,$B66)=0,"",ROUND((H66+(H66&lt;4/24)-_xlfn.MAXIFS('LỆNH ĐIỀU XE'!$U$5:$U$604,'LỆNH ĐIỀU XE'!$B$5:$B$604,$A66,'LỆNH ĐIỀU XE'!$C$5:$C$604,$B66))*1440,0)))</f>
        <v/>
      </c>
      <c r="AJ66" s="16" t="str">
        <f>IF($A66="","",IF(OR(AI66="",V66=""),"Thiếu dữ liệu",IF(AND(AI66&lt;='THAM SỐ'!$B$29,ABS(V66)&lt;='THAM SỐ'!$B$28),"Đạt","Không đạt")))</f>
        <v/>
      </c>
      <c r="AK66" s="16" t="str">
        <f t="shared" si="8"/>
        <v/>
      </c>
      <c r="AL66" s="16" t="str">
        <f>IF($A66="","",TRIM(IF(T66=0,"Không có lệnh; ","")&amp;IF(N(N66)&gt;0,"Dừng ngoài lệnh; ","")&amp;IF(N(J66)&gt;0,"Quá tốc độ; ","")&amp;IF(N(K66)&gt;0,"Lái quá 4h; ","")&amp;IF(N(L66)&gt;0,"Không tắt máy; ","")&amp;IF(OR(P66&lt;&gt;"Đủ",Q66&lt;&gt;"Đủ",R66&lt;&gt;"Đủ"),"Thiếu ảnh; ","")&amp;IF(S66&lt;&gt;"Đạt","Lốp chưa đạt; ","")&amp;IF(N(W66)&gt;'THAM SỐ'!$B$27,"Có mặt quá giờ; ","")&amp;IF(N(X66)&gt;'THAM SỐ'!$B$25,"Lái quá giờ ngày; ","")&amp;IF(ISNUMBER(V66),IF(ABS(V66)&gt;'THAM SỐ'!$B$28,"Lệch km; ",""),"")))</f>
        <v/>
      </c>
      <c r="AM66" s="29"/>
      <c r="AN66" s="30"/>
      <c r="AO66" s="28" t="str">
        <f t="shared" si="9"/>
        <v/>
      </c>
      <c r="AP66" s="21" t="str">
        <f>IF(OR($A66="",AO66=""),"",IF(AG66=0,0,ROUND((AC66*'THAM SỐ'!$B$18+AD66*'THAM SỐ'!$B$19+AE66*'THAM SỐ'!$B$20+AF66*'THAM SỐ'!$B$21)*MIN(1,AO66/AG66),0)))</f>
        <v/>
      </c>
      <c r="AQ66" s="18"/>
    </row>
    <row r="67" spans="1:43" x14ac:dyDescent="0.45">
      <c r="A67" s="17"/>
      <c r="B67" s="18"/>
      <c r="C67" s="18"/>
      <c r="D67" s="25"/>
      <c r="E67" s="26"/>
      <c r="F67" s="26"/>
      <c r="G67" s="20"/>
      <c r="H67" s="20"/>
      <c r="I67" s="18"/>
      <c r="J67" s="18"/>
      <c r="K67" s="18"/>
      <c r="L67" s="18"/>
      <c r="M67" s="18"/>
      <c r="N67" s="18"/>
      <c r="O67" s="18"/>
      <c r="P67" s="18"/>
      <c r="Q67" s="18"/>
      <c r="R67" s="18"/>
      <c r="S67" s="18"/>
      <c r="T67" s="16" t="str">
        <f>IF($A67="","",COUNTIFS('LỆNH ĐIỀU XE'!$B$5:$B$604,$A67,'LỆNH ĐIỀU XE'!$C$5:$C$604,$B67))</f>
        <v/>
      </c>
      <c r="U67" s="27" t="str">
        <f>IF($A67="","",SUMIFS('LỆNH ĐIỀU XE'!$J$5:$J$604,'LỆNH ĐIỀU XE'!$B$5:$B$604,$A67,'LỆNH ĐIỀU XE'!$C$5:$C$604,$B67))</f>
        <v/>
      </c>
      <c r="V67" s="22" t="str">
        <f t="shared" si="0"/>
        <v/>
      </c>
      <c r="W67" s="28" t="str">
        <f t="shared" si="1"/>
        <v/>
      </c>
      <c r="X67" s="28" t="str">
        <f t="shared" si="2"/>
        <v/>
      </c>
      <c r="Y67" s="28" t="str">
        <f t="shared" si="3"/>
        <v/>
      </c>
      <c r="Z67" s="22" t="str">
        <f t="shared" si="4"/>
        <v/>
      </c>
      <c r="AA67" s="28" t="str">
        <f t="shared" si="5"/>
        <v/>
      </c>
      <c r="AB67" s="28" t="str">
        <f t="shared" si="6"/>
        <v/>
      </c>
      <c r="AC67" s="28" t="str">
        <f>IF($A67="","",SUMIFS('CHẶNG TĂNG CA'!$E$5:$E$304,'CHẶNG TĂNG CA'!$A$5:$A$304,$A67,'CHẶNG TĂNG CA'!$B$5:$B$304,$B67))</f>
        <v/>
      </c>
      <c r="AD67" s="28" t="str">
        <f>IF($A67="","",SUMIFS('CHẶNG TĂNG CA'!$F$5:$F$304,'CHẶNG TĂNG CA'!$A$5:$A$304,$A67,'CHẶNG TĂNG CA'!$B$5:$B$304,$B67))</f>
        <v/>
      </c>
      <c r="AE67" s="28" t="str">
        <f>IF($A67="","",SUMIFS('CHẶNG TĂNG CA'!$G$5:$G$304,'CHẶNG TĂNG CA'!$A$5:$A$304,$A67,'CHẶNG TĂNG CA'!$B$5:$B$304,$B67))</f>
        <v/>
      </c>
      <c r="AF67" s="28" t="str">
        <f>IF($A67="","",SUMIFS('CHẶNG TĂNG CA'!$H$5:$H$304,'CHẶNG TĂNG CA'!$A$5:$A$304,$A67,'CHẶNG TĂNG CA'!$B$5:$B$304,$B67))</f>
        <v/>
      </c>
      <c r="AG67" s="28" t="str">
        <f t="shared" si="7"/>
        <v/>
      </c>
      <c r="AH67" s="16" t="str">
        <f>IF($A67="","",IF(COUNTIFS('LỆNH ĐIỀU XE'!$B$5:$B$604,$A67,'LỆNH ĐIỀU XE'!$C$5:$C$604,$B67,'LỆNH ĐIỀU XE'!$N$5:$N$604,"Có")&gt;0,"Có","Không"))</f>
        <v/>
      </c>
      <c r="AI67" s="16" t="str">
        <f>IF(OR($A67="",H67="",N(T67)=0),"",IF(_xlfn.MAXIFS('LỆNH ĐIỀU XE'!$U$5:$U$604,'LỆNH ĐIỀU XE'!$B$5:$B$604,$A67,'LỆNH ĐIỀU XE'!$C$5:$C$604,$B67)=0,"",ROUND((H67+(H67&lt;4/24)-_xlfn.MAXIFS('LỆNH ĐIỀU XE'!$U$5:$U$604,'LỆNH ĐIỀU XE'!$B$5:$B$604,$A67,'LỆNH ĐIỀU XE'!$C$5:$C$604,$B67))*1440,0)))</f>
        <v/>
      </c>
      <c r="AJ67" s="16" t="str">
        <f>IF($A67="","",IF(OR(AI67="",V67=""),"Thiếu dữ liệu",IF(AND(AI67&lt;='THAM SỐ'!$B$29,ABS(V67)&lt;='THAM SỐ'!$B$28),"Đạt","Không đạt")))</f>
        <v/>
      </c>
      <c r="AK67" s="16" t="str">
        <f t="shared" si="8"/>
        <v/>
      </c>
      <c r="AL67" s="16" t="str">
        <f>IF($A67="","",TRIM(IF(T67=0,"Không có lệnh; ","")&amp;IF(N(N67)&gt;0,"Dừng ngoài lệnh; ","")&amp;IF(N(J67)&gt;0,"Quá tốc độ; ","")&amp;IF(N(K67)&gt;0,"Lái quá 4h; ","")&amp;IF(N(L67)&gt;0,"Không tắt máy; ","")&amp;IF(OR(P67&lt;&gt;"Đủ",Q67&lt;&gt;"Đủ",R67&lt;&gt;"Đủ"),"Thiếu ảnh; ","")&amp;IF(S67&lt;&gt;"Đạt","Lốp chưa đạt; ","")&amp;IF(N(W67)&gt;'THAM SỐ'!$B$27,"Có mặt quá giờ; ","")&amp;IF(N(X67)&gt;'THAM SỐ'!$B$25,"Lái quá giờ ngày; ","")&amp;IF(ISNUMBER(V67),IF(ABS(V67)&gt;'THAM SỐ'!$B$28,"Lệch km; ",""),"")))</f>
        <v/>
      </c>
      <c r="AM67" s="29"/>
      <c r="AN67" s="30"/>
      <c r="AO67" s="28" t="str">
        <f t="shared" si="9"/>
        <v/>
      </c>
      <c r="AP67" s="21" t="str">
        <f>IF(OR($A67="",AO67=""),"",IF(AG67=0,0,ROUND((AC67*'THAM SỐ'!$B$18+AD67*'THAM SỐ'!$B$19+AE67*'THAM SỐ'!$B$20+AF67*'THAM SỐ'!$B$21)*MIN(1,AO67/AG67),0)))</f>
        <v/>
      </c>
      <c r="AQ67" s="18"/>
    </row>
    <row r="68" spans="1:43" x14ac:dyDescent="0.45">
      <c r="A68" s="17"/>
      <c r="B68" s="18"/>
      <c r="C68" s="18"/>
      <c r="D68" s="25"/>
      <c r="E68" s="26"/>
      <c r="F68" s="26"/>
      <c r="G68" s="20"/>
      <c r="H68" s="20"/>
      <c r="I68" s="18"/>
      <c r="J68" s="18"/>
      <c r="K68" s="18"/>
      <c r="L68" s="18"/>
      <c r="M68" s="18"/>
      <c r="N68" s="18"/>
      <c r="O68" s="18"/>
      <c r="P68" s="18"/>
      <c r="Q68" s="18"/>
      <c r="R68" s="18"/>
      <c r="S68" s="18"/>
      <c r="T68" s="16" t="str">
        <f>IF($A68="","",COUNTIFS('LỆNH ĐIỀU XE'!$B$5:$B$604,$A68,'LỆNH ĐIỀU XE'!$C$5:$C$604,$B68))</f>
        <v/>
      </c>
      <c r="U68" s="27" t="str">
        <f>IF($A68="","",SUMIFS('LỆNH ĐIỀU XE'!$J$5:$J$604,'LỆNH ĐIỀU XE'!$B$5:$B$604,$A68,'LỆNH ĐIỀU XE'!$C$5:$C$604,$B68))</f>
        <v/>
      </c>
      <c r="V68" s="22" t="str">
        <f t="shared" si="0"/>
        <v/>
      </c>
      <c r="W68" s="28" t="str">
        <f t="shared" si="1"/>
        <v/>
      </c>
      <c r="X68" s="28" t="str">
        <f t="shared" si="2"/>
        <v/>
      </c>
      <c r="Y68" s="28" t="str">
        <f t="shared" si="3"/>
        <v/>
      </c>
      <c r="Z68" s="22" t="str">
        <f t="shared" si="4"/>
        <v/>
      </c>
      <c r="AA68" s="28" t="str">
        <f t="shared" si="5"/>
        <v/>
      </c>
      <c r="AB68" s="28" t="str">
        <f t="shared" si="6"/>
        <v/>
      </c>
      <c r="AC68" s="28" t="str">
        <f>IF($A68="","",SUMIFS('CHẶNG TĂNG CA'!$E$5:$E$304,'CHẶNG TĂNG CA'!$A$5:$A$304,$A68,'CHẶNG TĂNG CA'!$B$5:$B$304,$B68))</f>
        <v/>
      </c>
      <c r="AD68" s="28" t="str">
        <f>IF($A68="","",SUMIFS('CHẶNG TĂNG CA'!$F$5:$F$304,'CHẶNG TĂNG CA'!$A$5:$A$304,$A68,'CHẶNG TĂNG CA'!$B$5:$B$304,$B68))</f>
        <v/>
      </c>
      <c r="AE68" s="28" t="str">
        <f>IF($A68="","",SUMIFS('CHẶNG TĂNG CA'!$G$5:$G$304,'CHẶNG TĂNG CA'!$A$5:$A$304,$A68,'CHẶNG TĂNG CA'!$B$5:$B$304,$B68))</f>
        <v/>
      </c>
      <c r="AF68" s="28" t="str">
        <f>IF($A68="","",SUMIFS('CHẶNG TĂNG CA'!$H$5:$H$304,'CHẶNG TĂNG CA'!$A$5:$A$304,$A68,'CHẶNG TĂNG CA'!$B$5:$B$304,$B68))</f>
        <v/>
      </c>
      <c r="AG68" s="28" t="str">
        <f t="shared" si="7"/>
        <v/>
      </c>
      <c r="AH68" s="16" t="str">
        <f>IF($A68="","",IF(COUNTIFS('LỆNH ĐIỀU XE'!$B$5:$B$604,$A68,'LỆNH ĐIỀU XE'!$C$5:$C$604,$B68,'LỆNH ĐIỀU XE'!$N$5:$N$604,"Có")&gt;0,"Có","Không"))</f>
        <v/>
      </c>
      <c r="AI68" s="16" t="str">
        <f>IF(OR($A68="",H68="",N(T68)=0),"",IF(_xlfn.MAXIFS('LỆNH ĐIỀU XE'!$U$5:$U$604,'LỆNH ĐIỀU XE'!$B$5:$B$604,$A68,'LỆNH ĐIỀU XE'!$C$5:$C$604,$B68)=0,"",ROUND((H68+(H68&lt;4/24)-_xlfn.MAXIFS('LỆNH ĐIỀU XE'!$U$5:$U$604,'LỆNH ĐIỀU XE'!$B$5:$B$604,$A68,'LỆNH ĐIỀU XE'!$C$5:$C$604,$B68))*1440,0)))</f>
        <v/>
      </c>
      <c r="AJ68" s="16" t="str">
        <f>IF($A68="","",IF(OR(AI68="",V68=""),"Thiếu dữ liệu",IF(AND(AI68&lt;='THAM SỐ'!$B$29,ABS(V68)&lt;='THAM SỐ'!$B$28),"Đạt","Không đạt")))</f>
        <v/>
      </c>
      <c r="AK68" s="16" t="str">
        <f t="shared" si="8"/>
        <v/>
      </c>
      <c r="AL68" s="16" t="str">
        <f>IF($A68="","",TRIM(IF(T68=0,"Không có lệnh; ","")&amp;IF(N(N68)&gt;0,"Dừng ngoài lệnh; ","")&amp;IF(N(J68)&gt;0,"Quá tốc độ; ","")&amp;IF(N(K68)&gt;0,"Lái quá 4h; ","")&amp;IF(N(L68)&gt;0,"Không tắt máy; ","")&amp;IF(OR(P68&lt;&gt;"Đủ",Q68&lt;&gt;"Đủ",R68&lt;&gt;"Đủ"),"Thiếu ảnh; ","")&amp;IF(S68&lt;&gt;"Đạt","Lốp chưa đạt; ","")&amp;IF(N(W68)&gt;'THAM SỐ'!$B$27,"Có mặt quá giờ; ","")&amp;IF(N(X68)&gt;'THAM SỐ'!$B$25,"Lái quá giờ ngày; ","")&amp;IF(ISNUMBER(V68),IF(ABS(V68)&gt;'THAM SỐ'!$B$28,"Lệch km; ",""),"")))</f>
        <v/>
      </c>
      <c r="AM68" s="29"/>
      <c r="AN68" s="30"/>
      <c r="AO68" s="28" t="str">
        <f t="shared" si="9"/>
        <v/>
      </c>
      <c r="AP68" s="21" t="str">
        <f>IF(OR($A68="",AO68=""),"",IF(AG68=0,0,ROUND((AC68*'THAM SỐ'!$B$18+AD68*'THAM SỐ'!$B$19+AE68*'THAM SỐ'!$B$20+AF68*'THAM SỐ'!$B$21)*MIN(1,AO68/AG68),0)))</f>
        <v/>
      </c>
      <c r="AQ68" s="18"/>
    </row>
    <row r="69" spans="1:43" x14ac:dyDescent="0.45">
      <c r="A69" s="17"/>
      <c r="B69" s="18"/>
      <c r="C69" s="18"/>
      <c r="D69" s="25"/>
      <c r="E69" s="26"/>
      <c r="F69" s="26"/>
      <c r="G69" s="20"/>
      <c r="H69" s="20"/>
      <c r="I69" s="18"/>
      <c r="J69" s="18"/>
      <c r="K69" s="18"/>
      <c r="L69" s="18"/>
      <c r="M69" s="18"/>
      <c r="N69" s="18"/>
      <c r="O69" s="18"/>
      <c r="P69" s="18"/>
      <c r="Q69" s="18"/>
      <c r="R69" s="18"/>
      <c r="S69" s="18"/>
      <c r="T69" s="16" t="str">
        <f>IF($A69="","",COUNTIFS('LỆNH ĐIỀU XE'!$B$5:$B$604,$A69,'LỆNH ĐIỀU XE'!$C$5:$C$604,$B69))</f>
        <v/>
      </c>
      <c r="U69" s="27" t="str">
        <f>IF($A69="","",SUMIFS('LỆNH ĐIỀU XE'!$J$5:$J$604,'LỆNH ĐIỀU XE'!$B$5:$B$604,$A69,'LỆNH ĐIỀU XE'!$C$5:$C$604,$B69))</f>
        <v/>
      </c>
      <c r="V69" s="22" t="str">
        <f t="shared" ref="V69:V132" si="10">IF(OR($A69="",D69="",N(U69)=0),"",(D69-U69)/U69)</f>
        <v/>
      </c>
      <c r="W69" s="28" t="str">
        <f t="shared" ref="W69:W132" si="11">IF(OR($A69="",G69="",H69=""),"",ROUND((H69+(H69&lt;G69)-G69)*24,2))</f>
        <v/>
      </c>
      <c r="X69" s="28" t="str">
        <f t="shared" ref="X69:X132" si="12">IF(OR($A69="",E69=""),"",ROUND(E69*24,2))</f>
        <v/>
      </c>
      <c r="Y69" s="28" t="str">
        <f t="shared" ref="Y69:Y132" si="13">IF(OR(W69="",X69=""),"",MAX(0,W69-X69))</f>
        <v/>
      </c>
      <c r="Z69" s="22" t="str">
        <f t="shared" ref="Z69:Z132" si="14">IF(OR(W69="",X69="",N(W69)=0),"",X69/W69)</f>
        <v/>
      </c>
      <c r="AA69" s="28" t="str">
        <f t="shared" ref="AA69:AA132" si="15">IF(OR($A69="",F69="",X69=""),"",MAX(0,ROUND(F69*24-X69,2)))</f>
        <v/>
      </c>
      <c r="AB69" s="28" t="str">
        <f t="shared" ref="AB69:AB132" si="16">IF(OR($A69="",M69="",N(D69)=0),"",M69/D69*100)</f>
        <v/>
      </c>
      <c r="AC69" s="28" t="str">
        <f>IF($A69="","",SUMIFS('CHẶNG TĂNG CA'!$E$5:$E$304,'CHẶNG TĂNG CA'!$A$5:$A$304,$A69,'CHẶNG TĂNG CA'!$B$5:$B$304,$B69))</f>
        <v/>
      </c>
      <c r="AD69" s="28" t="str">
        <f>IF($A69="","",SUMIFS('CHẶNG TĂNG CA'!$F$5:$F$304,'CHẶNG TĂNG CA'!$A$5:$A$304,$A69,'CHẶNG TĂNG CA'!$B$5:$B$304,$B69))</f>
        <v/>
      </c>
      <c r="AE69" s="28" t="str">
        <f>IF($A69="","",SUMIFS('CHẶNG TĂNG CA'!$G$5:$G$304,'CHẶNG TĂNG CA'!$A$5:$A$304,$A69,'CHẶNG TĂNG CA'!$B$5:$B$304,$B69))</f>
        <v/>
      </c>
      <c r="AF69" s="28" t="str">
        <f>IF($A69="","",SUMIFS('CHẶNG TĂNG CA'!$H$5:$H$304,'CHẶNG TĂNG CA'!$A$5:$A$304,$A69,'CHẶNG TĂNG CA'!$B$5:$B$304,$B69))</f>
        <v/>
      </c>
      <c r="AG69" s="28" t="str">
        <f t="shared" ref="AG69:AG132" si="17">IF($A69="","",SUM(AC69:AF69))</f>
        <v/>
      </c>
      <c r="AH69" s="16" t="str">
        <f>IF($A69="","",IF(COUNTIFS('LỆNH ĐIỀU XE'!$B$5:$B$604,$A69,'LỆNH ĐIỀU XE'!$C$5:$C$604,$B69,'LỆNH ĐIỀU XE'!$N$5:$N$604,"Có")&gt;0,"Có","Không"))</f>
        <v/>
      </c>
      <c r="AI69" s="16" t="str">
        <f>IF(OR($A69="",H69="",N(T69)=0),"",IF(_xlfn.MAXIFS('LỆNH ĐIỀU XE'!$U$5:$U$604,'LỆNH ĐIỀU XE'!$B$5:$B$604,$A69,'LỆNH ĐIỀU XE'!$C$5:$C$604,$B69)=0,"",ROUND((H69+(H69&lt;4/24)-_xlfn.MAXIFS('LỆNH ĐIỀU XE'!$U$5:$U$604,'LỆNH ĐIỀU XE'!$B$5:$B$604,$A69,'LỆNH ĐIỀU XE'!$C$5:$C$604,$B69))*1440,0)))</f>
        <v/>
      </c>
      <c r="AJ69" s="16" t="str">
        <f>IF($A69="","",IF(OR(AI69="",V69=""),"Thiếu dữ liệu",IF(AND(AI69&lt;='THAM SỐ'!$B$29,ABS(V69)&lt;='THAM SỐ'!$B$28),"Đạt","Không đạt")))</f>
        <v/>
      </c>
      <c r="AK69" s="16" t="str">
        <f t="shared" ref="AK69:AK132" si="18">IF($A69="","",IF(AG69=0,"Không có OT",IF(AND(AH69="Có",AJ69="Đạt"),"Đủ điều kiện","Cần giải trình")))</f>
        <v/>
      </c>
      <c r="AL69" s="16" t="str">
        <f>IF($A69="","",TRIM(IF(T69=0,"Không có lệnh; ","")&amp;IF(N(N69)&gt;0,"Dừng ngoài lệnh; ","")&amp;IF(N(J69)&gt;0,"Quá tốc độ; ","")&amp;IF(N(K69)&gt;0,"Lái quá 4h; ","")&amp;IF(N(L69)&gt;0,"Không tắt máy; ","")&amp;IF(OR(P69&lt;&gt;"Đủ",Q69&lt;&gt;"Đủ",R69&lt;&gt;"Đủ"),"Thiếu ảnh; ","")&amp;IF(S69&lt;&gt;"Đạt","Lốp chưa đạt; ","")&amp;IF(N(W69)&gt;'THAM SỐ'!$B$27,"Có mặt quá giờ; ","")&amp;IF(N(X69)&gt;'THAM SỐ'!$B$25,"Lái quá giờ ngày; ","")&amp;IF(ISNUMBER(V69),IF(ABS(V69)&gt;'THAM SỐ'!$B$28,"Lệch km; ",""),"")))</f>
        <v/>
      </c>
      <c r="AM69" s="29"/>
      <c r="AN69" s="30"/>
      <c r="AO69" s="28" t="str">
        <f t="shared" ref="AO69:AO132" si="19">IF($A69="","",IF(AM69="Duyệt đủ",AG69,IF(AM69="Duyệt một phần",N(AN69),IF(AM69="Không duyệt",0,""))))</f>
        <v/>
      </c>
      <c r="AP69" s="21" t="str">
        <f>IF(OR($A69="",AO69=""),"",IF(AG69=0,0,ROUND((AC69*'THAM SỐ'!$B$18+AD69*'THAM SỐ'!$B$19+AE69*'THAM SỐ'!$B$20+AF69*'THAM SỐ'!$B$21)*MIN(1,AO69/AG69),0)))</f>
        <v/>
      </c>
      <c r="AQ69" s="18"/>
    </row>
    <row r="70" spans="1:43" x14ac:dyDescent="0.45">
      <c r="A70" s="17"/>
      <c r="B70" s="18"/>
      <c r="C70" s="18"/>
      <c r="D70" s="25"/>
      <c r="E70" s="26"/>
      <c r="F70" s="26"/>
      <c r="G70" s="20"/>
      <c r="H70" s="20"/>
      <c r="I70" s="18"/>
      <c r="J70" s="18"/>
      <c r="K70" s="18"/>
      <c r="L70" s="18"/>
      <c r="M70" s="18"/>
      <c r="N70" s="18"/>
      <c r="O70" s="18"/>
      <c r="P70" s="18"/>
      <c r="Q70" s="18"/>
      <c r="R70" s="18"/>
      <c r="S70" s="18"/>
      <c r="T70" s="16" t="str">
        <f>IF($A70="","",COUNTIFS('LỆNH ĐIỀU XE'!$B$5:$B$604,$A70,'LỆNH ĐIỀU XE'!$C$5:$C$604,$B70))</f>
        <v/>
      </c>
      <c r="U70" s="27" t="str">
        <f>IF($A70="","",SUMIFS('LỆNH ĐIỀU XE'!$J$5:$J$604,'LỆNH ĐIỀU XE'!$B$5:$B$604,$A70,'LỆNH ĐIỀU XE'!$C$5:$C$604,$B70))</f>
        <v/>
      </c>
      <c r="V70" s="22" t="str">
        <f t="shared" si="10"/>
        <v/>
      </c>
      <c r="W70" s="28" t="str">
        <f t="shared" si="11"/>
        <v/>
      </c>
      <c r="X70" s="28" t="str">
        <f t="shared" si="12"/>
        <v/>
      </c>
      <c r="Y70" s="28" t="str">
        <f t="shared" si="13"/>
        <v/>
      </c>
      <c r="Z70" s="22" t="str">
        <f t="shared" si="14"/>
        <v/>
      </c>
      <c r="AA70" s="28" t="str">
        <f t="shared" si="15"/>
        <v/>
      </c>
      <c r="AB70" s="28" t="str">
        <f t="shared" si="16"/>
        <v/>
      </c>
      <c r="AC70" s="28" t="str">
        <f>IF($A70="","",SUMIFS('CHẶNG TĂNG CA'!$E$5:$E$304,'CHẶNG TĂNG CA'!$A$5:$A$304,$A70,'CHẶNG TĂNG CA'!$B$5:$B$304,$B70))</f>
        <v/>
      </c>
      <c r="AD70" s="28" t="str">
        <f>IF($A70="","",SUMIFS('CHẶNG TĂNG CA'!$F$5:$F$304,'CHẶNG TĂNG CA'!$A$5:$A$304,$A70,'CHẶNG TĂNG CA'!$B$5:$B$304,$B70))</f>
        <v/>
      </c>
      <c r="AE70" s="28" t="str">
        <f>IF($A70="","",SUMIFS('CHẶNG TĂNG CA'!$G$5:$G$304,'CHẶNG TĂNG CA'!$A$5:$A$304,$A70,'CHẶNG TĂNG CA'!$B$5:$B$304,$B70))</f>
        <v/>
      </c>
      <c r="AF70" s="28" t="str">
        <f>IF($A70="","",SUMIFS('CHẶNG TĂNG CA'!$H$5:$H$304,'CHẶNG TĂNG CA'!$A$5:$A$304,$A70,'CHẶNG TĂNG CA'!$B$5:$B$304,$B70))</f>
        <v/>
      </c>
      <c r="AG70" s="28" t="str">
        <f t="shared" si="17"/>
        <v/>
      </c>
      <c r="AH70" s="16" t="str">
        <f>IF($A70="","",IF(COUNTIFS('LỆNH ĐIỀU XE'!$B$5:$B$604,$A70,'LỆNH ĐIỀU XE'!$C$5:$C$604,$B70,'LỆNH ĐIỀU XE'!$N$5:$N$604,"Có")&gt;0,"Có","Không"))</f>
        <v/>
      </c>
      <c r="AI70" s="16" t="str">
        <f>IF(OR($A70="",H70="",N(T70)=0),"",IF(_xlfn.MAXIFS('LỆNH ĐIỀU XE'!$U$5:$U$604,'LỆNH ĐIỀU XE'!$B$5:$B$604,$A70,'LỆNH ĐIỀU XE'!$C$5:$C$604,$B70)=0,"",ROUND((H70+(H70&lt;4/24)-_xlfn.MAXIFS('LỆNH ĐIỀU XE'!$U$5:$U$604,'LỆNH ĐIỀU XE'!$B$5:$B$604,$A70,'LỆNH ĐIỀU XE'!$C$5:$C$604,$B70))*1440,0)))</f>
        <v/>
      </c>
      <c r="AJ70" s="16" t="str">
        <f>IF($A70="","",IF(OR(AI70="",V70=""),"Thiếu dữ liệu",IF(AND(AI70&lt;='THAM SỐ'!$B$29,ABS(V70)&lt;='THAM SỐ'!$B$28),"Đạt","Không đạt")))</f>
        <v/>
      </c>
      <c r="AK70" s="16" t="str">
        <f t="shared" si="18"/>
        <v/>
      </c>
      <c r="AL70" s="16" t="str">
        <f>IF($A70="","",TRIM(IF(T70=0,"Không có lệnh; ","")&amp;IF(N(N70)&gt;0,"Dừng ngoài lệnh; ","")&amp;IF(N(J70)&gt;0,"Quá tốc độ; ","")&amp;IF(N(K70)&gt;0,"Lái quá 4h; ","")&amp;IF(N(L70)&gt;0,"Không tắt máy; ","")&amp;IF(OR(P70&lt;&gt;"Đủ",Q70&lt;&gt;"Đủ",R70&lt;&gt;"Đủ"),"Thiếu ảnh; ","")&amp;IF(S70&lt;&gt;"Đạt","Lốp chưa đạt; ","")&amp;IF(N(W70)&gt;'THAM SỐ'!$B$27,"Có mặt quá giờ; ","")&amp;IF(N(X70)&gt;'THAM SỐ'!$B$25,"Lái quá giờ ngày; ","")&amp;IF(ISNUMBER(V70),IF(ABS(V70)&gt;'THAM SỐ'!$B$28,"Lệch km; ",""),"")))</f>
        <v/>
      </c>
      <c r="AM70" s="29"/>
      <c r="AN70" s="30"/>
      <c r="AO70" s="28" t="str">
        <f t="shared" si="19"/>
        <v/>
      </c>
      <c r="AP70" s="21" t="str">
        <f>IF(OR($A70="",AO70=""),"",IF(AG70=0,0,ROUND((AC70*'THAM SỐ'!$B$18+AD70*'THAM SỐ'!$B$19+AE70*'THAM SỐ'!$B$20+AF70*'THAM SỐ'!$B$21)*MIN(1,AO70/AG70),0)))</f>
        <v/>
      </c>
      <c r="AQ70" s="18"/>
    </row>
    <row r="71" spans="1:43" x14ac:dyDescent="0.45">
      <c r="A71" s="17"/>
      <c r="B71" s="18"/>
      <c r="C71" s="18"/>
      <c r="D71" s="25"/>
      <c r="E71" s="26"/>
      <c r="F71" s="26"/>
      <c r="G71" s="20"/>
      <c r="H71" s="20"/>
      <c r="I71" s="18"/>
      <c r="J71" s="18"/>
      <c r="K71" s="18"/>
      <c r="L71" s="18"/>
      <c r="M71" s="18"/>
      <c r="N71" s="18"/>
      <c r="O71" s="18"/>
      <c r="P71" s="18"/>
      <c r="Q71" s="18"/>
      <c r="R71" s="18"/>
      <c r="S71" s="18"/>
      <c r="T71" s="16" t="str">
        <f>IF($A71="","",COUNTIFS('LỆNH ĐIỀU XE'!$B$5:$B$604,$A71,'LỆNH ĐIỀU XE'!$C$5:$C$604,$B71))</f>
        <v/>
      </c>
      <c r="U71" s="27" t="str">
        <f>IF($A71="","",SUMIFS('LỆNH ĐIỀU XE'!$J$5:$J$604,'LỆNH ĐIỀU XE'!$B$5:$B$604,$A71,'LỆNH ĐIỀU XE'!$C$5:$C$604,$B71))</f>
        <v/>
      </c>
      <c r="V71" s="22" t="str">
        <f t="shared" si="10"/>
        <v/>
      </c>
      <c r="W71" s="28" t="str">
        <f t="shared" si="11"/>
        <v/>
      </c>
      <c r="X71" s="28" t="str">
        <f t="shared" si="12"/>
        <v/>
      </c>
      <c r="Y71" s="28" t="str">
        <f t="shared" si="13"/>
        <v/>
      </c>
      <c r="Z71" s="22" t="str">
        <f t="shared" si="14"/>
        <v/>
      </c>
      <c r="AA71" s="28" t="str">
        <f t="shared" si="15"/>
        <v/>
      </c>
      <c r="AB71" s="28" t="str">
        <f t="shared" si="16"/>
        <v/>
      </c>
      <c r="AC71" s="28" t="str">
        <f>IF($A71="","",SUMIFS('CHẶNG TĂNG CA'!$E$5:$E$304,'CHẶNG TĂNG CA'!$A$5:$A$304,$A71,'CHẶNG TĂNG CA'!$B$5:$B$304,$B71))</f>
        <v/>
      </c>
      <c r="AD71" s="28" t="str">
        <f>IF($A71="","",SUMIFS('CHẶNG TĂNG CA'!$F$5:$F$304,'CHẶNG TĂNG CA'!$A$5:$A$304,$A71,'CHẶNG TĂNG CA'!$B$5:$B$304,$B71))</f>
        <v/>
      </c>
      <c r="AE71" s="28" t="str">
        <f>IF($A71="","",SUMIFS('CHẶNG TĂNG CA'!$G$5:$G$304,'CHẶNG TĂNG CA'!$A$5:$A$304,$A71,'CHẶNG TĂNG CA'!$B$5:$B$304,$B71))</f>
        <v/>
      </c>
      <c r="AF71" s="28" t="str">
        <f>IF($A71="","",SUMIFS('CHẶNG TĂNG CA'!$H$5:$H$304,'CHẶNG TĂNG CA'!$A$5:$A$304,$A71,'CHẶNG TĂNG CA'!$B$5:$B$304,$B71))</f>
        <v/>
      </c>
      <c r="AG71" s="28" t="str">
        <f t="shared" si="17"/>
        <v/>
      </c>
      <c r="AH71" s="16" t="str">
        <f>IF($A71="","",IF(COUNTIFS('LỆNH ĐIỀU XE'!$B$5:$B$604,$A71,'LỆNH ĐIỀU XE'!$C$5:$C$604,$B71,'LỆNH ĐIỀU XE'!$N$5:$N$604,"Có")&gt;0,"Có","Không"))</f>
        <v/>
      </c>
      <c r="AI71" s="16" t="str">
        <f>IF(OR($A71="",H71="",N(T71)=0),"",IF(_xlfn.MAXIFS('LỆNH ĐIỀU XE'!$U$5:$U$604,'LỆNH ĐIỀU XE'!$B$5:$B$604,$A71,'LỆNH ĐIỀU XE'!$C$5:$C$604,$B71)=0,"",ROUND((H71+(H71&lt;4/24)-_xlfn.MAXIFS('LỆNH ĐIỀU XE'!$U$5:$U$604,'LỆNH ĐIỀU XE'!$B$5:$B$604,$A71,'LỆNH ĐIỀU XE'!$C$5:$C$604,$B71))*1440,0)))</f>
        <v/>
      </c>
      <c r="AJ71" s="16" t="str">
        <f>IF($A71="","",IF(OR(AI71="",V71=""),"Thiếu dữ liệu",IF(AND(AI71&lt;='THAM SỐ'!$B$29,ABS(V71)&lt;='THAM SỐ'!$B$28),"Đạt","Không đạt")))</f>
        <v/>
      </c>
      <c r="AK71" s="16" t="str">
        <f t="shared" si="18"/>
        <v/>
      </c>
      <c r="AL71" s="16" t="str">
        <f>IF($A71="","",TRIM(IF(T71=0,"Không có lệnh; ","")&amp;IF(N(N71)&gt;0,"Dừng ngoài lệnh; ","")&amp;IF(N(J71)&gt;0,"Quá tốc độ; ","")&amp;IF(N(K71)&gt;0,"Lái quá 4h; ","")&amp;IF(N(L71)&gt;0,"Không tắt máy; ","")&amp;IF(OR(P71&lt;&gt;"Đủ",Q71&lt;&gt;"Đủ",R71&lt;&gt;"Đủ"),"Thiếu ảnh; ","")&amp;IF(S71&lt;&gt;"Đạt","Lốp chưa đạt; ","")&amp;IF(N(W71)&gt;'THAM SỐ'!$B$27,"Có mặt quá giờ; ","")&amp;IF(N(X71)&gt;'THAM SỐ'!$B$25,"Lái quá giờ ngày; ","")&amp;IF(ISNUMBER(V71),IF(ABS(V71)&gt;'THAM SỐ'!$B$28,"Lệch km; ",""),"")))</f>
        <v/>
      </c>
      <c r="AM71" s="29"/>
      <c r="AN71" s="30"/>
      <c r="AO71" s="28" t="str">
        <f t="shared" si="19"/>
        <v/>
      </c>
      <c r="AP71" s="21" t="str">
        <f>IF(OR($A71="",AO71=""),"",IF(AG71=0,0,ROUND((AC71*'THAM SỐ'!$B$18+AD71*'THAM SỐ'!$B$19+AE71*'THAM SỐ'!$B$20+AF71*'THAM SỐ'!$B$21)*MIN(1,AO71/AG71),0)))</f>
        <v/>
      </c>
      <c r="AQ71" s="18"/>
    </row>
    <row r="72" spans="1:43" x14ac:dyDescent="0.45">
      <c r="A72" s="17"/>
      <c r="B72" s="18"/>
      <c r="C72" s="18"/>
      <c r="D72" s="25"/>
      <c r="E72" s="26"/>
      <c r="F72" s="26"/>
      <c r="G72" s="20"/>
      <c r="H72" s="20"/>
      <c r="I72" s="18"/>
      <c r="J72" s="18"/>
      <c r="K72" s="18"/>
      <c r="L72" s="18"/>
      <c r="M72" s="18"/>
      <c r="N72" s="18"/>
      <c r="O72" s="18"/>
      <c r="P72" s="18"/>
      <c r="Q72" s="18"/>
      <c r="R72" s="18"/>
      <c r="S72" s="18"/>
      <c r="T72" s="16" t="str">
        <f>IF($A72="","",COUNTIFS('LỆNH ĐIỀU XE'!$B$5:$B$604,$A72,'LỆNH ĐIỀU XE'!$C$5:$C$604,$B72))</f>
        <v/>
      </c>
      <c r="U72" s="27" t="str">
        <f>IF($A72="","",SUMIFS('LỆNH ĐIỀU XE'!$J$5:$J$604,'LỆNH ĐIỀU XE'!$B$5:$B$604,$A72,'LỆNH ĐIỀU XE'!$C$5:$C$604,$B72))</f>
        <v/>
      </c>
      <c r="V72" s="22" t="str">
        <f t="shared" si="10"/>
        <v/>
      </c>
      <c r="W72" s="28" t="str">
        <f t="shared" si="11"/>
        <v/>
      </c>
      <c r="X72" s="28" t="str">
        <f t="shared" si="12"/>
        <v/>
      </c>
      <c r="Y72" s="28" t="str">
        <f t="shared" si="13"/>
        <v/>
      </c>
      <c r="Z72" s="22" t="str">
        <f t="shared" si="14"/>
        <v/>
      </c>
      <c r="AA72" s="28" t="str">
        <f t="shared" si="15"/>
        <v/>
      </c>
      <c r="AB72" s="28" t="str">
        <f t="shared" si="16"/>
        <v/>
      </c>
      <c r="AC72" s="28" t="str">
        <f>IF($A72="","",SUMIFS('CHẶNG TĂNG CA'!$E$5:$E$304,'CHẶNG TĂNG CA'!$A$5:$A$304,$A72,'CHẶNG TĂNG CA'!$B$5:$B$304,$B72))</f>
        <v/>
      </c>
      <c r="AD72" s="28" t="str">
        <f>IF($A72="","",SUMIFS('CHẶNG TĂNG CA'!$F$5:$F$304,'CHẶNG TĂNG CA'!$A$5:$A$304,$A72,'CHẶNG TĂNG CA'!$B$5:$B$304,$B72))</f>
        <v/>
      </c>
      <c r="AE72" s="28" t="str">
        <f>IF($A72="","",SUMIFS('CHẶNG TĂNG CA'!$G$5:$G$304,'CHẶNG TĂNG CA'!$A$5:$A$304,$A72,'CHẶNG TĂNG CA'!$B$5:$B$304,$B72))</f>
        <v/>
      </c>
      <c r="AF72" s="28" t="str">
        <f>IF($A72="","",SUMIFS('CHẶNG TĂNG CA'!$H$5:$H$304,'CHẶNG TĂNG CA'!$A$5:$A$304,$A72,'CHẶNG TĂNG CA'!$B$5:$B$304,$B72))</f>
        <v/>
      </c>
      <c r="AG72" s="28" t="str">
        <f t="shared" si="17"/>
        <v/>
      </c>
      <c r="AH72" s="16" t="str">
        <f>IF($A72="","",IF(COUNTIFS('LỆNH ĐIỀU XE'!$B$5:$B$604,$A72,'LỆNH ĐIỀU XE'!$C$5:$C$604,$B72,'LỆNH ĐIỀU XE'!$N$5:$N$604,"Có")&gt;0,"Có","Không"))</f>
        <v/>
      </c>
      <c r="AI72" s="16" t="str">
        <f>IF(OR($A72="",H72="",N(T72)=0),"",IF(_xlfn.MAXIFS('LỆNH ĐIỀU XE'!$U$5:$U$604,'LỆNH ĐIỀU XE'!$B$5:$B$604,$A72,'LỆNH ĐIỀU XE'!$C$5:$C$604,$B72)=0,"",ROUND((H72+(H72&lt;4/24)-_xlfn.MAXIFS('LỆNH ĐIỀU XE'!$U$5:$U$604,'LỆNH ĐIỀU XE'!$B$5:$B$604,$A72,'LỆNH ĐIỀU XE'!$C$5:$C$604,$B72))*1440,0)))</f>
        <v/>
      </c>
      <c r="AJ72" s="16" t="str">
        <f>IF($A72="","",IF(OR(AI72="",V72=""),"Thiếu dữ liệu",IF(AND(AI72&lt;='THAM SỐ'!$B$29,ABS(V72)&lt;='THAM SỐ'!$B$28),"Đạt","Không đạt")))</f>
        <v/>
      </c>
      <c r="AK72" s="16" t="str">
        <f t="shared" si="18"/>
        <v/>
      </c>
      <c r="AL72" s="16" t="str">
        <f>IF($A72="","",TRIM(IF(T72=0,"Không có lệnh; ","")&amp;IF(N(N72)&gt;0,"Dừng ngoài lệnh; ","")&amp;IF(N(J72)&gt;0,"Quá tốc độ; ","")&amp;IF(N(K72)&gt;0,"Lái quá 4h; ","")&amp;IF(N(L72)&gt;0,"Không tắt máy; ","")&amp;IF(OR(P72&lt;&gt;"Đủ",Q72&lt;&gt;"Đủ",R72&lt;&gt;"Đủ"),"Thiếu ảnh; ","")&amp;IF(S72&lt;&gt;"Đạt","Lốp chưa đạt; ","")&amp;IF(N(W72)&gt;'THAM SỐ'!$B$27,"Có mặt quá giờ; ","")&amp;IF(N(X72)&gt;'THAM SỐ'!$B$25,"Lái quá giờ ngày; ","")&amp;IF(ISNUMBER(V72),IF(ABS(V72)&gt;'THAM SỐ'!$B$28,"Lệch km; ",""),"")))</f>
        <v/>
      </c>
      <c r="AM72" s="29"/>
      <c r="AN72" s="30"/>
      <c r="AO72" s="28" t="str">
        <f t="shared" si="19"/>
        <v/>
      </c>
      <c r="AP72" s="21" t="str">
        <f>IF(OR($A72="",AO72=""),"",IF(AG72=0,0,ROUND((AC72*'THAM SỐ'!$B$18+AD72*'THAM SỐ'!$B$19+AE72*'THAM SỐ'!$B$20+AF72*'THAM SỐ'!$B$21)*MIN(1,AO72/AG72),0)))</f>
        <v/>
      </c>
      <c r="AQ72" s="18"/>
    </row>
    <row r="73" spans="1:43" x14ac:dyDescent="0.45">
      <c r="A73" s="17"/>
      <c r="B73" s="18"/>
      <c r="C73" s="18"/>
      <c r="D73" s="25"/>
      <c r="E73" s="26"/>
      <c r="F73" s="26"/>
      <c r="G73" s="20"/>
      <c r="H73" s="20"/>
      <c r="I73" s="18"/>
      <c r="J73" s="18"/>
      <c r="K73" s="18"/>
      <c r="L73" s="18"/>
      <c r="M73" s="18"/>
      <c r="N73" s="18"/>
      <c r="O73" s="18"/>
      <c r="P73" s="18"/>
      <c r="Q73" s="18"/>
      <c r="R73" s="18"/>
      <c r="S73" s="18"/>
      <c r="T73" s="16" t="str">
        <f>IF($A73="","",COUNTIFS('LỆNH ĐIỀU XE'!$B$5:$B$604,$A73,'LỆNH ĐIỀU XE'!$C$5:$C$604,$B73))</f>
        <v/>
      </c>
      <c r="U73" s="27" t="str">
        <f>IF($A73="","",SUMIFS('LỆNH ĐIỀU XE'!$J$5:$J$604,'LỆNH ĐIỀU XE'!$B$5:$B$604,$A73,'LỆNH ĐIỀU XE'!$C$5:$C$604,$B73))</f>
        <v/>
      </c>
      <c r="V73" s="22" t="str">
        <f t="shared" si="10"/>
        <v/>
      </c>
      <c r="W73" s="28" t="str">
        <f t="shared" si="11"/>
        <v/>
      </c>
      <c r="X73" s="28" t="str">
        <f t="shared" si="12"/>
        <v/>
      </c>
      <c r="Y73" s="28" t="str">
        <f t="shared" si="13"/>
        <v/>
      </c>
      <c r="Z73" s="22" t="str">
        <f t="shared" si="14"/>
        <v/>
      </c>
      <c r="AA73" s="28" t="str">
        <f t="shared" si="15"/>
        <v/>
      </c>
      <c r="AB73" s="28" t="str">
        <f t="shared" si="16"/>
        <v/>
      </c>
      <c r="AC73" s="28" t="str">
        <f>IF($A73="","",SUMIFS('CHẶNG TĂNG CA'!$E$5:$E$304,'CHẶNG TĂNG CA'!$A$5:$A$304,$A73,'CHẶNG TĂNG CA'!$B$5:$B$304,$B73))</f>
        <v/>
      </c>
      <c r="AD73" s="28" t="str">
        <f>IF($A73="","",SUMIFS('CHẶNG TĂNG CA'!$F$5:$F$304,'CHẶNG TĂNG CA'!$A$5:$A$304,$A73,'CHẶNG TĂNG CA'!$B$5:$B$304,$B73))</f>
        <v/>
      </c>
      <c r="AE73" s="28" t="str">
        <f>IF($A73="","",SUMIFS('CHẶNG TĂNG CA'!$G$5:$G$304,'CHẶNG TĂNG CA'!$A$5:$A$304,$A73,'CHẶNG TĂNG CA'!$B$5:$B$304,$B73))</f>
        <v/>
      </c>
      <c r="AF73" s="28" t="str">
        <f>IF($A73="","",SUMIFS('CHẶNG TĂNG CA'!$H$5:$H$304,'CHẶNG TĂNG CA'!$A$5:$A$304,$A73,'CHẶNG TĂNG CA'!$B$5:$B$304,$B73))</f>
        <v/>
      </c>
      <c r="AG73" s="28" t="str">
        <f t="shared" si="17"/>
        <v/>
      </c>
      <c r="AH73" s="16" t="str">
        <f>IF($A73="","",IF(COUNTIFS('LỆNH ĐIỀU XE'!$B$5:$B$604,$A73,'LỆNH ĐIỀU XE'!$C$5:$C$604,$B73,'LỆNH ĐIỀU XE'!$N$5:$N$604,"Có")&gt;0,"Có","Không"))</f>
        <v/>
      </c>
      <c r="AI73" s="16" t="str">
        <f>IF(OR($A73="",H73="",N(T73)=0),"",IF(_xlfn.MAXIFS('LỆNH ĐIỀU XE'!$U$5:$U$604,'LỆNH ĐIỀU XE'!$B$5:$B$604,$A73,'LỆNH ĐIỀU XE'!$C$5:$C$604,$B73)=0,"",ROUND((H73+(H73&lt;4/24)-_xlfn.MAXIFS('LỆNH ĐIỀU XE'!$U$5:$U$604,'LỆNH ĐIỀU XE'!$B$5:$B$604,$A73,'LỆNH ĐIỀU XE'!$C$5:$C$604,$B73))*1440,0)))</f>
        <v/>
      </c>
      <c r="AJ73" s="16" t="str">
        <f>IF($A73="","",IF(OR(AI73="",V73=""),"Thiếu dữ liệu",IF(AND(AI73&lt;='THAM SỐ'!$B$29,ABS(V73)&lt;='THAM SỐ'!$B$28),"Đạt","Không đạt")))</f>
        <v/>
      </c>
      <c r="AK73" s="16" t="str">
        <f t="shared" si="18"/>
        <v/>
      </c>
      <c r="AL73" s="16" t="str">
        <f>IF($A73="","",TRIM(IF(T73=0,"Không có lệnh; ","")&amp;IF(N(N73)&gt;0,"Dừng ngoài lệnh; ","")&amp;IF(N(J73)&gt;0,"Quá tốc độ; ","")&amp;IF(N(K73)&gt;0,"Lái quá 4h; ","")&amp;IF(N(L73)&gt;0,"Không tắt máy; ","")&amp;IF(OR(P73&lt;&gt;"Đủ",Q73&lt;&gt;"Đủ",R73&lt;&gt;"Đủ"),"Thiếu ảnh; ","")&amp;IF(S73&lt;&gt;"Đạt","Lốp chưa đạt; ","")&amp;IF(N(W73)&gt;'THAM SỐ'!$B$27,"Có mặt quá giờ; ","")&amp;IF(N(X73)&gt;'THAM SỐ'!$B$25,"Lái quá giờ ngày; ","")&amp;IF(ISNUMBER(V73),IF(ABS(V73)&gt;'THAM SỐ'!$B$28,"Lệch km; ",""),"")))</f>
        <v/>
      </c>
      <c r="AM73" s="29"/>
      <c r="AN73" s="30"/>
      <c r="AO73" s="28" t="str">
        <f t="shared" si="19"/>
        <v/>
      </c>
      <c r="AP73" s="21" t="str">
        <f>IF(OR($A73="",AO73=""),"",IF(AG73=0,0,ROUND((AC73*'THAM SỐ'!$B$18+AD73*'THAM SỐ'!$B$19+AE73*'THAM SỐ'!$B$20+AF73*'THAM SỐ'!$B$21)*MIN(1,AO73/AG73),0)))</f>
        <v/>
      </c>
      <c r="AQ73" s="18"/>
    </row>
    <row r="74" spans="1:43" x14ac:dyDescent="0.45">
      <c r="A74" s="17"/>
      <c r="B74" s="18"/>
      <c r="C74" s="18"/>
      <c r="D74" s="25"/>
      <c r="E74" s="26"/>
      <c r="F74" s="26"/>
      <c r="G74" s="20"/>
      <c r="H74" s="20"/>
      <c r="I74" s="18"/>
      <c r="J74" s="18"/>
      <c r="K74" s="18"/>
      <c r="L74" s="18"/>
      <c r="M74" s="18"/>
      <c r="N74" s="18"/>
      <c r="O74" s="18"/>
      <c r="P74" s="18"/>
      <c r="Q74" s="18"/>
      <c r="R74" s="18"/>
      <c r="S74" s="18"/>
      <c r="T74" s="16" t="str">
        <f>IF($A74="","",COUNTIFS('LỆNH ĐIỀU XE'!$B$5:$B$604,$A74,'LỆNH ĐIỀU XE'!$C$5:$C$604,$B74))</f>
        <v/>
      </c>
      <c r="U74" s="27" t="str">
        <f>IF($A74="","",SUMIFS('LỆNH ĐIỀU XE'!$J$5:$J$604,'LỆNH ĐIỀU XE'!$B$5:$B$604,$A74,'LỆNH ĐIỀU XE'!$C$5:$C$604,$B74))</f>
        <v/>
      </c>
      <c r="V74" s="22" t="str">
        <f t="shared" si="10"/>
        <v/>
      </c>
      <c r="W74" s="28" t="str">
        <f t="shared" si="11"/>
        <v/>
      </c>
      <c r="X74" s="28" t="str">
        <f t="shared" si="12"/>
        <v/>
      </c>
      <c r="Y74" s="28" t="str">
        <f t="shared" si="13"/>
        <v/>
      </c>
      <c r="Z74" s="22" t="str">
        <f t="shared" si="14"/>
        <v/>
      </c>
      <c r="AA74" s="28" t="str">
        <f t="shared" si="15"/>
        <v/>
      </c>
      <c r="AB74" s="28" t="str">
        <f t="shared" si="16"/>
        <v/>
      </c>
      <c r="AC74" s="28" t="str">
        <f>IF($A74="","",SUMIFS('CHẶNG TĂNG CA'!$E$5:$E$304,'CHẶNG TĂNG CA'!$A$5:$A$304,$A74,'CHẶNG TĂNG CA'!$B$5:$B$304,$B74))</f>
        <v/>
      </c>
      <c r="AD74" s="28" t="str">
        <f>IF($A74="","",SUMIFS('CHẶNG TĂNG CA'!$F$5:$F$304,'CHẶNG TĂNG CA'!$A$5:$A$304,$A74,'CHẶNG TĂNG CA'!$B$5:$B$304,$B74))</f>
        <v/>
      </c>
      <c r="AE74" s="28" t="str">
        <f>IF($A74="","",SUMIFS('CHẶNG TĂNG CA'!$G$5:$G$304,'CHẶNG TĂNG CA'!$A$5:$A$304,$A74,'CHẶNG TĂNG CA'!$B$5:$B$304,$B74))</f>
        <v/>
      </c>
      <c r="AF74" s="28" t="str">
        <f>IF($A74="","",SUMIFS('CHẶNG TĂNG CA'!$H$5:$H$304,'CHẶNG TĂNG CA'!$A$5:$A$304,$A74,'CHẶNG TĂNG CA'!$B$5:$B$304,$B74))</f>
        <v/>
      </c>
      <c r="AG74" s="28" t="str">
        <f t="shared" si="17"/>
        <v/>
      </c>
      <c r="AH74" s="16" t="str">
        <f>IF($A74="","",IF(COUNTIFS('LỆNH ĐIỀU XE'!$B$5:$B$604,$A74,'LỆNH ĐIỀU XE'!$C$5:$C$604,$B74,'LỆNH ĐIỀU XE'!$N$5:$N$604,"Có")&gt;0,"Có","Không"))</f>
        <v/>
      </c>
      <c r="AI74" s="16" t="str">
        <f>IF(OR($A74="",H74="",N(T74)=0),"",IF(_xlfn.MAXIFS('LỆNH ĐIỀU XE'!$U$5:$U$604,'LỆNH ĐIỀU XE'!$B$5:$B$604,$A74,'LỆNH ĐIỀU XE'!$C$5:$C$604,$B74)=0,"",ROUND((H74+(H74&lt;4/24)-_xlfn.MAXIFS('LỆNH ĐIỀU XE'!$U$5:$U$604,'LỆNH ĐIỀU XE'!$B$5:$B$604,$A74,'LỆNH ĐIỀU XE'!$C$5:$C$604,$B74))*1440,0)))</f>
        <v/>
      </c>
      <c r="AJ74" s="16" t="str">
        <f>IF($A74="","",IF(OR(AI74="",V74=""),"Thiếu dữ liệu",IF(AND(AI74&lt;='THAM SỐ'!$B$29,ABS(V74)&lt;='THAM SỐ'!$B$28),"Đạt","Không đạt")))</f>
        <v/>
      </c>
      <c r="AK74" s="16" t="str">
        <f t="shared" si="18"/>
        <v/>
      </c>
      <c r="AL74" s="16" t="str">
        <f>IF($A74="","",TRIM(IF(T74=0,"Không có lệnh; ","")&amp;IF(N(N74)&gt;0,"Dừng ngoài lệnh; ","")&amp;IF(N(J74)&gt;0,"Quá tốc độ; ","")&amp;IF(N(K74)&gt;0,"Lái quá 4h; ","")&amp;IF(N(L74)&gt;0,"Không tắt máy; ","")&amp;IF(OR(P74&lt;&gt;"Đủ",Q74&lt;&gt;"Đủ",R74&lt;&gt;"Đủ"),"Thiếu ảnh; ","")&amp;IF(S74&lt;&gt;"Đạt","Lốp chưa đạt; ","")&amp;IF(N(W74)&gt;'THAM SỐ'!$B$27,"Có mặt quá giờ; ","")&amp;IF(N(X74)&gt;'THAM SỐ'!$B$25,"Lái quá giờ ngày; ","")&amp;IF(ISNUMBER(V74),IF(ABS(V74)&gt;'THAM SỐ'!$B$28,"Lệch km; ",""),"")))</f>
        <v/>
      </c>
      <c r="AM74" s="29"/>
      <c r="AN74" s="30"/>
      <c r="AO74" s="28" t="str">
        <f t="shared" si="19"/>
        <v/>
      </c>
      <c r="AP74" s="21" t="str">
        <f>IF(OR($A74="",AO74=""),"",IF(AG74=0,0,ROUND((AC74*'THAM SỐ'!$B$18+AD74*'THAM SỐ'!$B$19+AE74*'THAM SỐ'!$B$20+AF74*'THAM SỐ'!$B$21)*MIN(1,AO74/AG74),0)))</f>
        <v/>
      </c>
      <c r="AQ74" s="18"/>
    </row>
    <row r="75" spans="1:43" x14ac:dyDescent="0.45">
      <c r="A75" s="17"/>
      <c r="B75" s="18"/>
      <c r="C75" s="18"/>
      <c r="D75" s="25"/>
      <c r="E75" s="26"/>
      <c r="F75" s="26"/>
      <c r="G75" s="20"/>
      <c r="H75" s="20"/>
      <c r="I75" s="18"/>
      <c r="J75" s="18"/>
      <c r="K75" s="18"/>
      <c r="L75" s="18"/>
      <c r="M75" s="18"/>
      <c r="N75" s="18"/>
      <c r="O75" s="18"/>
      <c r="P75" s="18"/>
      <c r="Q75" s="18"/>
      <c r="R75" s="18"/>
      <c r="S75" s="18"/>
      <c r="T75" s="16" t="str">
        <f>IF($A75="","",COUNTIFS('LỆNH ĐIỀU XE'!$B$5:$B$604,$A75,'LỆNH ĐIỀU XE'!$C$5:$C$604,$B75))</f>
        <v/>
      </c>
      <c r="U75" s="27" t="str">
        <f>IF($A75="","",SUMIFS('LỆNH ĐIỀU XE'!$J$5:$J$604,'LỆNH ĐIỀU XE'!$B$5:$B$604,$A75,'LỆNH ĐIỀU XE'!$C$5:$C$604,$B75))</f>
        <v/>
      </c>
      <c r="V75" s="22" t="str">
        <f t="shared" si="10"/>
        <v/>
      </c>
      <c r="W75" s="28" t="str">
        <f t="shared" si="11"/>
        <v/>
      </c>
      <c r="X75" s="28" t="str">
        <f t="shared" si="12"/>
        <v/>
      </c>
      <c r="Y75" s="28" t="str">
        <f t="shared" si="13"/>
        <v/>
      </c>
      <c r="Z75" s="22" t="str">
        <f t="shared" si="14"/>
        <v/>
      </c>
      <c r="AA75" s="28" t="str">
        <f t="shared" si="15"/>
        <v/>
      </c>
      <c r="AB75" s="28" t="str">
        <f t="shared" si="16"/>
        <v/>
      </c>
      <c r="AC75" s="28" t="str">
        <f>IF($A75="","",SUMIFS('CHẶNG TĂNG CA'!$E$5:$E$304,'CHẶNG TĂNG CA'!$A$5:$A$304,$A75,'CHẶNG TĂNG CA'!$B$5:$B$304,$B75))</f>
        <v/>
      </c>
      <c r="AD75" s="28" t="str">
        <f>IF($A75="","",SUMIFS('CHẶNG TĂNG CA'!$F$5:$F$304,'CHẶNG TĂNG CA'!$A$5:$A$304,$A75,'CHẶNG TĂNG CA'!$B$5:$B$304,$B75))</f>
        <v/>
      </c>
      <c r="AE75" s="28" t="str">
        <f>IF($A75="","",SUMIFS('CHẶNG TĂNG CA'!$G$5:$G$304,'CHẶNG TĂNG CA'!$A$5:$A$304,$A75,'CHẶNG TĂNG CA'!$B$5:$B$304,$B75))</f>
        <v/>
      </c>
      <c r="AF75" s="28" t="str">
        <f>IF($A75="","",SUMIFS('CHẶNG TĂNG CA'!$H$5:$H$304,'CHẶNG TĂNG CA'!$A$5:$A$304,$A75,'CHẶNG TĂNG CA'!$B$5:$B$304,$B75))</f>
        <v/>
      </c>
      <c r="AG75" s="28" t="str">
        <f t="shared" si="17"/>
        <v/>
      </c>
      <c r="AH75" s="16" t="str">
        <f>IF($A75="","",IF(COUNTIFS('LỆNH ĐIỀU XE'!$B$5:$B$604,$A75,'LỆNH ĐIỀU XE'!$C$5:$C$604,$B75,'LỆNH ĐIỀU XE'!$N$5:$N$604,"Có")&gt;0,"Có","Không"))</f>
        <v/>
      </c>
      <c r="AI75" s="16" t="str">
        <f>IF(OR($A75="",H75="",N(T75)=0),"",IF(_xlfn.MAXIFS('LỆNH ĐIỀU XE'!$U$5:$U$604,'LỆNH ĐIỀU XE'!$B$5:$B$604,$A75,'LỆNH ĐIỀU XE'!$C$5:$C$604,$B75)=0,"",ROUND((H75+(H75&lt;4/24)-_xlfn.MAXIFS('LỆNH ĐIỀU XE'!$U$5:$U$604,'LỆNH ĐIỀU XE'!$B$5:$B$604,$A75,'LỆNH ĐIỀU XE'!$C$5:$C$604,$B75))*1440,0)))</f>
        <v/>
      </c>
      <c r="AJ75" s="16" t="str">
        <f>IF($A75="","",IF(OR(AI75="",V75=""),"Thiếu dữ liệu",IF(AND(AI75&lt;='THAM SỐ'!$B$29,ABS(V75)&lt;='THAM SỐ'!$B$28),"Đạt","Không đạt")))</f>
        <v/>
      </c>
      <c r="AK75" s="16" t="str">
        <f t="shared" si="18"/>
        <v/>
      </c>
      <c r="AL75" s="16" t="str">
        <f>IF($A75="","",TRIM(IF(T75=0,"Không có lệnh; ","")&amp;IF(N(N75)&gt;0,"Dừng ngoài lệnh; ","")&amp;IF(N(J75)&gt;0,"Quá tốc độ; ","")&amp;IF(N(K75)&gt;0,"Lái quá 4h; ","")&amp;IF(N(L75)&gt;0,"Không tắt máy; ","")&amp;IF(OR(P75&lt;&gt;"Đủ",Q75&lt;&gt;"Đủ",R75&lt;&gt;"Đủ"),"Thiếu ảnh; ","")&amp;IF(S75&lt;&gt;"Đạt","Lốp chưa đạt; ","")&amp;IF(N(W75)&gt;'THAM SỐ'!$B$27,"Có mặt quá giờ; ","")&amp;IF(N(X75)&gt;'THAM SỐ'!$B$25,"Lái quá giờ ngày; ","")&amp;IF(ISNUMBER(V75),IF(ABS(V75)&gt;'THAM SỐ'!$B$28,"Lệch km; ",""),"")))</f>
        <v/>
      </c>
      <c r="AM75" s="29"/>
      <c r="AN75" s="30"/>
      <c r="AO75" s="28" t="str">
        <f t="shared" si="19"/>
        <v/>
      </c>
      <c r="AP75" s="21" t="str">
        <f>IF(OR($A75="",AO75=""),"",IF(AG75=0,0,ROUND((AC75*'THAM SỐ'!$B$18+AD75*'THAM SỐ'!$B$19+AE75*'THAM SỐ'!$B$20+AF75*'THAM SỐ'!$B$21)*MIN(1,AO75/AG75),0)))</f>
        <v/>
      </c>
      <c r="AQ75" s="18"/>
    </row>
    <row r="76" spans="1:43" x14ac:dyDescent="0.45">
      <c r="A76" s="17"/>
      <c r="B76" s="18"/>
      <c r="C76" s="18"/>
      <c r="D76" s="25"/>
      <c r="E76" s="26"/>
      <c r="F76" s="26"/>
      <c r="G76" s="20"/>
      <c r="H76" s="20"/>
      <c r="I76" s="18"/>
      <c r="J76" s="18"/>
      <c r="K76" s="18"/>
      <c r="L76" s="18"/>
      <c r="M76" s="18"/>
      <c r="N76" s="18"/>
      <c r="O76" s="18"/>
      <c r="P76" s="18"/>
      <c r="Q76" s="18"/>
      <c r="R76" s="18"/>
      <c r="S76" s="18"/>
      <c r="T76" s="16" t="str">
        <f>IF($A76="","",COUNTIFS('LỆNH ĐIỀU XE'!$B$5:$B$604,$A76,'LỆNH ĐIỀU XE'!$C$5:$C$604,$B76))</f>
        <v/>
      </c>
      <c r="U76" s="27" t="str">
        <f>IF($A76="","",SUMIFS('LỆNH ĐIỀU XE'!$J$5:$J$604,'LỆNH ĐIỀU XE'!$B$5:$B$604,$A76,'LỆNH ĐIỀU XE'!$C$5:$C$604,$B76))</f>
        <v/>
      </c>
      <c r="V76" s="22" t="str">
        <f t="shared" si="10"/>
        <v/>
      </c>
      <c r="W76" s="28" t="str">
        <f t="shared" si="11"/>
        <v/>
      </c>
      <c r="X76" s="28" t="str">
        <f t="shared" si="12"/>
        <v/>
      </c>
      <c r="Y76" s="28" t="str">
        <f t="shared" si="13"/>
        <v/>
      </c>
      <c r="Z76" s="22" t="str">
        <f t="shared" si="14"/>
        <v/>
      </c>
      <c r="AA76" s="28" t="str">
        <f t="shared" si="15"/>
        <v/>
      </c>
      <c r="AB76" s="28" t="str">
        <f t="shared" si="16"/>
        <v/>
      </c>
      <c r="AC76" s="28" t="str">
        <f>IF($A76="","",SUMIFS('CHẶNG TĂNG CA'!$E$5:$E$304,'CHẶNG TĂNG CA'!$A$5:$A$304,$A76,'CHẶNG TĂNG CA'!$B$5:$B$304,$B76))</f>
        <v/>
      </c>
      <c r="AD76" s="28" t="str">
        <f>IF($A76="","",SUMIFS('CHẶNG TĂNG CA'!$F$5:$F$304,'CHẶNG TĂNG CA'!$A$5:$A$304,$A76,'CHẶNG TĂNG CA'!$B$5:$B$304,$B76))</f>
        <v/>
      </c>
      <c r="AE76" s="28" t="str">
        <f>IF($A76="","",SUMIFS('CHẶNG TĂNG CA'!$G$5:$G$304,'CHẶNG TĂNG CA'!$A$5:$A$304,$A76,'CHẶNG TĂNG CA'!$B$5:$B$304,$B76))</f>
        <v/>
      </c>
      <c r="AF76" s="28" t="str">
        <f>IF($A76="","",SUMIFS('CHẶNG TĂNG CA'!$H$5:$H$304,'CHẶNG TĂNG CA'!$A$5:$A$304,$A76,'CHẶNG TĂNG CA'!$B$5:$B$304,$B76))</f>
        <v/>
      </c>
      <c r="AG76" s="28" t="str">
        <f t="shared" si="17"/>
        <v/>
      </c>
      <c r="AH76" s="16" t="str">
        <f>IF($A76="","",IF(COUNTIFS('LỆNH ĐIỀU XE'!$B$5:$B$604,$A76,'LỆNH ĐIỀU XE'!$C$5:$C$604,$B76,'LỆNH ĐIỀU XE'!$N$5:$N$604,"Có")&gt;0,"Có","Không"))</f>
        <v/>
      </c>
      <c r="AI76" s="16" t="str">
        <f>IF(OR($A76="",H76="",N(T76)=0),"",IF(_xlfn.MAXIFS('LỆNH ĐIỀU XE'!$U$5:$U$604,'LỆNH ĐIỀU XE'!$B$5:$B$604,$A76,'LỆNH ĐIỀU XE'!$C$5:$C$604,$B76)=0,"",ROUND((H76+(H76&lt;4/24)-_xlfn.MAXIFS('LỆNH ĐIỀU XE'!$U$5:$U$604,'LỆNH ĐIỀU XE'!$B$5:$B$604,$A76,'LỆNH ĐIỀU XE'!$C$5:$C$604,$B76))*1440,0)))</f>
        <v/>
      </c>
      <c r="AJ76" s="16" t="str">
        <f>IF($A76="","",IF(OR(AI76="",V76=""),"Thiếu dữ liệu",IF(AND(AI76&lt;='THAM SỐ'!$B$29,ABS(V76)&lt;='THAM SỐ'!$B$28),"Đạt","Không đạt")))</f>
        <v/>
      </c>
      <c r="AK76" s="16" t="str">
        <f t="shared" si="18"/>
        <v/>
      </c>
      <c r="AL76" s="16" t="str">
        <f>IF($A76="","",TRIM(IF(T76=0,"Không có lệnh; ","")&amp;IF(N(N76)&gt;0,"Dừng ngoài lệnh; ","")&amp;IF(N(J76)&gt;0,"Quá tốc độ; ","")&amp;IF(N(K76)&gt;0,"Lái quá 4h; ","")&amp;IF(N(L76)&gt;0,"Không tắt máy; ","")&amp;IF(OR(P76&lt;&gt;"Đủ",Q76&lt;&gt;"Đủ",R76&lt;&gt;"Đủ"),"Thiếu ảnh; ","")&amp;IF(S76&lt;&gt;"Đạt","Lốp chưa đạt; ","")&amp;IF(N(W76)&gt;'THAM SỐ'!$B$27,"Có mặt quá giờ; ","")&amp;IF(N(X76)&gt;'THAM SỐ'!$B$25,"Lái quá giờ ngày; ","")&amp;IF(ISNUMBER(V76),IF(ABS(V76)&gt;'THAM SỐ'!$B$28,"Lệch km; ",""),"")))</f>
        <v/>
      </c>
      <c r="AM76" s="29"/>
      <c r="AN76" s="30"/>
      <c r="AO76" s="28" t="str">
        <f t="shared" si="19"/>
        <v/>
      </c>
      <c r="AP76" s="21" t="str">
        <f>IF(OR($A76="",AO76=""),"",IF(AG76=0,0,ROUND((AC76*'THAM SỐ'!$B$18+AD76*'THAM SỐ'!$B$19+AE76*'THAM SỐ'!$B$20+AF76*'THAM SỐ'!$B$21)*MIN(1,AO76/AG76),0)))</f>
        <v/>
      </c>
      <c r="AQ76" s="18"/>
    </row>
    <row r="77" spans="1:43" x14ac:dyDescent="0.45">
      <c r="A77" s="17"/>
      <c r="B77" s="18"/>
      <c r="C77" s="18"/>
      <c r="D77" s="25"/>
      <c r="E77" s="26"/>
      <c r="F77" s="26"/>
      <c r="G77" s="20"/>
      <c r="H77" s="20"/>
      <c r="I77" s="18"/>
      <c r="J77" s="18"/>
      <c r="K77" s="18"/>
      <c r="L77" s="18"/>
      <c r="M77" s="18"/>
      <c r="N77" s="18"/>
      <c r="O77" s="18"/>
      <c r="P77" s="18"/>
      <c r="Q77" s="18"/>
      <c r="R77" s="18"/>
      <c r="S77" s="18"/>
      <c r="T77" s="16" t="str">
        <f>IF($A77="","",COUNTIFS('LỆNH ĐIỀU XE'!$B$5:$B$604,$A77,'LỆNH ĐIỀU XE'!$C$5:$C$604,$B77))</f>
        <v/>
      </c>
      <c r="U77" s="27" t="str">
        <f>IF($A77="","",SUMIFS('LỆNH ĐIỀU XE'!$J$5:$J$604,'LỆNH ĐIỀU XE'!$B$5:$B$604,$A77,'LỆNH ĐIỀU XE'!$C$5:$C$604,$B77))</f>
        <v/>
      </c>
      <c r="V77" s="22" t="str">
        <f t="shared" si="10"/>
        <v/>
      </c>
      <c r="W77" s="28" t="str">
        <f t="shared" si="11"/>
        <v/>
      </c>
      <c r="X77" s="28" t="str">
        <f t="shared" si="12"/>
        <v/>
      </c>
      <c r="Y77" s="28" t="str">
        <f t="shared" si="13"/>
        <v/>
      </c>
      <c r="Z77" s="22" t="str">
        <f t="shared" si="14"/>
        <v/>
      </c>
      <c r="AA77" s="28" t="str">
        <f t="shared" si="15"/>
        <v/>
      </c>
      <c r="AB77" s="28" t="str">
        <f t="shared" si="16"/>
        <v/>
      </c>
      <c r="AC77" s="28" t="str">
        <f>IF($A77="","",SUMIFS('CHẶNG TĂNG CA'!$E$5:$E$304,'CHẶNG TĂNG CA'!$A$5:$A$304,$A77,'CHẶNG TĂNG CA'!$B$5:$B$304,$B77))</f>
        <v/>
      </c>
      <c r="AD77" s="28" t="str">
        <f>IF($A77="","",SUMIFS('CHẶNG TĂNG CA'!$F$5:$F$304,'CHẶNG TĂNG CA'!$A$5:$A$304,$A77,'CHẶNG TĂNG CA'!$B$5:$B$304,$B77))</f>
        <v/>
      </c>
      <c r="AE77" s="28" t="str">
        <f>IF($A77="","",SUMIFS('CHẶNG TĂNG CA'!$G$5:$G$304,'CHẶNG TĂNG CA'!$A$5:$A$304,$A77,'CHẶNG TĂNG CA'!$B$5:$B$304,$B77))</f>
        <v/>
      </c>
      <c r="AF77" s="28" t="str">
        <f>IF($A77="","",SUMIFS('CHẶNG TĂNG CA'!$H$5:$H$304,'CHẶNG TĂNG CA'!$A$5:$A$304,$A77,'CHẶNG TĂNG CA'!$B$5:$B$304,$B77))</f>
        <v/>
      </c>
      <c r="AG77" s="28" t="str">
        <f t="shared" si="17"/>
        <v/>
      </c>
      <c r="AH77" s="16" t="str">
        <f>IF($A77="","",IF(COUNTIFS('LỆNH ĐIỀU XE'!$B$5:$B$604,$A77,'LỆNH ĐIỀU XE'!$C$5:$C$604,$B77,'LỆNH ĐIỀU XE'!$N$5:$N$604,"Có")&gt;0,"Có","Không"))</f>
        <v/>
      </c>
      <c r="AI77" s="16" t="str">
        <f>IF(OR($A77="",H77="",N(T77)=0),"",IF(_xlfn.MAXIFS('LỆNH ĐIỀU XE'!$U$5:$U$604,'LỆNH ĐIỀU XE'!$B$5:$B$604,$A77,'LỆNH ĐIỀU XE'!$C$5:$C$604,$B77)=0,"",ROUND((H77+(H77&lt;4/24)-_xlfn.MAXIFS('LỆNH ĐIỀU XE'!$U$5:$U$604,'LỆNH ĐIỀU XE'!$B$5:$B$604,$A77,'LỆNH ĐIỀU XE'!$C$5:$C$604,$B77))*1440,0)))</f>
        <v/>
      </c>
      <c r="AJ77" s="16" t="str">
        <f>IF($A77="","",IF(OR(AI77="",V77=""),"Thiếu dữ liệu",IF(AND(AI77&lt;='THAM SỐ'!$B$29,ABS(V77)&lt;='THAM SỐ'!$B$28),"Đạt","Không đạt")))</f>
        <v/>
      </c>
      <c r="AK77" s="16" t="str">
        <f t="shared" si="18"/>
        <v/>
      </c>
      <c r="AL77" s="16" t="str">
        <f>IF($A77="","",TRIM(IF(T77=0,"Không có lệnh; ","")&amp;IF(N(N77)&gt;0,"Dừng ngoài lệnh; ","")&amp;IF(N(J77)&gt;0,"Quá tốc độ; ","")&amp;IF(N(K77)&gt;0,"Lái quá 4h; ","")&amp;IF(N(L77)&gt;0,"Không tắt máy; ","")&amp;IF(OR(P77&lt;&gt;"Đủ",Q77&lt;&gt;"Đủ",R77&lt;&gt;"Đủ"),"Thiếu ảnh; ","")&amp;IF(S77&lt;&gt;"Đạt","Lốp chưa đạt; ","")&amp;IF(N(W77)&gt;'THAM SỐ'!$B$27,"Có mặt quá giờ; ","")&amp;IF(N(X77)&gt;'THAM SỐ'!$B$25,"Lái quá giờ ngày; ","")&amp;IF(ISNUMBER(V77),IF(ABS(V77)&gt;'THAM SỐ'!$B$28,"Lệch km; ",""),"")))</f>
        <v/>
      </c>
      <c r="AM77" s="29"/>
      <c r="AN77" s="30"/>
      <c r="AO77" s="28" t="str">
        <f t="shared" si="19"/>
        <v/>
      </c>
      <c r="AP77" s="21" t="str">
        <f>IF(OR($A77="",AO77=""),"",IF(AG77=0,0,ROUND((AC77*'THAM SỐ'!$B$18+AD77*'THAM SỐ'!$B$19+AE77*'THAM SỐ'!$B$20+AF77*'THAM SỐ'!$B$21)*MIN(1,AO77/AG77),0)))</f>
        <v/>
      </c>
      <c r="AQ77" s="18"/>
    </row>
    <row r="78" spans="1:43" x14ac:dyDescent="0.45">
      <c r="A78" s="17"/>
      <c r="B78" s="18"/>
      <c r="C78" s="18"/>
      <c r="D78" s="25"/>
      <c r="E78" s="26"/>
      <c r="F78" s="26"/>
      <c r="G78" s="20"/>
      <c r="H78" s="20"/>
      <c r="I78" s="18"/>
      <c r="J78" s="18"/>
      <c r="K78" s="18"/>
      <c r="L78" s="18"/>
      <c r="M78" s="18"/>
      <c r="N78" s="18"/>
      <c r="O78" s="18"/>
      <c r="P78" s="18"/>
      <c r="Q78" s="18"/>
      <c r="R78" s="18"/>
      <c r="S78" s="18"/>
      <c r="T78" s="16" t="str">
        <f>IF($A78="","",COUNTIFS('LỆNH ĐIỀU XE'!$B$5:$B$604,$A78,'LỆNH ĐIỀU XE'!$C$5:$C$604,$B78))</f>
        <v/>
      </c>
      <c r="U78" s="27" t="str">
        <f>IF($A78="","",SUMIFS('LỆNH ĐIỀU XE'!$J$5:$J$604,'LỆNH ĐIỀU XE'!$B$5:$B$604,$A78,'LỆNH ĐIỀU XE'!$C$5:$C$604,$B78))</f>
        <v/>
      </c>
      <c r="V78" s="22" t="str">
        <f t="shared" si="10"/>
        <v/>
      </c>
      <c r="W78" s="28" t="str">
        <f t="shared" si="11"/>
        <v/>
      </c>
      <c r="X78" s="28" t="str">
        <f t="shared" si="12"/>
        <v/>
      </c>
      <c r="Y78" s="28" t="str">
        <f t="shared" si="13"/>
        <v/>
      </c>
      <c r="Z78" s="22" t="str">
        <f t="shared" si="14"/>
        <v/>
      </c>
      <c r="AA78" s="28" t="str">
        <f t="shared" si="15"/>
        <v/>
      </c>
      <c r="AB78" s="28" t="str">
        <f t="shared" si="16"/>
        <v/>
      </c>
      <c r="AC78" s="28" t="str">
        <f>IF($A78="","",SUMIFS('CHẶNG TĂNG CA'!$E$5:$E$304,'CHẶNG TĂNG CA'!$A$5:$A$304,$A78,'CHẶNG TĂNG CA'!$B$5:$B$304,$B78))</f>
        <v/>
      </c>
      <c r="AD78" s="28" t="str">
        <f>IF($A78="","",SUMIFS('CHẶNG TĂNG CA'!$F$5:$F$304,'CHẶNG TĂNG CA'!$A$5:$A$304,$A78,'CHẶNG TĂNG CA'!$B$5:$B$304,$B78))</f>
        <v/>
      </c>
      <c r="AE78" s="28" t="str">
        <f>IF($A78="","",SUMIFS('CHẶNG TĂNG CA'!$G$5:$G$304,'CHẶNG TĂNG CA'!$A$5:$A$304,$A78,'CHẶNG TĂNG CA'!$B$5:$B$304,$B78))</f>
        <v/>
      </c>
      <c r="AF78" s="28" t="str">
        <f>IF($A78="","",SUMIFS('CHẶNG TĂNG CA'!$H$5:$H$304,'CHẶNG TĂNG CA'!$A$5:$A$304,$A78,'CHẶNG TĂNG CA'!$B$5:$B$304,$B78))</f>
        <v/>
      </c>
      <c r="AG78" s="28" t="str">
        <f t="shared" si="17"/>
        <v/>
      </c>
      <c r="AH78" s="16" t="str">
        <f>IF($A78="","",IF(COUNTIFS('LỆNH ĐIỀU XE'!$B$5:$B$604,$A78,'LỆNH ĐIỀU XE'!$C$5:$C$604,$B78,'LỆNH ĐIỀU XE'!$N$5:$N$604,"Có")&gt;0,"Có","Không"))</f>
        <v/>
      </c>
      <c r="AI78" s="16" t="str">
        <f>IF(OR($A78="",H78="",N(T78)=0),"",IF(_xlfn.MAXIFS('LỆNH ĐIỀU XE'!$U$5:$U$604,'LỆNH ĐIỀU XE'!$B$5:$B$604,$A78,'LỆNH ĐIỀU XE'!$C$5:$C$604,$B78)=0,"",ROUND((H78+(H78&lt;4/24)-_xlfn.MAXIFS('LỆNH ĐIỀU XE'!$U$5:$U$604,'LỆNH ĐIỀU XE'!$B$5:$B$604,$A78,'LỆNH ĐIỀU XE'!$C$5:$C$604,$B78))*1440,0)))</f>
        <v/>
      </c>
      <c r="AJ78" s="16" t="str">
        <f>IF($A78="","",IF(OR(AI78="",V78=""),"Thiếu dữ liệu",IF(AND(AI78&lt;='THAM SỐ'!$B$29,ABS(V78)&lt;='THAM SỐ'!$B$28),"Đạt","Không đạt")))</f>
        <v/>
      </c>
      <c r="AK78" s="16" t="str">
        <f t="shared" si="18"/>
        <v/>
      </c>
      <c r="AL78" s="16" t="str">
        <f>IF($A78="","",TRIM(IF(T78=0,"Không có lệnh; ","")&amp;IF(N(N78)&gt;0,"Dừng ngoài lệnh; ","")&amp;IF(N(J78)&gt;0,"Quá tốc độ; ","")&amp;IF(N(K78)&gt;0,"Lái quá 4h; ","")&amp;IF(N(L78)&gt;0,"Không tắt máy; ","")&amp;IF(OR(P78&lt;&gt;"Đủ",Q78&lt;&gt;"Đủ",R78&lt;&gt;"Đủ"),"Thiếu ảnh; ","")&amp;IF(S78&lt;&gt;"Đạt","Lốp chưa đạt; ","")&amp;IF(N(W78)&gt;'THAM SỐ'!$B$27,"Có mặt quá giờ; ","")&amp;IF(N(X78)&gt;'THAM SỐ'!$B$25,"Lái quá giờ ngày; ","")&amp;IF(ISNUMBER(V78),IF(ABS(V78)&gt;'THAM SỐ'!$B$28,"Lệch km; ",""),"")))</f>
        <v/>
      </c>
      <c r="AM78" s="29"/>
      <c r="AN78" s="30"/>
      <c r="AO78" s="28" t="str">
        <f t="shared" si="19"/>
        <v/>
      </c>
      <c r="AP78" s="21" t="str">
        <f>IF(OR($A78="",AO78=""),"",IF(AG78=0,0,ROUND((AC78*'THAM SỐ'!$B$18+AD78*'THAM SỐ'!$B$19+AE78*'THAM SỐ'!$B$20+AF78*'THAM SỐ'!$B$21)*MIN(1,AO78/AG78),0)))</f>
        <v/>
      </c>
      <c r="AQ78" s="18"/>
    </row>
    <row r="79" spans="1:43" x14ac:dyDescent="0.45">
      <c r="A79" s="17"/>
      <c r="B79" s="18"/>
      <c r="C79" s="18"/>
      <c r="D79" s="25"/>
      <c r="E79" s="26"/>
      <c r="F79" s="26"/>
      <c r="G79" s="20"/>
      <c r="H79" s="20"/>
      <c r="I79" s="18"/>
      <c r="J79" s="18"/>
      <c r="K79" s="18"/>
      <c r="L79" s="18"/>
      <c r="M79" s="18"/>
      <c r="N79" s="18"/>
      <c r="O79" s="18"/>
      <c r="P79" s="18"/>
      <c r="Q79" s="18"/>
      <c r="R79" s="18"/>
      <c r="S79" s="18"/>
      <c r="T79" s="16" t="str">
        <f>IF($A79="","",COUNTIFS('LỆNH ĐIỀU XE'!$B$5:$B$604,$A79,'LỆNH ĐIỀU XE'!$C$5:$C$604,$B79))</f>
        <v/>
      </c>
      <c r="U79" s="27" t="str">
        <f>IF($A79="","",SUMIFS('LỆNH ĐIỀU XE'!$J$5:$J$604,'LỆNH ĐIỀU XE'!$B$5:$B$604,$A79,'LỆNH ĐIỀU XE'!$C$5:$C$604,$B79))</f>
        <v/>
      </c>
      <c r="V79" s="22" t="str">
        <f t="shared" si="10"/>
        <v/>
      </c>
      <c r="W79" s="28" t="str">
        <f t="shared" si="11"/>
        <v/>
      </c>
      <c r="X79" s="28" t="str">
        <f t="shared" si="12"/>
        <v/>
      </c>
      <c r="Y79" s="28" t="str">
        <f t="shared" si="13"/>
        <v/>
      </c>
      <c r="Z79" s="22" t="str">
        <f t="shared" si="14"/>
        <v/>
      </c>
      <c r="AA79" s="28" t="str">
        <f t="shared" si="15"/>
        <v/>
      </c>
      <c r="AB79" s="28" t="str">
        <f t="shared" si="16"/>
        <v/>
      </c>
      <c r="AC79" s="28" t="str">
        <f>IF($A79="","",SUMIFS('CHẶNG TĂNG CA'!$E$5:$E$304,'CHẶNG TĂNG CA'!$A$5:$A$304,$A79,'CHẶNG TĂNG CA'!$B$5:$B$304,$B79))</f>
        <v/>
      </c>
      <c r="AD79" s="28" t="str">
        <f>IF($A79="","",SUMIFS('CHẶNG TĂNG CA'!$F$5:$F$304,'CHẶNG TĂNG CA'!$A$5:$A$304,$A79,'CHẶNG TĂNG CA'!$B$5:$B$304,$B79))</f>
        <v/>
      </c>
      <c r="AE79" s="28" t="str">
        <f>IF($A79="","",SUMIFS('CHẶNG TĂNG CA'!$G$5:$G$304,'CHẶNG TĂNG CA'!$A$5:$A$304,$A79,'CHẶNG TĂNG CA'!$B$5:$B$304,$B79))</f>
        <v/>
      </c>
      <c r="AF79" s="28" t="str">
        <f>IF($A79="","",SUMIFS('CHẶNG TĂNG CA'!$H$5:$H$304,'CHẶNG TĂNG CA'!$A$5:$A$304,$A79,'CHẶNG TĂNG CA'!$B$5:$B$304,$B79))</f>
        <v/>
      </c>
      <c r="AG79" s="28" t="str">
        <f t="shared" si="17"/>
        <v/>
      </c>
      <c r="AH79" s="16" t="str">
        <f>IF($A79="","",IF(COUNTIFS('LỆNH ĐIỀU XE'!$B$5:$B$604,$A79,'LỆNH ĐIỀU XE'!$C$5:$C$604,$B79,'LỆNH ĐIỀU XE'!$N$5:$N$604,"Có")&gt;0,"Có","Không"))</f>
        <v/>
      </c>
      <c r="AI79" s="16" t="str">
        <f>IF(OR($A79="",H79="",N(T79)=0),"",IF(_xlfn.MAXIFS('LỆNH ĐIỀU XE'!$U$5:$U$604,'LỆNH ĐIỀU XE'!$B$5:$B$604,$A79,'LỆNH ĐIỀU XE'!$C$5:$C$604,$B79)=0,"",ROUND((H79+(H79&lt;4/24)-_xlfn.MAXIFS('LỆNH ĐIỀU XE'!$U$5:$U$604,'LỆNH ĐIỀU XE'!$B$5:$B$604,$A79,'LỆNH ĐIỀU XE'!$C$5:$C$604,$B79))*1440,0)))</f>
        <v/>
      </c>
      <c r="AJ79" s="16" t="str">
        <f>IF($A79="","",IF(OR(AI79="",V79=""),"Thiếu dữ liệu",IF(AND(AI79&lt;='THAM SỐ'!$B$29,ABS(V79)&lt;='THAM SỐ'!$B$28),"Đạt","Không đạt")))</f>
        <v/>
      </c>
      <c r="AK79" s="16" t="str">
        <f t="shared" si="18"/>
        <v/>
      </c>
      <c r="AL79" s="16" t="str">
        <f>IF($A79="","",TRIM(IF(T79=0,"Không có lệnh; ","")&amp;IF(N(N79)&gt;0,"Dừng ngoài lệnh; ","")&amp;IF(N(J79)&gt;0,"Quá tốc độ; ","")&amp;IF(N(K79)&gt;0,"Lái quá 4h; ","")&amp;IF(N(L79)&gt;0,"Không tắt máy; ","")&amp;IF(OR(P79&lt;&gt;"Đủ",Q79&lt;&gt;"Đủ",R79&lt;&gt;"Đủ"),"Thiếu ảnh; ","")&amp;IF(S79&lt;&gt;"Đạt","Lốp chưa đạt; ","")&amp;IF(N(W79)&gt;'THAM SỐ'!$B$27,"Có mặt quá giờ; ","")&amp;IF(N(X79)&gt;'THAM SỐ'!$B$25,"Lái quá giờ ngày; ","")&amp;IF(ISNUMBER(V79),IF(ABS(V79)&gt;'THAM SỐ'!$B$28,"Lệch km; ",""),"")))</f>
        <v/>
      </c>
      <c r="AM79" s="29"/>
      <c r="AN79" s="30"/>
      <c r="AO79" s="28" t="str">
        <f t="shared" si="19"/>
        <v/>
      </c>
      <c r="AP79" s="21" t="str">
        <f>IF(OR($A79="",AO79=""),"",IF(AG79=0,0,ROUND((AC79*'THAM SỐ'!$B$18+AD79*'THAM SỐ'!$B$19+AE79*'THAM SỐ'!$B$20+AF79*'THAM SỐ'!$B$21)*MIN(1,AO79/AG79),0)))</f>
        <v/>
      </c>
      <c r="AQ79" s="18"/>
    </row>
    <row r="80" spans="1:43" x14ac:dyDescent="0.45">
      <c r="A80" s="17"/>
      <c r="B80" s="18"/>
      <c r="C80" s="18"/>
      <c r="D80" s="25"/>
      <c r="E80" s="26"/>
      <c r="F80" s="26"/>
      <c r="G80" s="20"/>
      <c r="H80" s="20"/>
      <c r="I80" s="18"/>
      <c r="J80" s="18"/>
      <c r="K80" s="18"/>
      <c r="L80" s="18"/>
      <c r="M80" s="18"/>
      <c r="N80" s="18"/>
      <c r="O80" s="18"/>
      <c r="P80" s="18"/>
      <c r="Q80" s="18"/>
      <c r="R80" s="18"/>
      <c r="S80" s="18"/>
      <c r="T80" s="16" t="str">
        <f>IF($A80="","",COUNTIFS('LỆNH ĐIỀU XE'!$B$5:$B$604,$A80,'LỆNH ĐIỀU XE'!$C$5:$C$604,$B80))</f>
        <v/>
      </c>
      <c r="U80" s="27" t="str">
        <f>IF($A80="","",SUMIFS('LỆNH ĐIỀU XE'!$J$5:$J$604,'LỆNH ĐIỀU XE'!$B$5:$B$604,$A80,'LỆNH ĐIỀU XE'!$C$5:$C$604,$B80))</f>
        <v/>
      </c>
      <c r="V80" s="22" t="str">
        <f t="shared" si="10"/>
        <v/>
      </c>
      <c r="W80" s="28" t="str">
        <f t="shared" si="11"/>
        <v/>
      </c>
      <c r="X80" s="28" t="str">
        <f t="shared" si="12"/>
        <v/>
      </c>
      <c r="Y80" s="28" t="str">
        <f t="shared" si="13"/>
        <v/>
      </c>
      <c r="Z80" s="22" t="str">
        <f t="shared" si="14"/>
        <v/>
      </c>
      <c r="AA80" s="28" t="str">
        <f t="shared" si="15"/>
        <v/>
      </c>
      <c r="AB80" s="28" t="str">
        <f t="shared" si="16"/>
        <v/>
      </c>
      <c r="AC80" s="28" t="str">
        <f>IF($A80="","",SUMIFS('CHẶNG TĂNG CA'!$E$5:$E$304,'CHẶNG TĂNG CA'!$A$5:$A$304,$A80,'CHẶNG TĂNG CA'!$B$5:$B$304,$B80))</f>
        <v/>
      </c>
      <c r="AD80" s="28" t="str">
        <f>IF($A80="","",SUMIFS('CHẶNG TĂNG CA'!$F$5:$F$304,'CHẶNG TĂNG CA'!$A$5:$A$304,$A80,'CHẶNG TĂNG CA'!$B$5:$B$304,$B80))</f>
        <v/>
      </c>
      <c r="AE80" s="28" t="str">
        <f>IF($A80="","",SUMIFS('CHẶNG TĂNG CA'!$G$5:$G$304,'CHẶNG TĂNG CA'!$A$5:$A$304,$A80,'CHẶNG TĂNG CA'!$B$5:$B$304,$B80))</f>
        <v/>
      </c>
      <c r="AF80" s="28" t="str">
        <f>IF($A80="","",SUMIFS('CHẶNG TĂNG CA'!$H$5:$H$304,'CHẶNG TĂNG CA'!$A$5:$A$304,$A80,'CHẶNG TĂNG CA'!$B$5:$B$304,$B80))</f>
        <v/>
      </c>
      <c r="AG80" s="28" t="str">
        <f t="shared" si="17"/>
        <v/>
      </c>
      <c r="AH80" s="16" t="str">
        <f>IF($A80="","",IF(COUNTIFS('LỆNH ĐIỀU XE'!$B$5:$B$604,$A80,'LỆNH ĐIỀU XE'!$C$5:$C$604,$B80,'LỆNH ĐIỀU XE'!$N$5:$N$604,"Có")&gt;0,"Có","Không"))</f>
        <v/>
      </c>
      <c r="AI80" s="16" t="str">
        <f>IF(OR($A80="",H80="",N(T80)=0),"",IF(_xlfn.MAXIFS('LỆNH ĐIỀU XE'!$U$5:$U$604,'LỆNH ĐIỀU XE'!$B$5:$B$604,$A80,'LỆNH ĐIỀU XE'!$C$5:$C$604,$B80)=0,"",ROUND((H80+(H80&lt;4/24)-_xlfn.MAXIFS('LỆNH ĐIỀU XE'!$U$5:$U$604,'LỆNH ĐIỀU XE'!$B$5:$B$604,$A80,'LỆNH ĐIỀU XE'!$C$5:$C$604,$B80))*1440,0)))</f>
        <v/>
      </c>
      <c r="AJ80" s="16" t="str">
        <f>IF($A80="","",IF(OR(AI80="",V80=""),"Thiếu dữ liệu",IF(AND(AI80&lt;='THAM SỐ'!$B$29,ABS(V80)&lt;='THAM SỐ'!$B$28),"Đạt","Không đạt")))</f>
        <v/>
      </c>
      <c r="AK80" s="16" t="str">
        <f t="shared" si="18"/>
        <v/>
      </c>
      <c r="AL80" s="16" t="str">
        <f>IF($A80="","",TRIM(IF(T80=0,"Không có lệnh; ","")&amp;IF(N(N80)&gt;0,"Dừng ngoài lệnh; ","")&amp;IF(N(J80)&gt;0,"Quá tốc độ; ","")&amp;IF(N(K80)&gt;0,"Lái quá 4h; ","")&amp;IF(N(L80)&gt;0,"Không tắt máy; ","")&amp;IF(OR(P80&lt;&gt;"Đủ",Q80&lt;&gt;"Đủ",R80&lt;&gt;"Đủ"),"Thiếu ảnh; ","")&amp;IF(S80&lt;&gt;"Đạt","Lốp chưa đạt; ","")&amp;IF(N(W80)&gt;'THAM SỐ'!$B$27,"Có mặt quá giờ; ","")&amp;IF(N(X80)&gt;'THAM SỐ'!$B$25,"Lái quá giờ ngày; ","")&amp;IF(ISNUMBER(V80),IF(ABS(V80)&gt;'THAM SỐ'!$B$28,"Lệch km; ",""),"")))</f>
        <v/>
      </c>
      <c r="AM80" s="29"/>
      <c r="AN80" s="30"/>
      <c r="AO80" s="28" t="str">
        <f t="shared" si="19"/>
        <v/>
      </c>
      <c r="AP80" s="21" t="str">
        <f>IF(OR($A80="",AO80=""),"",IF(AG80=0,0,ROUND((AC80*'THAM SỐ'!$B$18+AD80*'THAM SỐ'!$B$19+AE80*'THAM SỐ'!$B$20+AF80*'THAM SỐ'!$B$21)*MIN(1,AO80/AG80),0)))</f>
        <v/>
      </c>
      <c r="AQ80" s="18"/>
    </row>
    <row r="81" spans="1:43" x14ac:dyDescent="0.45">
      <c r="A81" s="17"/>
      <c r="B81" s="18"/>
      <c r="C81" s="18"/>
      <c r="D81" s="25"/>
      <c r="E81" s="26"/>
      <c r="F81" s="26"/>
      <c r="G81" s="20"/>
      <c r="H81" s="20"/>
      <c r="I81" s="18"/>
      <c r="J81" s="18"/>
      <c r="K81" s="18"/>
      <c r="L81" s="18"/>
      <c r="M81" s="18"/>
      <c r="N81" s="18"/>
      <c r="O81" s="18"/>
      <c r="P81" s="18"/>
      <c r="Q81" s="18"/>
      <c r="R81" s="18"/>
      <c r="S81" s="18"/>
      <c r="T81" s="16" t="str">
        <f>IF($A81="","",COUNTIFS('LỆNH ĐIỀU XE'!$B$5:$B$604,$A81,'LỆNH ĐIỀU XE'!$C$5:$C$604,$B81))</f>
        <v/>
      </c>
      <c r="U81" s="27" t="str">
        <f>IF($A81="","",SUMIFS('LỆNH ĐIỀU XE'!$J$5:$J$604,'LỆNH ĐIỀU XE'!$B$5:$B$604,$A81,'LỆNH ĐIỀU XE'!$C$5:$C$604,$B81))</f>
        <v/>
      </c>
      <c r="V81" s="22" t="str">
        <f t="shared" si="10"/>
        <v/>
      </c>
      <c r="W81" s="28" t="str">
        <f t="shared" si="11"/>
        <v/>
      </c>
      <c r="X81" s="28" t="str">
        <f t="shared" si="12"/>
        <v/>
      </c>
      <c r="Y81" s="28" t="str">
        <f t="shared" si="13"/>
        <v/>
      </c>
      <c r="Z81" s="22" t="str">
        <f t="shared" si="14"/>
        <v/>
      </c>
      <c r="AA81" s="28" t="str">
        <f t="shared" si="15"/>
        <v/>
      </c>
      <c r="AB81" s="28" t="str">
        <f t="shared" si="16"/>
        <v/>
      </c>
      <c r="AC81" s="28" t="str">
        <f>IF($A81="","",SUMIFS('CHẶNG TĂNG CA'!$E$5:$E$304,'CHẶNG TĂNG CA'!$A$5:$A$304,$A81,'CHẶNG TĂNG CA'!$B$5:$B$304,$B81))</f>
        <v/>
      </c>
      <c r="AD81" s="28" t="str">
        <f>IF($A81="","",SUMIFS('CHẶNG TĂNG CA'!$F$5:$F$304,'CHẶNG TĂNG CA'!$A$5:$A$304,$A81,'CHẶNG TĂNG CA'!$B$5:$B$304,$B81))</f>
        <v/>
      </c>
      <c r="AE81" s="28" t="str">
        <f>IF($A81="","",SUMIFS('CHẶNG TĂNG CA'!$G$5:$G$304,'CHẶNG TĂNG CA'!$A$5:$A$304,$A81,'CHẶNG TĂNG CA'!$B$5:$B$304,$B81))</f>
        <v/>
      </c>
      <c r="AF81" s="28" t="str">
        <f>IF($A81="","",SUMIFS('CHẶNG TĂNG CA'!$H$5:$H$304,'CHẶNG TĂNG CA'!$A$5:$A$304,$A81,'CHẶNG TĂNG CA'!$B$5:$B$304,$B81))</f>
        <v/>
      </c>
      <c r="AG81" s="28" t="str">
        <f t="shared" si="17"/>
        <v/>
      </c>
      <c r="AH81" s="16" t="str">
        <f>IF($A81="","",IF(COUNTIFS('LỆNH ĐIỀU XE'!$B$5:$B$604,$A81,'LỆNH ĐIỀU XE'!$C$5:$C$604,$B81,'LỆNH ĐIỀU XE'!$N$5:$N$604,"Có")&gt;0,"Có","Không"))</f>
        <v/>
      </c>
      <c r="AI81" s="16" t="str">
        <f>IF(OR($A81="",H81="",N(T81)=0),"",IF(_xlfn.MAXIFS('LỆNH ĐIỀU XE'!$U$5:$U$604,'LỆNH ĐIỀU XE'!$B$5:$B$604,$A81,'LỆNH ĐIỀU XE'!$C$5:$C$604,$B81)=0,"",ROUND((H81+(H81&lt;4/24)-_xlfn.MAXIFS('LỆNH ĐIỀU XE'!$U$5:$U$604,'LỆNH ĐIỀU XE'!$B$5:$B$604,$A81,'LỆNH ĐIỀU XE'!$C$5:$C$604,$B81))*1440,0)))</f>
        <v/>
      </c>
      <c r="AJ81" s="16" t="str">
        <f>IF($A81="","",IF(OR(AI81="",V81=""),"Thiếu dữ liệu",IF(AND(AI81&lt;='THAM SỐ'!$B$29,ABS(V81)&lt;='THAM SỐ'!$B$28),"Đạt","Không đạt")))</f>
        <v/>
      </c>
      <c r="AK81" s="16" t="str">
        <f t="shared" si="18"/>
        <v/>
      </c>
      <c r="AL81" s="16" t="str">
        <f>IF($A81="","",TRIM(IF(T81=0,"Không có lệnh; ","")&amp;IF(N(N81)&gt;0,"Dừng ngoài lệnh; ","")&amp;IF(N(J81)&gt;0,"Quá tốc độ; ","")&amp;IF(N(K81)&gt;0,"Lái quá 4h; ","")&amp;IF(N(L81)&gt;0,"Không tắt máy; ","")&amp;IF(OR(P81&lt;&gt;"Đủ",Q81&lt;&gt;"Đủ",R81&lt;&gt;"Đủ"),"Thiếu ảnh; ","")&amp;IF(S81&lt;&gt;"Đạt","Lốp chưa đạt; ","")&amp;IF(N(W81)&gt;'THAM SỐ'!$B$27,"Có mặt quá giờ; ","")&amp;IF(N(X81)&gt;'THAM SỐ'!$B$25,"Lái quá giờ ngày; ","")&amp;IF(ISNUMBER(V81),IF(ABS(V81)&gt;'THAM SỐ'!$B$28,"Lệch km; ",""),"")))</f>
        <v/>
      </c>
      <c r="AM81" s="29"/>
      <c r="AN81" s="30"/>
      <c r="AO81" s="28" t="str">
        <f t="shared" si="19"/>
        <v/>
      </c>
      <c r="AP81" s="21" t="str">
        <f>IF(OR($A81="",AO81=""),"",IF(AG81=0,0,ROUND((AC81*'THAM SỐ'!$B$18+AD81*'THAM SỐ'!$B$19+AE81*'THAM SỐ'!$B$20+AF81*'THAM SỐ'!$B$21)*MIN(1,AO81/AG81),0)))</f>
        <v/>
      </c>
      <c r="AQ81" s="18"/>
    </row>
    <row r="82" spans="1:43" x14ac:dyDescent="0.45">
      <c r="A82" s="17"/>
      <c r="B82" s="18"/>
      <c r="C82" s="18"/>
      <c r="D82" s="25"/>
      <c r="E82" s="26"/>
      <c r="F82" s="26"/>
      <c r="G82" s="20"/>
      <c r="H82" s="20"/>
      <c r="I82" s="18"/>
      <c r="J82" s="18"/>
      <c r="K82" s="18"/>
      <c r="L82" s="18"/>
      <c r="M82" s="18"/>
      <c r="N82" s="18"/>
      <c r="O82" s="18"/>
      <c r="P82" s="18"/>
      <c r="Q82" s="18"/>
      <c r="R82" s="18"/>
      <c r="S82" s="18"/>
      <c r="T82" s="16" t="str">
        <f>IF($A82="","",COUNTIFS('LỆNH ĐIỀU XE'!$B$5:$B$604,$A82,'LỆNH ĐIỀU XE'!$C$5:$C$604,$B82))</f>
        <v/>
      </c>
      <c r="U82" s="27" t="str">
        <f>IF($A82="","",SUMIFS('LỆNH ĐIỀU XE'!$J$5:$J$604,'LỆNH ĐIỀU XE'!$B$5:$B$604,$A82,'LỆNH ĐIỀU XE'!$C$5:$C$604,$B82))</f>
        <v/>
      </c>
      <c r="V82" s="22" t="str">
        <f t="shared" si="10"/>
        <v/>
      </c>
      <c r="W82" s="28" t="str">
        <f t="shared" si="11"/>
        <v/>
      </c>
      <c r="X82" s="28" t="str">
        <f t="shared" si="12"/>
        <v/>
      </c>
      <c r="Y82" s="28" t="str">
        <f t="shared" si="13"/>
        <v/>
      </c>
      <c r="Z82" s="22" t="str">
        <f t="shared" si="14"/>
        <v/>
      </c>
      <c r="AA82" s="28" t="str">
        <f t="shared" si="15"/>
        <v/>
      </c>
      <c r="AB82" s="28" t="str">
        <f t="shared" si="16"/>
        <v/>
      </c>
      <c r="AC82" s="28" t="str">
        <f>IF($A82="","",SUMIFS('CHẶNG TĂNG CA'!$E$5:$E$304,'CHẶNG TĂNG CA'!$A$5:$A$304,$A82,'CHẶNG TĂNG CA'!$B$5:$B$304,$B82))</f>
        <v/>
      </c>
      <c r="AD82" s="28" t="str">
        <f>IF($A82="","",SUMIFS('CHẶNG TĂNG CA'!$F$5:$F$304,'CHẶNG TĂNG CA'!$A$5:$A$304,$A82,'CHẶNG TĂNG CA'!$B$5:$B$304,$B82))</f>
        <v/>
      </c>
      <c r="AE82" s="28" t="str">
        <f>IF($A82="","",SUMIFS('CHẶNG TĂNG CA'!$G$5:$G$304,'CHẶNG TĂNG CA'!$A$5:$A$304,$A82,'CHẶNG TĂNG CA'!$B$5:$B$304,$B82))</f>
        <v/>
      </c>
      <c r="AF82" s="28" t="str">
        <f>IF($A82="","",SUMIFS('CHẶNG TĂNG CA'!$H$5:$H$304,'CHẶNG TĂNG CA'!$A$5:$A$304,$A82,'CHẶNG TĂNG CA'!$B$5:$B$304,$B82))</f>
        <v/>
      </c>
      <c r="AG82" s="28" t="str">
        <f t="shared" si="17"/>
        <v/>
      </c>
      <c r="AH82" s="16" t="str">
        <f>IF($A82="","",IF(COUNTIFS('LỆNH ĐIỀU XE'!$B$5:$B$604,$A82,'LỆNH ĐIỀU XE'!$C$5:$C$604,$B82,'LỆNH ĐIỀU XE'!$N$5:$N$604,"Có")&gt;0,"Có","Không"))</f>
        <v/>
      </c>
      <c r="AI82" s="16" t="str">
        <f>IF(OR($A82="",H82="",N(T82)=0),"",IF(_xlfn.MAXIFS('LỆNH ĐIỀU XE'!$U$5:$U$604,'LỆNH ĐIỀU XE'!$B$5:$B$604,$A82,'LỆNH ĐIỀU XE'!$C$5:$C$604,$B82)=0,"",ROUND((H82+(H82&lt;4/24)-_xlfn.MAXIFS('LỆNH ĐIỀU XE'!$U$5:$U$604,'LỆNH ĐIỀU XE'!$B$5:$B$604,$A82,'LỆNH ĐIỀU XE'!$C$5:$C$604,$B82))*1440,0)))</f>
        <v/>
      </c>
      <c r="AJ82" s="16" t="str">
        <f>IF($A82="","",IF(OR(AI82="",V82=""),"Thiếu dữ liệu",IF(AND(AI82&lt;='THAM SỐ'!$B$29,ABS(V82)&lt;='THAM SỐ'!$B$28),"Đạt","Không đạt")))</f>
        <v/>
      </c>
      <c r="AK82" s="16" t="str">
        <f t="shared" si="18"/>
        <v/>
      </c>
      <c r="AL82" s="16" t="str">
        <f>IF($A82="","",TRIM(IF(T82=0,"Không có lệnh; ","")&amp;IF(N(N82)&gt;0,"Dừng ngoài lệnh; ","")&amp;IF(N(J82)&gt;0,"Quá tốc độ; ","")&amp;IF(N(K82)&gt;0,"Lái quá 4h; ","")&amp;IF(N(L82)&gt;0,"Không tắt máy; ","")&amp;IF(OR(P82&lt;&gt;"Đủ",Q82&lt;&gt;"Đủ",R82&lt;&gt;"Đủ"),"Thiếu ảnh; ","")&amp;IF(S82&lt;&gt;"Đạt","Lốp chưa đạt; ","")&amp;IF(N(W82)&gt;'THAM SỐ'!$B$27,"Có mặt quá giờ; ","")&amp;IF(N(X82)&gt;'THAM SỐ'!$B$25,"Lái quá giờ ngày; ","")&amp;IF(ISNUMBER(V82),IF(ABS(V82)&gt;'THAM SỐ'!$B$28,"Lệch km; ",""),"")))</f>
        <v/>
      </c>
      <c r="AM82" s="29"/>
      <c r="AN82" s="30"/>
      <c r="AO82" s="28" t="str">
        <f t="shared" si="19"/>
        <v/>
      </c>
      <c r="AP82" s="21" t="str">
        <f>IF(OR($A82="",AO82=""),"",IF(AG82=0,0,ROUND((AC82*'THAM SỐ'!$B$18+AD82*'THAM SỐ'!$B$19+AE82*'THAM SỐ'!$B$20+AF82*'THAM SỐ'!$B$21)*MIN(1,AO82/AG82),0)))</f>
        <v/>
      </c>
      <c r="AQ82" s="18"/>
    </row>
    <row r="83" spans="1:43" x14ac:dyDescent="0.45">
      <c r="A83" s="17"/>
      <c r="B83" s="18"/>
      <c r="C83" s="18"/>
      <c r="D83" s="25"/>
      <c r="E83" s="26"/>
      <c r="F83" s="26"/>
      <c r="G83" s="20"/>
      <c r="H83" s="20"/>
      <c r="I83" s="18"/>
      <c r="J83" s="18"/>
      <c r="K83" s="18"/>
      <c r="L83" s="18"/>
      <c r="M83" s="18"/>
      <c r="N83" s="18"/>
      <c r="O83" s="18"/>
      <c r="P83" s="18"/>
      <c r="Q83" s="18"/>
      <c r="R83" s="18"/>
      <c r="S83" s="18"/>
      <c r="T83" s="16" t="str">
        <f>IF($A83="","",COUNTIFS('LỆNH ĐIỀU XE'!$B$5:$B$604,$A83,'LỆNH ĐIỀU XE'!$C$5:$C$604,$B83))</f>
        <v/>
      </c>
      <c r="U83" s="27" t="str">
        <f>IF($A83="","",SUMIFS('LỆNH ĐIỀU XE'!$J$5:$J$604,'LỆNH ĐIỀU XE'!$B$5:$B$604,$A83,'LỆNH ĐIỀU XE'!$C$5:$C$604,$B83))</f>
        <v/>
      </c>
      <c r="V83" s="22" t="str">
        <f t="shared" si="10"/>
        <v/>
      </c>
      <c r="W83" s="28" t="str">
        <f t="shared" si="11"/>
        <v/>
      </c>
      <c r="X83" s="28" t="str">
        <f t="shared" si="12"/>
        <v/>
      </c>
      <c r="Y83" s="28" t="str">
        <f t="shared" si="13"/>
        <v/>
      </c>
      <c r="Z83" s="22" t="str">
        <f t="shared" si="14"/>
        <v/>
      </c>
      <c r="AA83" s="28" t="str">
        <f t="shared" si="15"/>
        <v/>
      </c>
      <c r="AB83" s="28" t="str">
        <f t="shared" si="16"/>
        <v/>
      </c>
      <c r="AC83" s="28" t="str">
        <f>IF($A83="","",SUMIFS('CHẶNG TĂNG CA'!$E$5:$E$304,'CHẶNG TĂNG CA'!$A$5:$A$304,$A83,'CHẶNG TĂNG CA'!$B$5:$B$304,$B83))</f>
        <v/>
      </c>
      <c r="AD83" s="28" t="str">
        <f>IF($A83="","",SUMIFS('CHẶNG TĂNG CA'!$F$5:$F$304,'CHẶNG TĂNG CA'!$A$5:$A$304,$A83,'CHẶNG TĂNG CA'!$B$5:$B$304,$B83))</f>
        <v/>
      </c>
      <c r="AE83" s="28" t="str">
        <f>IF($A83="","",SUMIFS('CHẶNG TĂNG CA'!$G$5:$G$304,'CHẶNG TĂNG CA'!$A$5:$A$304,$A83,'CHẶNG TĂNG CA'!$B$5:$B$304,$B83))</f>
        <v/>
      </c>
      <c r="AF83" s="28" t="str">
        <f>IF($A83="","",SUMIFS('CHẶNG TĂNG CA'!$H$5:$H$304,'CHẶNG TĂNG CA'!$A$5:$A$304,$A83,'CHẶNG TĂNG CA'!$B$5:$B$304,$B83))</f>
        <v/>
      </c>
      <c r="AG83" s="28" t="str">
        <f t="shared" si="17"/>
        <v/>
      </c>
      <c r="AH83" s="16" t="str">
        <f>IF($A83="","",IF(COUNTIFS('LỆNH ĐIỀU XE'!$B$5:$B$604,$A83,'LỆNH ĐIỀU XE'!$C$5:$C$604,$B83,'LỆNH ĐIỀU XE'!$N$5:$N$604,"Có")&gt;0,"Có","Không"))</f>
        <v/>
      </c>
      <c r="AI83" s="16" t="str">
        <f>IF(OR($A83="",H83="",N(T83)=0),"",IF(_xlfn.MAXIFS('LỆNH ĐIỀU XE'!$U$5:$U$604,'LỆNH ĐIỀU XE'!$B$5:$B$604,$A83,'LỆNH ĐIỀU XE'!$C$5:$C$604,$B83)=0,"",ROUND((H83+(H83&lt;4/24)-_xlfn.MAXIFS('LỆNH ĐIỀU XE'!$U$5:$U$604,'LỆNH ĐIỀU XE'!$B$5:$B$604,$A83,'LỆNH ĐIỀU XE'!$C$5:$C$604,$B83))*1440,0)))</f>
        <v/>
      </c>
      <c r="AJ83" s="16" t="str">
        <f>IF($A83="","",IF(OR(AI83="",V83=""),"Thiếu dữ liệu",IF(AND(AI83&lt;='THAM SỐ'!$B$29,ABS(V83)&lt;='THAM SỐ'!$B$28),"Đạt","Không đạt")))</f>
        <v/>
      </c>
      <c r="AK83" s="16" t="str">
        <f t="shared" si="18"/>
        <v/>
      </c>
      <c r="AL83" s="16" t="str">
        <f>IF($A83="","",TRIM(IF(T83=0,"Không có lệnh; ","")&amp;IF(N(N83)&gt;0,"Dừng ngoài lệnh; ","")&amp;IF(N(J83)&gt;0,"Quá tốc độ; ","")&amp;IF(N(K83)&gt;0,"Lái quá 4h; ","")&amp;IF(N(L83)&gt;0,"Không tắt máy; ","")&amp;IF(OR(P83&lt;&gt;"Đủ",Q83&lt;&gt;"Đủ",R83&lt;&gt;"Đủ"),"Thiếu ảnh; ","")&amp;IF(S83&lt;&gt;"Đạt","Lốp chưa đạt; ","")&amp;IF(N(W83)&gt;'THAM SỐ'!$B$27,"Có mặt quá giờ; ","")&amp;IF(N(X83)&gt;'THAM SỐ'!$B$25,"Lái quá giờ ngày; ","")&amp;IF(ISNUMBER(V83),IF(ABS(V83)&gt;'THAM SỐ'!$B$28,"Lệch km; ",""),"")))</f>
        <v/>
      </c>
      <c r="AM83" s="29"/>
      <c r="AN83" s="30"/>
      <c r="AO83" s="28" t="str">
        <f t="shared" si="19"/>
        <v/>
      </c>
      <c r="AP83" s="21" t="str">
        <f>IF(OR($A83="",AO83=""),"",IF(AG83=0,0,ROUND((AC83*'THAM SỐ'!$B$18+AD83*'THAM SỐ'!$B$19+AE83*'THAM SỐ'!$B$20+AF83*'THAM SỐ'!$B$21)*MIN(1,AO83/AG83),0)))</f>
        <v/>
      </c>
      <c r="AQ83" s="18"/>
    </row>
    <row r="84" spans="1:43" x14ac:dyDescent="0.45">
      <c r="A84" s="17"/>
      <c r="B84" s="18"/>
      <c r="C84" s="18"/>
      <c r="D84" s="25"/>
      <c r="E84" s="26"/>
      <c r="F84" s="26"/>
      <c r="G84" s="20"/>
      <c r="H84" s="20"/>
      <c r="I84" s="18"/>
      <c r="J84" s="18"/>
      <c r="K84" s="18"/>
      <c r="L84" s="18"/>
      <c r="M84" s="18"/>
      <c r="N84" s="18"/>
      <c r="O84" s="18"/>
      <c r="P84" s="18"/>
      <c r="Q84" s="18"/>
      <c r="R84" s="18"/>
      <c r="S84" s="18"/>
      <c r="T84" s="16" t="str">
        <f>IF($A84="","",COUNTIFS('LỆNH ĐIỀU XE'!$B$5:$B$604,$A84,'LỆNH ĐIỀU XE'!$C$5:$C$604,$B84))</f>
        <v/>
      </c>
      <c r="U84" s="27" t="str">
        <f>IF($A84="","",SUMIFS('LỆNH ĐIỀU XE'!$J$5:$J$604,'LỆNH ĐIỀU XE'!$B$5:$B$604,$A84,'LỆNH ĐIỀU XE'!$C$5:$C$604,$B84))</f>
        <v/>
      </c>
      <c r="V84" s="22" t="str">
        <f t="shared" si="10"/>
        <v/>
      </c>
      <c r="W84" s="28" t="str">
        <f t="shared" si="11"/>
        <v/>
      </c>
      <c r="X84" s="28" t="str">
        <f t="shared" si="12"/>
        <v/>
      </c>
      <c r="Y84" s="28" t="str">
        <f t="shared" si="13"/>
        <v/>
      </c>
      <c r="Z84" s="22" t="str">
        <f t="shared" si="14"/>
        <v/>
      </c>
      <c r="AA84" s="28" t="str">
        <f t="shared" si="15"/>
        <v/>
      </c>
      <c r="AB84" s="28" t="str">
        <f t="shared" si="16"/>
        <v/>
      </c>
      <c r="AC84" s="28" t="str">
        <f>IF($A84="","",SUMIFS('CHẶNG TĂNG CA'!$E$5:$E$304,'CHẶNG TĂNG CA'!$A$5:$A$304,$A84,'CHẶNG TĂNG CA'!$B$5:$B$304,$B84))</f>
        <v/>
      </c>
      <c r="AD84" s="28" t="str">
        <f>IF($A84="","",SUMIFS('CHẶNG TĂNG CA'!$F$5:$F$304,'CHẶNG TĂNG CA'!$A$5:$A$304,$A84,'CHẶNG TĂNG CA'!$B$5:$B$304,$B84))</f>
        <v/>
      </c>
      <c r="AE84" s="28" t="str">
        <f>IF($A84="","",SUMIFS('CHẶNG TĂNG CA'!$G$5:$G$304,'CHẶNG TĂNG CA'!$A$5:$A$304,$A84,'CHẶNG TĂNG CA'!$B$5:$B$304,$B84))</f>
        <v/>
      </c>
      <c r="AF84" s="28" t="str">
        <f>IF($A84="","",SUMIFS('CHẶNG TĂNG CA'!$H$5:$H$304,'CHẶNG TĂNG CA'!$A$5:$A$304,$A84,'CHẶNG TĂNG CA'!$B$5:$B$304,$B84))</f>
        <v/>
      </c>
      <c r="AG84" s="28" t="str">
        <f t="shared" si="17"/>
        <v/>
      </c>
      <c r="AH84" s="16" t="str">
        <f>IF($A84="","",IF(COUNTIFS('LỆNH ĐIỀU XE'!$B$5:$B$604,$A84,'LỆNH ĐIỀU XE'!$C$5:$C$604,$B84,'LỆNH ĐIỀU XE'!$N$5:$N$604,"Có")&gt;0,"Có","Không"))</f>
        <v/>
      </c>
      <c r="AI84" s="16" t="str">
        <f>IF(OR($A84="",H84="",N(T84)=0),"",IF(_xlfn.MAXIFS('LỆNH ĐIỀU XE'!$U$5:$U$604,'LỆNH ĐIỀU XE'!$B$5:$B$604,$A84,'LỆNH ĐIỀU XE'!$C$5:$C$604,$B84)=0,"",ROUND((H84+(H84&lt;4/24)-_xlfn.MAXIFS('LỆNH ĐIỀU XE'!$U$5:$U$604,'LỆNH ĐIỀU XE'!$B$5:$B$604,$A84,'LỆNH ĐIỀU XE'!$C$5:$C$604,$B84))*1440,0)))</f>
        <v/>
      </c>
      <c r="AJ84" s="16" t="str">
        <f>IF($A84="","",IF(OR(AI84="",V84=""),"Thiếu dữ liệu",IF(AND(AI84&lt;='THAM SỐ'!$B$29,ABS(V84)&lt;='THAM SỐ'!$B$28),"Đạt","Không đạt")))</f>
        <v/>
      </c>
      <c r="AK84" s="16" t="str">
        <f t="shared" si="18"/>
        <v/>
      </c>
      <c r="AL84" s="16" t="str">
        <f>IF($A84="","",TRIM(IF(T84=0,"Không có lệnh; ","")&amp;IF(N(N84)&gt;0,"Dừng ngoài lệnh; ","")&amp;IF(N(J84)&gt;0,"Quá tốc độ; ","")&amp;IF(N(K84)&gt;0,"Lái quá 4h; ","")&amp;IF(N(L84)&gt;0,"Không tắt máy; ","")&amp;IF(OR(P84&lt;&gt;"Đủ",Q84&lt;&gt;"Đủ",R84&lt;&gt;"Đủ"),"Thiếu ảnh; ","")&amp;IF(S84&lt;&gt;"Đạt","Lốp chưa đạt; ","")&amp;IF(N(W84)&gt;'THAM SỐ'!$B$27,"Có mặt quá giờ; ","")&amp;IF(N(X84)&gt;'THAM SỐ'!$B$25,"Lái quá giờ ngày; ","")&amp;IF(ISNUMBER(V84),IF(ABS(V84)&gt;'THAM SỐ'!$B$28,"Lệch km; ",""),"")))</f>
        <v/>
      </c>
      <c r="AM84" s="29"/>
      <c r="AN84" s="30"/>
      <c r="AO84" s="28" t="str">
        <f t="shared" si="19"/>
        <v/>
      </c>
      <c r="AP84" s="21" t="str">
        <f>IF(OR($A84="",AO84=""),"",IF(AG84=0,0,ROUND((AC84*'THAM SỐ'!$B$18+AD84*'THAM SỐ'!$B$19+AE84*'THAM SỐ'!$B$20+AF84*'THAM SỐ'!$B$21)*MIN(1,AO84/AG84),0)))</f>
        <v/>
      </c>
      <c r="AQ84" s="18"/>
    </row>
    <row r="85" spans="1:43" x14ac:dyDescent="0.45">
      <c r="A85" s="17"/>
      <c r="B85" s="18"/>
      <c r="C85" s="18"/>
      <c r="D85" s="25"/>
      <c r="E85" s="26"/>
      <c r="F85" s="26"/>
      <c r="G85" s="20"/>
      <c r="H85" s="20"/>
      <c r="I85" s="18"/>
      <c r="J85" s="18"/>
      <c r="K85" s="18"/>
      <c r="L85" s="18"/>
      <c r="M85" s="18"/>
      <c r="N85" s="18"/>
      <c r="O85" s="18"/>
      <c r="P85" s="18"/>
      <c r="Q85" s="18"/>
      <c r="R85" s="18"/>
      <c r="S85" s="18"/>
      <c r="T85" s="16" t="str">
        <f>IF($A85="","",COUNTIFS('LỆNH ĐIỀU XE'!$B$5:$B$604,$A85,'LỆNH ĐIỀU XE'!$C$5:$C$604,$B85))</f>
        <v/>
      </c>
      <c r="U85" s="27" t="str">
        <f>IF($A85="","",SUMIFS('LỆNH ĐIỀU XE'!$J$5:$J$604,'LỆNH ĐIỀU XE'!$B$5:$B$604,$A85,'LỆNH ĐIỀU XE'!$C$5:$C$604,$B85))</f>
        <v/>
      </c>
      <c r="V85" s="22" t="str">
        <f t="shared" si="10"/>
        <v/>
      </c>
      <c r="W85" s="28" t="str">
        <f t="shared" si="11"/>
        <v/>
      </c>
      <c r="X85" s="28" t="str">
        <f t="shared" si="12"/>
        <v/>
      </c>
      <c r="Y85" s="28" t="str">
        <f t="shared" si="13"/>
        <v/>
      </c>
      <c r="Z85" s="22" t="str">
        <f t="shared" si="14"/>
        <v/>
      </c>
      <c r="AA85" s="28" t="str">
        <f t="shared" si="15"/>
        <v/>
      </c>
      <c r="AB85" s="28" t="str">
        <f t="shared" si="16"/>
        <v/>
      </c>
      <c r="AC85" s="28" t="str">
        <f>IF($A85="","",SUMIFS('CHẶNG TĂNG CA'!$E$5:$E$304,'CHẶNG TĂNG CA'!$A$5:$A$304,$A85,'CHẶNG TĂNG CA'!$B$5:$B$304,$B85))</f>
        <v/>
      </c>
      <c r="AD85" s="28" t="str">
        <f>IF($A85="","",SUMIFS('CHẶNG TĂNG CA'!$F$5:$F$304,'CHẶNG TĂNG CA'!$A$5:$A$304,$A85,'CHẶNG TĂNG CA'!$B$5:$B$304,$B85))</f>
        <v/>
      </c>
      <c r="AE85" s="28" t="str">
        <f>IF($A85="","",SUMIFS('CHẶNG TĂNG CA'!$G$5:$G$304,'CHẶNG TĂNG CA'!$A$5:$A$304,$A85,'CHẶNG TĂNG CA'!$B$5:$B$304,$B85))</f>
        <v/>
      </c>
      <c r="AF85" s="28" t="str">
        <f>IF($A85="","",SUMIFS('CHẶNG TĂNG CA'!$H$5:$H$304,'CHẶNG TĂNG CA'!$A$5:$A$304,$A85,'CHẶNG TĂNG CA'!$B$5:$B$304,$B85))</f>
        <v/>
      </c>
      <c r="AG85" s="28" t="str">
        <f t="shared" si="17"/>
        <v/>
      </c>
      <c r="AH85" s="16" t="str">
        <f>IF($A85="","",IF(COUNTIFS('LỆNH ĐIỀU XE'!$B$5:$B$604,$A85,'LỆNH ĐIỀU XE'!$C$5:$C$604,$B85,'LỆNH ĐIỀU XE'!$N$5:$N$604,"Có")&gt;0,"Có","Không"))</f>
        <v/>
      </c>
      <c r="AI85" s="16" t="str">
        <f>IF(OR($A85="",H85="",N(T85)=0),"",IF(_xlfn.MAXIFS('LỆNH ĐIỀU XE'!$U$5:$U$604,'LỆNH ĐIỀU XE'!$B$5:$B$604,$A85,'LỆNH ĐIỀU XE'!$C$5:$C$604,$B85)=0,"",ROUND((H85+(H85&lt;4/24)-_xlfn.MAXIFS('LỆNH ĐIỀU XE'!$U$5:$U$604,'LỆNH ĐIỀU XE'!$B$5:$B$604,$A85,'LỆNH ĐIỀU XE'!$C$5:$C$604,$B85))*1440,0)))</f>
        <v/>
      </c>
      <c r="AJ85" s="16" t="str">
        <f>IF($A85="","",IF(OR(AI85="",V85=""),"Thiếu dữ liệu",IF(AND(AI85&lt;='THAM SỐ'!$B$29,ABS(V85)&lt;='THAM SỐ'!$B$28),"Đạt","Không đạt")))</f>
        <v/>
      </c>
      <c r="AK85" s="16" t="str">
        <f t="shared" si="18"/>
        <v/>
      </c>
      <c r="AL85" s="16" t="str">
        <f>IF($A85="","",TRIM(IF(T85=0,"Không có lệnh; ","")&amp;IF(N(N85)&gt;0,"Dừng ngoài lệnh; ","")&amp;IF(N(J85)&gt;0,"Quá tốc độ; ","")&amp;IF(N(K85)&gt;0,"Lái quá 4h; ","")&amp;IF(N(L85)&gt;0,"Không tắt máy; ","")&amp;IF(OR(P85&lt;&gt;"Đủ",Q85&lt;&gt;"Đủ",R85&lt;&gt;"Đủ"),"Thiếu ảnh; ","")&amp;IF(S85&lt;&gt;"Đạt","Lốp chưa đạt; ","")&amp;IF(N(W85)&gt;'THAM SỐ'!$B$27,"Có mặt quá giờ; ","")&amp;IF(N(X85)&gt;'THAM SỐ'!$B$25,"Lái quá giờ ngày; ","")&amp;IF(ISNUMBER(V85),IF(ABS(V85)&gt;'THAM SỐ'!$B$28,"Lệch km; ",""),"")))</f>
        <v/>
      </c>
      <c r="AM85" s="29"/>
      <c r="AN85" s="30"/>
      <c r="AO85" s="28" t="str">
        <f t="shared" si="19"/>
        <v/>
      </c>
      <c r="AP85" s="21" t="str">
        <f>IF(OR($A85="",AO85=""),"",IF(AG85=0,0,ROUND((AC85*'THAM SỐ'!$B$18+AD85*'THAM SỐ'!$B$19+AE85*'THAM SỐ'!$B$20+AF85*'THAM SỐ'!$B$21)*MIN(1,AO85/AG85),0)))</f>
        <v/>
      </c>
      <c r="AQ85" s="18"/>
    </row>
    <row r="86" spans="1:43" x14ac:dyDescent="0.45">
      <c r="A86" s="17"/>
      <c r="B86" s="18"/>
      <c r="C86" s="18"/>
      <c r="D86" s="25"/>
      <c r="E86" s="26"/>
      <c r="F86" s="26"/>
      <c r="G86" s="20"/>
      <c r="H86" s="20"/>
      <c r="I86" s="18"/>
      <c r="J86" s="18"/>
      <c r="K86" s="18"/>
      <c r="L86" s="18"/>
      <c r="M86" s="18"/>
      <c r="N86" s="18"/>
      <c r="O86" s="18"/>
      <c r="P86" s="18"/>
      <c r="Q86" s="18"/>
      <c r="R86" s="18"/>
      <c r="S86" s="18"/>
      <c r="T86" s="16" t="str">
        <f>IF($A86="","",COUNTIFS('LỆNH ĐIỀU XE'!$B$5:$B$604,$A86,'LỆNH ĐIỀU XE'!$C$5:$C$604,$B86))</f>
        <v/>
      </c>
      <c r="U86" s="27" t="str">
        <f>IF($A86="","",SUMIFS('LỆNH ĐIỀU XE'!$J$5:$J$604,'LỆNH ĐIỀU XE'!$B$5:$B$604,$A86,'LỆNH ĐIỀU XE'!$C$5:$C$604,$B86))</f>
        <v/>
      </c>
      <c r="V86" s="22" t="str">
        <f t="shared" si="10"/>
        <v/>
      </c>
      <c r="W86" s="28" t="str">
        <f t="shared" si="11"/>
        <v/>
      </c>
      <c r="X86" s="28" t="str">
        <f t="shared" si="12"/>
        <v/>
      </c>
      <c r="Y86" s="28" t="str">
        <f t="shared" si="13"/>
        <v/>
      </c>
      <c r="Z86" s="22" t="str">
        <f t="shared" si="14"/>
        <v/>
      </c>
      <c r="AA86" s="28" t="str">
        <f t="shared" si="15"/>
        <v/>
      </c>
      <c r="AB86" s="28" t="str">
        <f t="shared" si="16"/>
        <v/>
      </c>
      <c r="AC86" s="28" t="str">
        <f>IF($A86="","",SUMIFS('CHẶNG TĂNG CA'!$E$5:$E$304,'CHẶNG TĂNG CA'!$A$5:$A$304,$A86,'CHẶNG TĂNG CA'!$B$5:$B$304,$B86))</f>
        <v/>
      </c>
      <c r="AD86" s="28" t="str">
        <f>IF($A86="","",SUMIFS('CHẶNG TĂNG CA'!$F$5:$F$304,'CHẶNG TĂNG CA'!$A$5:$A$304,$A86,'CHẶNG TĂNG CA'!$B$5:$B$304,$B86))</f>
        <v/>
      </c>
      <c r="AE86" s="28" t="str">
        <f>IF($A86="","",SUMIFS('CHẶNG TĂNG CA'!$G$5:$G$304,'CHẶNG TĂNG CA'!$A$5:$A$304,$A86,'CHẶNG TĂNG CA'!$B$5:$B$304,$B86))</f>
        <v/>
      </c>
      <c r="AF86" s="28" t="str">
        <f>IF($A86="","",SUMIFS('CHẶNG TĂNG CA'!$H$5:$H$304,'CHẶNG TĂNG CA'!$A$5:$A$304,$A86,'CHẶNG TĂNG CA'!$B$5:$B$304,$B86))</f>
        <v/>
      </c>
      <c r="AG86" s="28" t="str">
        <f t="shared" si="17"/>
        <v/>
      </c>
      <c r="AH86" s="16" t="str">
        <f>IF($A86="","",IF(COUNTIFS('LỆNH ĐIỀU XE'!$B$5:$B$604,$A86,'LỆNH ĐIỀU XE'!$C$5:$C$604,$B86,'LỆNH ĐIỀU XE'!$N$5:$N$604,"Có")&gt;0,"Có","Không"))</f>
        <v/>
      </c>
      <c r="AI86" s="16" t="str">
        <f>IF(OR($A86="",H86="",N(T86)=0),"",IF(_xlfn.MAXIFS('LỆNH ĐIỀU XE'!$U$5:$U$604,'LỆNH ĐIỀU XE'!$B$5:$B$604,$A86,'LỆNH ĐIỀU XE'!$C$5:$C$604,$B86)=0,"",ROUND((H86+(H86&lt;4/24)-_xlfn.MAXIFS('LỆNH ĐIỀU XE'!$U$5:$U$604,'LỆNH ĐIỀU XE'!$B$5:$B$604,$A86,'LỆNH ĐIỀU XE'!$C$5:$C$604,$B86))*1440,0)))</f>
        <v/>
      </c>
      <c r="AJ86" s="16" t="str">
        <f>IF($A86="","",IF(OR(AI86="",V86=""),"Thiếu dữ liệu",IF(AND(AI86&lt;='THAM SỐ'!$B$29,ABS(V86)&lt;='THAM SỐ'!$B$28),"Đạt","Không đạt")))</f>
        <v/>
      </c>
      <c r="AK86" s="16" t="str">
        <f t="shared" si="18"/>
        <v/>
      </c>
      <c r="AL86" s="16" t="str">
        <f>IF($A86="","",TRIM(IF(T86=0,"Không có lệnh; ","")&amp;IF(N(N86)&gt;0,"Dừng ngoài lệnh; ","")&amp;IF(N(J86)&gt;0,"Quá tốc độ; ","")&amp;IF(N(K86)&gt;0,"Lái quá 4h; ","")&amp;IF(N(L86)&gt;0,"Không tắt máy; ","")&amp;IF(OR(P86&lt;&gt;"Đủ",Q86&lt;&gt;"Đủ",R86&lt;&gt;"Đủ"),"Thiếu ảnh; ","")&amp;IF(S86&lt;&gt;"Đạt","Lốp chưa đạt; ","")&amp;IF(N(W86)&gt;'THAM SỐ'!$B$27,"Có mặt quá giờ; ","")&amp;IF(N(X86)&gt;'THAM SỐ'!$B$25,"Lái quá giờ ngày; ","")&amp;IF(ISNUMBER(V86),IF(ABS(V86)&gt;'THAM SỐ'!$B$28,"Lệch km; ",""),"")))</f>
        <v/>
      </c>
      <c r="AM86" s="29"/>
      <c r="AN86" s="30"/>
      <c r="AO86" s="28" t="str">
        <f t="shared" si="19"/>
        <v/>
      </c>
      <c r="AP86" s="21" t="str">
        <f>IF(OR($A86="",AO86=""),"",IF(AG86=0,0,ROUND((AC86*'THAM SỐ'!$B$18+AD86*'THAM SỐ'!$B$19+AE86*'THAM SỐ'!$B$20+AF86*'THAM SỐ'!$B$21)*MIN(1,AO86/AG86),0)))</f>
        <v/>
      </c>
      <c r="AQ86" s="18"/>
    </row>
    <row r="87" spans="1:43" x14ac:dyDescent="0.45">
      <c r="A87" s="17"/>
      <c r="B87" s="18"/>
      <c r="C87" s="18"/>
      <c r="D87" s="25"/>
      <c r="E87" s="26"/>
      <c r="F87" s="26"/>
      <c r="G87" s="20"/>
      <c r="H87" s="20"/>
      <c r="I87" s="18"/>
      <c r="J87" s="18"/>
      <c r="K87" s="18"/>
      <c r="L87" s="18"/>
      <c r="M87" s="18"/>
      <c r="N87" s="18"/>
      <c r="O87" s="18"/>
      <c r="P87" s="18"/>
      <c r="Q87" s="18"/>
      <c r="R87" s="18"/>
      <c r="S87" s="18"/>
      <c r="T87" s="16" t="str">
        <f>IF($A87="","",COUNTIFS('LỆNH ĐIỀU XE'!$B$5:$B$604,$A87,'LỆNH ĐIỀU XE'!$C$5:$C$604,$B87))</f>
        <v/>
      </c>
      <c r="U87" s="27" t="str">
        <f>IF($A87="","",SUMIFS('LỆNH ĐIỀU XE'!$J$5:$J$604,'LỆNH ĐIỀU XE'!$B$5:$B$604,$A87,'LỆNH ĐIỀU XE'!$C$5:$C$604,$B87))</f>
        <v/>
      </c>
      <c r="V87" s="22" t="str">
        <f t="shared" si="10"/>
        <v/>
      </c>
      <c r="W87" s="28" t="str">
        <f t="shared" si="11"/>
        <v/>
      </c>
      <c r="X87" s="28" t="str">
        <f t="shared" si="12"/>
        <v/>
      </c>
      <c r="Y87" s="28" t="str">
        <f t="shared" si="13"/>
        <v/>
      </c>
      <c r="Z87" s="22" t="str">
        <f t="shared" si="14"/>
        <v/>
      </c>
      <c r="AA87" s="28" t="str">
        <f t="shared" si="15"/>
        <v/>
      </c>
      <c r="AB87" s="28" t="str">
        <f t="shared" si="16"/>
        <v/>
      </c>
      <c r="AC87" s="28" t="str">
        <f>IF($A87="","",SUMIFS('CHẶNG TĂNG CA'!$E$5:$E$304,'CHẶNG TĂNG CA'!$A$5:$A$304,$A87,'CHẶNG TĂNG CA'!$B$5:$B$304,$B87))</f>
        <v/>
      </c>
      <c r="AD87" s="28" t="str">
        <f>IF($A87="","",SUMIFS('CHẶNG TĂNG CA'!$F$5:$F$304,'CHẶNG TĂNG CA'!$A$5:$A$304,$A87,'CHẶNG TĂNG CA'!$B$5:$B$304,$B87))</f>
        <v/>
      </c>
      <c r="AE87" s="28" t="str">
        <f>IF($A87="","",SUMIFS('CHẶNG TĂNG CA'!$G$5:$G$304,'CHẶNG TĂNG CA'!$A$5:$A$304,$A87,'CHẶNG TĂNG CA'!$B$5:$B$304,$B87))</f>
        <v/>
      </c>
      <c r="AF87" s="28" t="str">
        <f>IF($A87="","",SUMIFS('CHẶNG TĂNG CA'!$H$5:$H$304,'CHẶNG TĂNG CA'!$A$5:$A$304,$A87,'CHẶNG TĂNG CA'!$B$5:$B$304,$B87))</f>
        <v/>
      </c>
      <c r="AG87" s="28" t="str">
        <f t="shared" si="17"/>
        <v/>
      </c>
      <c r="AH87" s="16" t="str">
        <f>IF($A87="","",IF(COUNTIFS('LỆNH ĐIỀU XE'!$B$5:$B$604,$A87,'LỆNH ĐIỀU XE'!$C$5:$C$604,$B87,'LỆNH ĐIỀU XE'!$N$5:$N$604,"Có")&gt;0,"Có","Không"))</f>
        <v/>
      </c>
      <c r="AI87" s="16" t="str">
        <f>IF(OR($A87="",H87="",N(T87)=0),"",IF(_xlfn.MAXIFS('LỆNH ĐIỀU XE'!$U$5:$U$604,'LỆNH ĐIỀU XE'!$B$5:$B$604,$A87,'LỆNH ĐIỀU XE'!$C$5:$C$604,$B87)=0,"",ROUND((H87+(H87&lt;4/24)-_xlfn.MAXIFS('LỆNH ĐIỀU XE'!$U$5:$U$604,'LỆNH ĐIỀU XE'!$B$5:$B$604,$A87,'LỆNH ĐIỀU XE'!$C$5:$C$604,$B87))*1440,0)))</f>
        <v/>
      </c>
      <c r="AJ87" s="16" t="str">
        <f>IF($A87="","",IF(OR(AI87="",V87=""),"Thiếu dữ liệu",IF(AND(AI87&lt;='THAM SỐ'!$B$29,ABS(V87)&lt;='THAM SỐ'!$B$28),"Đạt","Không đạt")))</f>
        <v/>
      </c>
      <c r="AK87" s="16" t="str">
        <f t="shared" si="18"/>
        <v/>
      </c>
      <c r="AL87" s="16" t="str">
        <f>IF($A87="","",TRIM(IF(T87=0,"Không có lệnh; ","")&amp;IF(N(N87)&gt;0,"Dừng ngoài lệnh; ","")&amp;IF(N(J87)&gt;0,"Quá tốc độ; ","")&amp;IF(N(K87)&gt;0,"Lái quá 4h; ","")&amp;IF(N(L87)&gt;0,"Không tắt máy; ","")&amp;IF(OR(P87&lt;&gt;"Đủ",Q87&lt;&gt;"Đủ",R87&lt;&gt;"Đủ"),"Thiếu ảnh; ","")&amp;IF(S87&lt;&gt;"Đạt","Lốp chưa đạt; ","")&amp;IF(N(W87)&gt;'THAM SỐ'!$B$27,"Có mặt quá giờ; ","")&amp;IF(N(X87)&gt;'THAM SỐ'!$B$25,"Lái quá giờ ngày; ","")&amp;IF(ISNUMBER(V87),IF(ABS(V87)&gt;'THAM SỐ'!$B$28,"Lệch km; ",""),"")))</f>
        <v/>
      </c>
      <c r="AM87" s="29"/>
      <c r="AN87" s="30"/>
      <c r="AO87" s="28" t="str">
        <f t="shared" si="19"/>
        <v/>
      </c>
      <c r="AP87" s="21" t="str">
        <f>IF(OR($A87="",AO87=""),"",IF(AG87=0,0,ROUND((AC87*'THAM SỐ'!$B$18+AD87*'THAM SỐ'!$B$19+AE87*'THAM SỐ'!$B$20+AF87*'THAM SỐ'!$B$21)*MIN(1,AO87/AG87),0)))</f>
        <v/>
      </c>
      <c r="AQ87" s="18"/>
    </row>
    <row r="88" spans="1:43" x14ac:dyDescent="0.45">
      <c r="A88" s="17"/>
      <c r="B88" s="18"/>
      <c r="C88" s="18"/>
      <c r="D88" s="25"/>
      <c r="E88" s="26"/>
      <c r="F88" s="26"/>
      <c r="G88" s="20"/>
      <c r="H88" s="20"/>
      <c r="I88" s="18"/>
      <c r="J88" s="18"/>
      <c r="K88" s="18"/>
      <c r="L88" s="18"/>
      <c r="M88" s="18"/>
      <c r="N88" s="18"/>
      <c r="O88" s="18"/>
      <c r="P88" s="18"/>
      <c r="Q88" s="18"/>
      <c r="R88" s="18"/>
      <c r="S88" s="18"/>
      <c r="T88" s="16" t="str">
        <f>IF($A88="","",COUNTIFS('LỆNH ĐIỀU XE'!$B$5:$B$604,$A88,'LỆNH ĐIỀU XE'!$C$5:$C$604,$B88))</f>
        <v/>
      </c>
      <c r="U88" s="27" t="str">
        <f>IF($A88="","",SUMIFS('LỆNH ĐIỀU XE'!$J$5:$J$604,'LỆNH ĐIỀU XE'!$B$5:$B$604,$A88,'LỆNH ĐIỀU XE'!$C$5:$C$604,$B88))</f>
        <v/>
      </c>
      <c r="V88" s="22" t="str">
        <f t="shared" si="10"/>
        <v/>
      </c>
      <c r="W88" s="28" t="str">
        <f t="shared" si="11"/>
        <v/>
      </c>
      <c r="X88" s="28" t="str">
        <f t="shared" si="12"/>
        <v/>
      </c>
      <c r="Y88" s="28" t="str">
        <f t="shared" si="13"/>
        <v/>
      </c>
      <c r="Z88" s="22" t="str">
        <f t="shared" si="14"/>
        <v/>
      </c>
      <c r="AA88" s="28" t="str">
        <f t="shared" si="15"/>
        <v/>
      </c>
      <c r="AB88" s="28" t="str">
        <f t="shared" si="16"/>
        <v/>
      </c>
      <c r="AC88" s="28" t="str">
        <f>IF($A88="","",SUMIFS('CHẶNG TĂNG CA'!$E$5:$E$304,'CHẶNG TĂNG CA'!$A$5:$A$304,$A88,'CHẶNG TĂNG CA'!$B$5:$B$304,$B88))</f>
        <v/>
      </c>
      <c r="AD88" s="28" t="str">
        <f>IF($A88="","",SUMIFS('CHẶNG TĂNG CA'!$F$5:$F$304,'CHẶNG TĂNG CA'!$A$5:$A$304,$A88,'CHẶNG TĂNG CA'!$B$5:$B$304,$B88))</f>
        <v/>
      </c>
      <c r="AE88" s="28" t="str">
        <f>IF($A88="","",SUMIFS('CHẶNG TĂNG CA'!$G$5:$G$304,'CHẶNG TĂNG CA'!$A$5:$A$304,$A88,'CHẶNG TĂNG CA'!$B$5:$B$304,$B88))</f>
        <v/>
      </c>
      <c r="AF88" s="28" t="str">
        <f>IF($A88="","",SUMIFS('CHẶNG TĂNG CA'!$H$5:$H$304,'CHẶNG TĂNG CA'!$A$5:$A$304,$A88,'CHẶNG TĂNG CA'!$B$5:$B$304,$B88))</f>
        <v/>
      </c>
      <c r="AG88" s="28" t="str">
        <f t="shared" si="17"/>
        <v/>
      </c>
      <c r="AH88" s="16" t="str">
        <f>IF($A88="","",IF(COUNTIFS('LỆNH ĐIỀU XE'!$B$5:$B$604,$A88,'LỆNH ĐIỀU XE'!$C$5:$C$604,$B88,'LỆNH ĐIỀU XE'!$N$5:$N$604,"Có")&gt;0,"Có","Không"))</f>
        <v/>
      </c>
      <c r="AI88" s="16" t="str">
        <f>IF(OR($A88="",H88="",N(T88)=0),"",IF(_xlfn.MAXIFS('LỆNH ĐIỀU XE'!$U$5:$U$604,'LỆNH ĐIỀU XE'!$B$5:$B$604,$A88,'LỆNH ĐIỀU XE'!$C$5:$C$604,$B88)=0,"",ROUND((H88+(H88&lt;4/24)-_xlfn.MAXIFS('LỆNH ĐIỀU XE'!$U$5:$U$604,'LỆNH ĐIỀU XE'!$B$5:$B$604,$A88,'LỆNH ĐIỀU XE'!$C$5:$C$604,$B88))*1440,0)))</f>
        <v/>
      </c>
      <c r="AJ88" s="16" t="str">
        <f>IF($A88="","",IF(OR(AI88="",V88=""),"Thiếu dữ liệu",IF(AND(AI88&lt;='THAM SỐ'!$B$29,ABS(V88)&lt;='THAM SỐ'!$B$28),"Đạt","Không đạt")))</f>
        <v/>
      </c>
      <c r="AK88" s="16" t="str">
        <f t="shared" si="18"/>
        <v/>
      </c>
      <c r="AL88" s="16" t="str">
        <f>IF($A88="","",TRIM(IF(T88=0,"Không có lệnh; ","")&amp;IF(N(N88)&gt;0,"Dừng ngoài lệnh; ","")&amp;IF(N(J88)&gt;0,"Quá tốc độ; ","")&amp;IF(N(K88)&gt;0,"Lái quá 4h; ","")&amp;IF(N(L88)&gt;0,"Không tắt máy; ","")&amp;IF(OR(P88&lt;&gt;"Đủ",Q88&lt;&gt;"Đủ",R88&lt;&gt;"Đủ"),"Thiếu ảnh; ","")&amp;IF(S88&lt;&gt;"Đạt","Lốp chưa đạt; ","")&amp;IF(N(W88)&gt;'THAM SỐ'!$B$27,"Có mặt quá giờ; ","")&amp;IF(N(X88)&gt;'THAM SỐ'!$B$25,"Lái quá giờ ngày; ","")&amp;IF(ISNUMBER(V88),IF(ABS(V88)&gt;'THAM SỐ'!$B$28,"Lệch km; ",""),"")))</f>
        <v/>
      </c>
      <c r="AM88" s="29"/>
      <c r="AN88" s="30"/>
      <c r="AO88" s="28" t="str">
        <f t="shared" si="19"/>
        <v/>
      </c>
      <c r="AP88" s="21" t="str">
        <f>IF(OR($A88="",AO88=""),"",IF(AG88=0,0,ROUND((AC88*'THAM SỐ'!$B$18+AD88*'THAM SỐ'!$B$19+AE88*'THAM SỐ'!$B$20+AF88*'THAM SỐ'!$B$21)*MIN(1,AO88/AG88),0)))</f>
        <v/>
      </c>
      <c r="AQ88" s="18"/>
    </row>
    <row r="89" spans="1:43" x14ac:dyDescent="0.45">
      <c r="A89" s="17"/>
      <c r="B89" s="18"/>
      <c r="C89" s="18"/>
      <c r="D89" s="25"/>
      <c r="E89" s="26"/>
      <c r="F89" s="26"/>
      <c r="G89" s="20"/>
      <c r="H89" s="20"/>
      <c r="I89" s="18"/>
      <c r="J89" s="18"/>
      <c r="K89" s="18"/>
      <c r="L89" s="18"/>
      <c r="M89" s="18"/>
      <c r="N89" s="18"/>
      <c r="O89" s="18"/>
      <c r="P89" s="18"/>
      <c r="Q89" s="18"/>
      <c r="R89" s="18"/>
      <c r="S89" s="18"/>
      <c r="T89" s="16" t="str">
        <f>IF($A89="","",COUNTIFS('LỆNH ĐIỀU XE'!$B$5:$B$604,$A89,'LỆNH ĐIỀU XE'!$C$5:$C$604,$B89))</f>
        <v/>
      </c>
      <c r="U89" s="27" t="str">
        <f>IF($A89="","",SUMIFS('LỆNH ĐIỀU XE'!$J$5:$J$604,'LỆNH ĐIỀU XE'!$B$5:$B$604,$A89,'LỆNH ĐIỀU XE'!$C$5:$C$604,$B89))</f>
        <v/>
      </c>
      <c r="V89" s="22" t="str">
        <f t="shared" si="10"/>
        <v/>
      </c>
      <c r="W89" s="28" t="str">
        <f t="shared" si="11"/>
        <v/>
      </c>
      <c r="X89" s="28" t="str">
        <f t="shared" si="12"/>
        <v/>
      </c>
      <c r="Y89" s="28" t="str">
        <f t="shared" si="13"/>
        <v/>
      </c>
      <c r="Z89" s="22" t="str">
        <f t="shared" si="14"/>
        <v/>
      </c>
      <c r="AA89" s="28" t="str">
        <f t="shared" si="15"/>
        <v/>
      </c>
      <c r="AB89" s="28" t="str">
        <f t="shared" si="16"/>
        <v/>
      </c>
      <c r="AC89" s="28" t="str">
        <f>IF($A89="","",SUMIFS('CHẶNG TĂNG CA'!$E$5:$E$304,'CHẶNG TĂNG CA'!$A$5:$A$304,$A89,'CHẶNG TĂNG CA'!$B$5:$B$304,$B89))</f>
        <v/>
      </c>
      <c r="AD89" s="28" t="str">
        <f>IF($A89="","",SUMIFS('CHẶNG TĂNG CA'!$F$5:$F$304,'CHẶNG TĂNG CA'!$A$5:$A$304,$A89,'CHẶNG TĂNG CA'!$B$5:$B$304,$B89))</f>
        <v/>
      </c>
      <c r="AE89" s="28" t="str">
        <f>IF($A89="","",SUMIFS('CHẶNG TĂNG CA'!$G$5:$G$304,'CHẶNG TĂNG CA'!$A$5:$A$304,$A89,'CHẶNG TĂNG CA'!$B$5:$B$304,$B89))</f>
        <v/>
      </c>
      <c r="AF89" s="28" t="str">
        <f>IF($A89="","",SUMIFS('CHẶNG TĂNG CA'!$H$5:$H$304,'CHẶNG TĂNG CA'!$A$5:$A$304,$A89,'CHẶNG TĂNG CA'!$B$5:$B$304,$B89))</f>
        <v/>
      </c>
      <c r="AG89" s="28" t="str">
        <f t="shared" si="17"/>
        <v/>
      </c>
      <c r="AH89" s="16" t="str">
        <f>IF($A89="","",IF(COUNTIFS('LỆNH ĐIỀU XE'!$B$5:$B$604,$A89,'LỆNH ĐIỀU XE'!$C$5:$C$604,$B89,'LỆNH ĐIỀU XE'!$N$5:$N$604,"Có")&gt;0,"Có","Không"))</f>
        <v/>
      </c>
      <c r="AI89" s="16" t="str">
        <f>IF(OR($A89="",H89="",N(T89)=0),"",IF(_xlfn.MAXIFS('LỆNH ĐIỀU XE'!$U$5:$U$604,'LỆNH ĐIỀU XE'!$B$5:$B$604,$A89,'LỆNH ĐIỀU XE'!$C$5:$C$604,$B89)=0,"",ROUND((H89+(H89&lt;4/24)-_xlfn.MAXIFS('LỆNH ĐIỀU XE'!$U$5:$U$604,'LỆNH ĐIỀU XE'!$B$5:$B$604,$A89,'LỆNH ĐIỀU XE'!$C$5:$C$604,$B89))*1440,0)))</f>
        <v/>
      </c>
      <c r="AJ89" s="16" t="str">
        <f>IF($A89="","",IF(OR(AI89="",V89=""),"Thiếu dữ liệu",IF(AND(AI89&lt;='THAM SỐ'!$B$29,ABS(V89)&lt;='THAM SỐ'!$B$28),"Đạt","Không đạt")))</f>
        <v/>
      </c>
      <c r="AK89" s="16" t="str">
        <f t="shared" si="18"/>
        <v/>
      </c>
      <c r="AL89" s="16" t="str">
        <f>IF($A89="","",TRIM(IF(T89=0,"Không có lệnh; ","")&amp;IF(N(N89)&gt;0,"Dừng ngoài lệnh; ","")&amp;IF(N(J89)&gt;0,"Quá tốc độ; ","")&amp;IF(N(K89)&gt;0,"Lái quá 4h; ","")&amp;IF(N(L89)&gt;0,"Không tắt máy; ","")&amp;IF(OR(P89&lt;&gt;"Đủ",Q89&lt;&gt;"Đủ",R89&lt;&gt;"Đủ"),"Thiếu ảnh; ","")&amp;IF(S89&lt;&gt;"Đạt","Lốp chưa đạt; ","")&amp;IF(N(W89)&gt;'THAM SỐ'!$B$27,"Có mặt quá giờ; ","")&amp;IF(N(X89)&gt;'THAM SỐ'!$B$25,"Lái quá giờ ngày; ","")&amp;IF(ISNUMBER(V89),IF(ABS(V89)&gt;'THAM SỐ'!$B$28,"Lệch km; ",""),"")))</f>
        <v/>
      </c>
      <c r="AM89" s="29"/>
      <c r="AN89" s="30"/>
      <c r="AO89" s="28" t="str">
        <f t="shared" si="19"/>
        <v/>
      </c>
      <c r="AP89" s="21" t="str">
        <f>IF(OR($A89="",AO89=""),"",IF(AG89=0,0,ROUND((AC89*'THAM SỐ'!$B$18+AD89*'THAM SỐ'!$B$19+AE89*'THAM SỐ'!$B$20+AF89*'THAM SỐ'!$B$21)*MIN(1,AO89/AG89),0)))</f>
        <v/>
      </c>
      <c r="AQ89" s="18"/>
    </row>
    <row r="90" spans="1:43" x14ac:dyDescent="0.45">
      <c r="A90" s="17"/>
      <c r="B90" s="18"/>
      <c r="C90" s="18"/>
      <c r="D90" s="25"/>
      <c r="E90" s="26"/>
      <c r="F90" s="26"/>
      <c r="G90" s="20"/>
      <c r="H90" s="20"/>
      <c r="I90" s="18"/>
      <c r="J90" s="18"/>
      <c r="K90" s="18"/>
      <c r="L90" s="18"/>
      <c r="M90" s="18"/>
      <c r="N90" s="18"/>
      <c r="O90" s="18"/>
      <c r="P90" s="18"/>
      <c r="Q90" s="18"/>
      <c r="R90" s="18"/>
      <c r="S90" s="18"/>
      <c r="T90" s="16" t="str">
        <f>IF($A90="","",COUNTIFS('LỆNH ĐIỀU XE'!$B$5:$B$604,$A90,'LỆNH ĐIỀU XE'!$C$5:$C$604,$B90))</f>
        <v/>
      </c>
      <c r="U90" s="27" t="str">
        <f>IF($A90="","",SUMIFS('LỆNH ĐIỀU XE'!$J$5:$J$604,'LỆNH ĐIỀU XE'!$B$5:$B$604,$A90,'LỆNH ĐIỀU XE'!$C$5:$C$604,$B90))</f>
        <v/>
      </c>
      <c r="V90" s="22" t="str">
        <f t="shared" si="10"/>
        <v/>
      </c>
      <c r="W90" s="28" t="str">
        <f t="shared" si="11"/>
        <v/>
      </c>
      <c r="X90" s="28" t="str">
        <f t="shared" si="12"/>
        <v/>
      </c>
      <c r="Y90" s="28" t="str">
        <f t="shared" si="13"/>
        <v/>
      </c>
      <c r="Z90" s="22" t="str">
        <f t="shared" si="14"/>
        <v/>
      </c>
      <c r="AA90" s="28" t="str">
        <f t="shared" si="15"/>
        <v/>
      </c>
      <c r="AB90" s="28" t="str">
        <f t="shared" si="16"/>
        <v/>
      </c>
      <c r="AC90" s="28" t="str">
        <f>IF($A90="","",SUMIFS('CHẶNG TĂNG CA'!$E$5:$E$304,'CHẶNG TĂNG CA'!$A$5:$A$304,$A90,'CHẶNG TĂNG CA'!$B$5:$B$304,$B90))</f>
        <v/>
      </c>
      <c r="AD90" s="28" t="str">
        <f>IF($A90="","",SUMIFS('CHẶNG TĂNG CA'!$F$5:$F$304,'CHẶNG TĂNG CA'!$A$5:$A$304,$A90,'CHẶNG TĂNG CA'!$B$5:$B$304,$B90))</f>
        <v/>
      </c>
      <c r="AE90" s="28" t="str">
        <f>IF($A90="","",SUMIFS('CHẶNG TĂNG CA'!$G$5:$G$304,'CHẶNG TĂNG CA'!$A$5:$A$304,$A90,'CHẶNG TĂNG CA'!$B$5:$B$304,$B90))</f>
        <v/>
      </c>
      <c r="AF90" s="28" t="str">
        <f>IF($A90="","",SUMIFS('CHẶNG TĂNG CA'!$H$5:$H$304,'CHẶNG TĂNG CA'!$A$5:$A$304,$A90,'CHẶNG TĂNG CA'!$B$5:$B$304,$B90))</f>
        <v/>
      </c>
      <c r="AG90" s="28" t="str">
        <f t="shared" si="17"/>
        <v/>
      </c>
      <c r="AH90" s="16" t="str">
        <f>IF($A90="","",IF(COUNTIFS('LỆNH ĐIỀU XE'!$B$5:$B$604,$A90,'LỆNH ĐIỀU XE'!$C$5:$C$604,$B90,'LỆNH ĐIỀU XE'!$N$5:$N$604,"Có")&gt;0,"Có","Không"))</f>
        <v/>
      </c>
      <c r="AI90" s="16" t="str">
        <f>IF(OR($A90="",H90="",N(T90)=0),"",IF(_xlfn.MAXIFS('LỆNH ĐIỀU XE'!$U$5:$U$604,'LỆNH ĐIỀU XE'!$B$5:$B$604,$A90,'LỆNH ĐIỀU XE'!$C$5:$C$604,$B90)=0,"",ROUND((H90+(H90&lt;4/24)-_xlfn.MAXIFS('LỆNH ĐIỀU XE'!$U$5:$U$604,'LỆNH ĐIỀU XE'!$B$5:$B$604,$A90,'LỆNH ĐIỀU XE'!$C$5:$C$604,$B90))*1440,0)))</f>
        <v/>
      </c>
      <c r="AJ90" s="16" t="str">
        <f>IF($A90="","",IF(OR(AI90="",V90=""),"Thiếu dữ liệu",IF(AND(AI90&lt;='THAM SỐ'!$B$29,ABS(V90)&lt;='THAM SỐ'!$B$28),"Đạt","Không đạt")))</f>
        <v/>
      </c>
      <c r="AK90" s="16" t="str">
        <f t="shared" si="18"/>
        <v/>
      </c>
      <c r="AL90" s="16" t="str">
        <f>IF($A90="","",TRIM(IF(T90=0,"Không có lệnh; ","")&amp;IF(N(N90)&gt;0,"Dừng ngoài lệnh; ","")&amp;IF(N(J90)&gt;0,"Quá tốc độ; ","")&amp;IF(N(K90)&gt;0,"Lái quá 4h; ","")&amp;IF(N(L90)&gt;0,"Không tắt máy; ","")&amp;IF(OR(P90&lt;&gt;"Đủ",Q90&lt;&gt;"Đủ",R90&lt;&gt;"Đủ"),"Thiếu ảnh; ","")&amp;IF(S90&lt;&gt;"Đạt","Lốp chưa đạt; ","")&amp;IF(N(W90)&gt;'THAM SỐ'!$B$27,"Có mặt quá giờ; ","")&amp;IF(N(X90)&gt;'THAM SỐ'!$B$25,"Lái quá giờ ngày; ","")&amp;IF(ISNUMBER(V90),IF(ABS(V90)&gt;'THAM SỐ'!$B$28,"Lệch km; ",""),"")))</f>
        <v/>
      </c>
      <c r="AM90" s="29"/>
      <c r="AN90" s="30"/>
      <c r="AO90" s="28" t="str">
        <f t="shared" si="19"/>
        <v/>
      </c>
      <c r="AP90" s="21" t="str">
        <f>IF(OR($A90="",AO90=""),"",IF(AG90=0,0,ROUND((AC90*'THAM SỐ'!$B$18+AD90*'THAM SỐ'!$B$19+AE90*'THAM SỐ'!$B$20+AF90*'THAM SỐ'!$B$21)*MIN(1,AO90/AG90),0)))</f>
        <v/>
      </c>
      <c r="AQ90" s="18"/>
    </row>
    <row r="91" spans="1:43" x14ac:dyDescent="0.45">
      <c r="A91" s="17"/>
      <c r="B91" s="18"/>
      <c r="C91" s="18"/>
      <c r="D91" s="25"/>
      <c r="E91" s="26"/>
      <c r="F91" s="26"/>
      <c r="G91" s="20"/>
      <c r="H91" s="20"/>
      <c r="I91" s="18"/>
      <c r="J91" s="18"/>
      <c r="K91" s="18"/>
      <c r="L91" s="18"/>
      <c r="M91" s="18"/>
      <c r="N91" s="18"/>
      <c r="O91" s="18"/>
      <c r="P91" s="18"/>
      <c r="Q91" s="18"/>
      <c r="R91" s="18"/>
      <c r="S91" s="18"/>
      <c r="T91" s="16" t="str">
        <f>IF($A91="","",COUNTIFS('LỆNH ĐIỀU XE'!$B$5:$B$604,$A91,'LỆNH ĐIỀU XE'!$C$5:$C$604,$B91))</f>
        <v/>
      </c>
      <c r="U91" s="27" t="str">
        <f>IF($A91="","",SUMIFS('LỆNH ĐIỀU XE'!$J$5:$J$604,'LỆNH ĐIỀU XE'!$B$5:$B$604,$A91,'LỆNH ĐIỀU XE'!$C$5:$C$604,$B91))</f>
        <v/>
      </c>
      <c r="V91" s="22" t="str">
        <f t="shared" si="10"/>
        <v/>
      </c>
      <c r="W91" s="28" t="str">
        <f t="shared" si="11"/>
        <v/>
      </c>
      <c r="X91" s="28" t="str">
        <f t="shared" si="12"/>
        <v/>
      </c>
      <c r="Y91" s="28" t="str">
        <f t="shared" si="13"/>
        <v/>
      </c>
      <c r="Z91" s="22" t="str">
        <f t="shared" si="14"/>
        <v/>
      </c>
      <c r="AA91" s="28" t="str">
        <f t="shared" si="15"/>
        <v/>
      </c>
      <c r="AB91" s="28" t="str">
        <f t="shared" si="16"/>
        <v/>
      </c>
      <c r="AC91" s="28" t="str">
        <f>IF($A91="","",SUMIFS('CHẶNG TĂNG CA'!$E$5:$E$304,'CHẶNG TĂNG CA'!$A$5:$A$304,$A91,'CHẶNG TĂNG CA'!$B$5:$B$304,$B91))</f>
        <v/>
      </c>
      <c r="AD91" s="28" t="str">
        <f>IF($A91="","",SUMIFS('CHẶNG TĂNG CA'!$F$5:$F$304,'CHẶNG TĂNG CA'!$A$5:$A$304,$A91,'CHẶNG TĂNG CA'!$B$5:$B$304,$B91))</f>
        <v/>
      </c>
      <c r="AE91" s="28" t="str">
        <f>IF($A91="","",SUMIFS('CHẶNG TĂNG CA'!$G$5:$G$304,'CHẶNG TĂNG CA'!$A$5:$A$304,$A91,'CHẶNG TĂNG CA'!$B$5:$B$304,$B91))</f>
        <v/>
      </c>
      <c r="AF91" s="28" t="str">
        <f>IF($A91="","",SUMIFS('CHẶNG TĂNG CA'!$H$5:$H$304,'CHẶNG TĂNG CA'!$A$5:$A$304,$A91,'CHẶNG TĂNG CA'!$B$5:$B$304,$B91))</f>
        <v/>
      </c>
      <c r="AG91" s="28" t="str">
        <f t="shared" si="17"/>
        <v/>
      </c>
      <c r="AH91" s="16" t="str">
        <f>IF($A91="","",IF(COUNTIFS('LỆNH ĐIỀU XE'!$B$5:$B$604,$A91,'LỆNH ĐIỀU XE'!$C$5:$C$604,$B91,'LỆNH ĐIỀU XE'!$N$5:$N$604,"Có")&gt;0,"Có","Không"))</f>
        <v/>
      </c>
      <c r="AI91" s="16" t="str">
        <f>IF(OR($A91="",H91="",N(T91)=0),"",IF(_xlfn.MAXIFS('LỆNH ĐIỀU XE'!$U$5:$U$604,'LỆNH ĐIỀU XE'!$B$5:$B$604,$A91,'LỆNH ĐIỀU XE'!$C$5:$C$604,$B91)=0,"",ROUND((H91+(H91&lt;4/24)-_xlfn.MAXIFS('LỆNH ĐIỀU XE'!$U$5:$U$604,'LỆNH ĐIỀU XE'!$B$5:$B$604,$A91,'LỆNH ĐIỀU XE'!$C$5:$C$604,$B91))*1440,0)))</f>
        <v/>
      </c>
      <c r="AJ91" s="16" t="str">
        <f>IF($A91="","",IF(OR(AI91="",V91=""),"Thiếu dữ liệu",IF(AND(AI91&lt;='THAM SỐ'!$B$29,ABS(V91)&lt;='THAM SỐ'!$B$28),"Đạt","Không đạt")))</f>
        <v/>
      </c>
      <c r="AK91" s="16" t="str">
        <f t="shared" si="18"/>
        <v/>
      </c>
      <c r="AL91" s="16" t="str">
        <f>IF($A91="","",TRIM(IF(T91=0,"Không có lệnh; ","")&amp;IF(N(N91)&gt;0,"Dừng ngoài lệnh; ","")&amp;IF(N(J91)&gt;0,"Quá tốc độ; ","")&amp;IF(N(K91)&gt;0,"Lái quá 4h; ","")&amp;IF(N(L91)&gt;0,"Không tắt máy; ","")&amp;IF(OR(P91&lt;&gt;"Đủ",Q91&lt;&gt;"Đủ",R91&lt;&gt;"Đủ"),"Thiếu ảnh; ","")&amp;IF(S91&lt;&gt;"Đạt","Lốp chưa đạt; ","")&amp;IF(N(W91)&gt;'THAM SỐ'!$B$27,"Có mặt quá giờ; ","")&amp;IF(N(X91)&gt;'THAM SỐ'!$B$25,"Lái quá giờ ngày; ","")&amp;IF(ISNUMBER(V91),IF(ABS(V91)&gt;'THAM SỐ'!$B$28,"Lệch km; ",""),"")))</f>
        <v/>
      </c>
      <c r="AM91" s="29"/>
      <c r="AN91" s="30"/>
      <c r="AO91" s="28" t="str">
        <f t="shared" si="19"/>
        <v/>
      </c>
      <c r="AP91" s="21" t="str">
        <f>IF(OR($A91="",AO91=""),"",IF(AG91=0,0,ROUND((AC91*'THAM SỐ'!$B$18+AD91*'THAM SỐ'!$B$19+AE91*'THAM SỐ'!$B$20+AF91*'THAM SỐ'!$B$21)*MIN(1,AO91/AG91),0)))</f>
        <v/>
      </c>
      <c r="AQ91" s="18"/>
    </row>
    <row r="92" spans="1:43" x14ac:dyDescent="0.45">
      <c r="A92" s="17"/>
      <c r="B92" s="18"/>
      <c r="C92" s="18"/>
      <c r="D92" s="25"/>
      <c r="E92" s="26"/>
      <c r="F92" s="26"/>
      <c r="G92" s="20"/>
      <c r="H92" s="20"/>
      <c r="I92" s="18"/>
      <c r="J92" s="18"/>
      <c r="K92" s="18"/>
      <c r="L92" s="18"/>
      <c r="M92" s="18"/>
      <c r="N92" s="18"/>
      <c r="O92" s="18"/>
      <c r="P92" s="18"/>
      <c r="Q92" s="18"/>
      <c r="R92" s="18"/>
      <c r="S92" s="18"/>
      <c r="T92" s="16" t="str">
        <f>IF($A92="","",COUNTIFS('LỆNH ĐIỀU XE'!$B$5:$B$604,$A92,'LỆNH ĐIỀU XE'!$C$5:$C$604,$B92))</f>
        <v/>
      </c>
      <c r="U92" s="27" t="str">
        <f>IF($A92="","",SUMIFS('LỆNH ĐIỀU XE'!$J$5:$J$604,'LỆNH ĐIỀU XE'!$B$5:$B$604,$A92,'LỆNH ĐIỀU XE'!$C$5:$C$604,$B92))</f>
        <v/>
      </c>
      <c r="V92" s="22" t="str">
        <f t="shared" si="10"/>
        <v/>
      </c>
      <c r="W92" s="28" t="str">
        <f t="shared" si="11"/>
        <v/>
      </c>
      <c r="X92" s="28" t="str">
        <f t="shared" si="12"/>
        <v/>
      </c>
      <c r="Y92" s="28" t="str">
        <f t="shared" si="13"/>
        <v/>
      </c>
      <c r="Z92" s="22" t="str">
        <f t="shared" si="14"/>
        <v/>
      </c>
      <c r="AA92" s="28" t="str">
        <f t="shared" si="15"/>
        <v/>
      </c>
      <c r="AB92" s="28" t="str">
        <f t="shared" si="16"/>
        <v/>
      </c>
      <c r="AC92" s="28" t="str">
        <f>IF($A92="","",SUMIFS('CHẶNG TĂNG CA'!$E$5:$E$304,'CHẶNG TĂNG CA'!$A$5:$A$304,$A92,'CHẶNG TĂNG CA'!$B$5:$B$304,$B92))</f>
        <v/>
      </c>
      <c r="AD92" s="28" t="str">
        <f>IF($A92="","",SUMIFS('CHẶNG TĂNG CA'!$F$5:$F$304,'CHẶNG TĂNG CA'!$A$5:$A$304,$A92,'CHẶNG TĂNG CA'!$B$5:$B$304,$B92))</f>
        <v/>
      </c>
      <c r="AE92" s="28" t="str">
        <f>IF($A92="","",SUMIFS('CHẶNG TĂNG CA'!$G$5:$G$304,'CHẶNG TĂNG CA'!$A$5:$A$304,$A92,'CHẶNG TĂNG CA'!$B$5:$B$304,$B92))</f>
        <v/>
      </c>
      <c r="AF92" s="28" t="str">
        <f>IF($A92="","",SUMIFS('CHẶNG TĂNG CA'!$H$5:$H$304,'CHẶNG TĂNG CA'!$A$5:$A$304,$A92,'CHẶNG TĂNG CA'!$B$5:$B$304,$B92))</f>
        <v/>
      </c>
      <c r="AG92" s="28" t="str">
        <f t="shared" si="17"/>
        <v/>
      </c>
      <c r="AH92" s="16" t="str">
        <f>IF($A92="","",IF(COUNTIFS('LỆNH ĐIỀU XE'!$B$5:$B$604,$A92,'LỆNH ĐIỀU XE'!$C$5:$C$604,$B92,'LỆNH ĐIỀU XE'!$N$5:$N$604,"Có")&gt;0,"Có","Không"))</f>
        <v/>
      </c>
      <c r="AI92" s="16" t="str">
        <f>IF(OR($A92="",H92="",N(T92)=0),"",IF(_xlfn.MAXIFS('LỆNH ĐIỀU XE'!$U$5:$U$604,'LỆNH ĐIỀU XE'!$B$5:$B$604,$A92,'LỆNH ĐIỀU XE'!$C$5:$C$604,$B92)=0,"",ROUND((H92+(H92&lt;4/24)-_xlfn.MAXIFS('LỆNH ĐIỀU XE'!$U$5:$U$604,'LỆNH ĐIỀU XE'!$B$5:$B$604,$A92,'LỆNH ĐIỀU XE'!$C$5:$C$604,$B92))*1440,0)))</f>
        <v/>
      </c>
      <c r="AJ92" s="16" t="str">
        <f>IF($A92="","",IF(OR(AI92="",V92=""),"Thiếu dữ liệu",IF(AND(AI92&lt;='THAM SỐ'!$B$29,ABS(V92)&lt;='THAM SỐ'!$B$28),"Đạt","Không đạt")))</f>
        <v/>
      </c>
      <c r="AK92" s="16" t="str">
        <f t="shared" si="18"/>
        <v/>
      </c>
      <c r="AL92" s="16" t="str">
        <f>IF($A92="","",TRIM(IF(T92=0,"Không có lệnh; ","")&amp;IF(N(N92)&gt;0,"Dừng ngoài lệnh; ","")&amp;IF(N(J92)&gt;0,"Quá tốc độ; ","")&amp;IF(N(K92)&gt;0,"Lái quá 4h; ","")&amp;IF(N(L92)&gt;0,"Không tắt máy; ","")&amp;IF(OR(P92&lt;&gt;"Đủ",Q92&lt;&gt;"Đủ",R92&lt;&gt;"Đủ"),"Thiếu ảnh; ","")&amp;IF(S92&lt;&gt;"Đạt","Lốp chưa đạt; ","")&amp;IF(N(W92)&gt;'THAM SỐ'!$B$27,"Có mặt quá giờ; ","")&amp;IF(N(X92)&gt;'THAM SỐ'!$B$25,"Lái quá giờ ngày; ","")&amp;IF(ISNUMBER(V92),IF(ABS(V92)&gt;'THAM SỐ'!$B$28,"Lệch km; ",""),"")))</f>
        <v/>
      </c>
      <c r="AM92" s="29"/>
      <c r="AN92" s="30"/>
      <c r="AO92" s="28" t="str">
        <f t="shared" si="19"/>
        <v/>
      </c>
      <c r="AP92" s="21" t="str">
        <f>IF(OR($A92="",AO92=""),"",IF(AG92=0,0,ROUND((AC92*'THAM SỐ'!$B$18+AD92*'THAM SỐ'!$B$19+AE92*'THAM SỐ'!$B$20+AF92*'THAM SỐ'!$B$21)*MIN(1,AO92/AG92),0)))</f>
        <v/>
      </c>
      <c r="AQ92" s="18"/>
    </row>
    <row r="93" spans="1:43" x14ac:dyDescent="0.45">
      <c r="A93" s="17"/>
      <c r="B93" s="18"/>
      <c r="C93" s="18"/>
      <c r="D93" s="25"/>
      <c r="E93" s="26"/>
      <c r="F93" s="26"/>
      <c r="G93" s="20"/>
      <c r="H93" s="20"/>
      <c r="I93" s="18"/>
      <c r="J93" s="18"/>
      <c r="K93" s="18"/>
      <c r="L93" s="18"/>
      <c r="M93" s="18"/>
      <c r="N93" s="18"/>
      <c r="O93" s="18"/>
      <c r="P93" s="18"/>
      <c r="Q93" s="18"/>
      <c r="R93" s="18"/>
      <c r="S93" s="18"/>
      <c r="T93" s="16" t="str">
        <f>IF($A93="","",COUNTIFS('LỆNH ĐIỀU XE'!$B$5:$B$604,$A93,'LỆNH ĐIỀU XE'!$C$5:$C$604,$B93))</f>
        <v/>
      </c>
      <c r="U93" s="27" t="str">
        <f>IF($A93="","",SUMIFS('LỆNH ĐIỀU XE'!$J$5:$J$604,'LỆNH ĐIỀU XE'!$B$5:$B$604,$A93,'LỆNH ĐIỀU XE'!$C$5:$C$604,$B93))</f>
        <v/>
      </c>
      <c r="V93" s="22" t="str">
        <f t="shared" si="10"/>
        <v/>
      </c>
      <c r="W93" s="28" t="str">
        <f t="shared" si="11"/>
        <v/>
      </c>
      <c r="X93" s="28" t="str">
        <f t="shared" si="12"/>
        <v/>
      </c>
      <c r="Y93" s="28" t="str">
        <f t="shared" si="13"/>
        <v/>
      </c>
      <c r="Z93" s="22" t="str">
        <f t="shared" si="14"/>
        <v/>
      </c>
      <c r="AA93" s="28" t="str">
        <f t="shared" si="15"/>
        <v/>
      </c>
      <c r="AB93" s="28" t="str">
        <f t="shared" si="16"/>
        <v/>
      </c>
      <c r="AC93" s="28" t="str">
        <f>IF($A93="","",SUMIFS('CHẶNG TĂNG CA'!$E$5:$E$304,'CHẶNG TĂNG CA'!$A$5:$A$304,$A93,'CHẶNG TĂNG CA'!$B$5:$B$304,$B93))</f>
        <v/>
      </c>
      <c r="AD93" s="28" t="str">
        <f>IF($A93="","",SUMIFS('CHẶNG TĂNG CA'!$F$5:$F$304,'CHẶNG TĂNG CA'!$A$5:$A$304,$A93,'CHẶNG TĂNG CA'!$B$5:$B$304,$B93))</f>
        <v/>
      </c>
      <c r="AE93" s="28" t="str">
        <f>IF($A93="","",SUMIFS('CHẶNG TĂNG CA'!$G$5:$G$304,'CHẶNG TĂNG CA'!$A$5:$A$304,$A93,'CHẶNG TĂNG CA'!$B$5:$B$304,$B93))</f>
        <v/>
      </c>
      <c r="AF93" s="28" t="str">
        <f>IF($A93="","",SUMIFS('CHẶNG TĂNG CA'!$H$5:$H$304,'CHẶNG TĂNG CA'!$A$5:$A$304,$A93,'CHẶNG TĂNG CA'!$B$5:$B$304,$B93))</f>
        <v/>
      </c>
      <c r="AG93" s="28" t="str">
        <f t="shared" si="17"/>
        <v/>
      </c>
      <c r="AH93" s="16" t="str">
        <f>IF($A93="","",IF(COUNTIFS('LỆNH ĐIỀU XE'!$B$5:$B$604,$A93,'LỆNH ĐIỀU XE'!$C$5:$C$604,$B93,'LỆNH ĐIỀU XE'!$N$5:$N$604,"Có")&gt;0,"Có","Không"))</f>
        <v/>
      </c>
      <c r="AI93" s="16" t="str">
        <f>IF(OR($A93="",H93="",N(T93)=0),"",IF(_xlfn.MAXIFS('LỆNH ĐIỀU XE'!$U$5:$U$604,'LỆNH ĐIỀU XE'!$B$5:$B$604,$A93,'LỆNH ĐIỀU XE'!$C$5:$C$604,$B93)=0,"",ROUND((H93+(H93&lt;4/24)-_xlfn.MAXIFS('LỆNH ĐIỀU XE'!$U$5:$U$604,'LỆNH ĐIỀU XE'!$B$5:$B$604,$A93,'LỆNH ĐIỀU XE'!$C$5:$C$604,$B93))*1440,0)))</f>
        <v/>
      </c>
      <c r="AJ93" s="16" t="str">
        <f>IF($A93="","",IF(OR(AI93="",V93=""),"Thiếu dữ liệu",IF(AND(AI93&lt;='THAM SỐ'!$B$29,ABS(V93)&lt;='THAM SỐ'!$B$28),"Đạt","Không đạt")))</f>
        <v/>
      </c>
      <c r="AK93" s="16" t="str">
        <f t="shared" si="18"/>
        <v/>
      </c>
      <c r="AL93" s="16" t="str">
        <f>IF($A93="","",TRIM(IF(T93=0,"Không có lệnh; ","")&amp;IF(N(N93)&gt;0,"Dừng ngoài lệnh; ","")&amp;IF(N(J93)&gt;0,"Quá tốc độ; ","")&amp;IF(N(K93)&gt;0,"Lái quá 4h; ","")&amp;IF(N(L93)&gt;0,"Không tắt máy; ","")&amp;IF(OR(P93&lt;&gt;"Đủ",Q93&lt;&gt;"Đủ",R93&lt;&gt;"Đủ"),"Thiếu ảnh; ","")&amp;IF(S93&lt;&gt;"Đạt","Lốp chưa đạt; ","")&amp;IF(N(W93)&gt;'THAM SỐ'!$B$27,"Có mặt quá giờ; ","")&amp;IF(N(X93)&gt;'THAM SỐ'!$B$25,"Lái quá giờ ngày; ","")&amp;IF(ISNUMBER(V93),IF(ABS(V93)&gt;'THAM SỐ'!$B$28,"Lệch km; ",""),"")))</f>
        <v/>
      </c>
      <c r="AM93" s="29"/>
      <c r="AN93" s="30"/>
      <c r="AO93" s="28" t="str">
        <f t="shared" si="19"/>
        <v/>
      </c>
      <c r="AP93" s="21" t="str">
        <f>IF(OR($A93="",AO93=""),"",IF(AG93=0,0,ROUND((AC93*'THAM SỐ'!$B$18+AD93*'THAM SỐ'!$B$19+AE93*'THAM SỐ'!$B$20+AF93*'THAM SỐ'!$B$21)*MIN(1,AO93/AG93),0)))</f>
        <v/>
      </c>
      <c r="AQ93" s="18"/>
    </row>
    <row r="94" spans="1:43" x14ac:dyDescent="0.45">
      <c r="A94" s="17"/>
      <c r="B94" s="18"/>
      <c r="C94" s="18"/>
      <c r="D94" s="25"/>
      <c r="E94" s="26"/>
      <c r="F94" s="26"/>
      <c r="G94" s="20"/>
      <c r="H94" s="20"/>
      <c r="I94" s="18"/>
      <c r="J94" s="18"/>
      <c r="K94" s="18"/>
      <c r="L94" s="18"/>
      <c r="M94" s="18"/>
      <c r="N94" s="18"/>
      <c r="O94" s="18"/>
      <c r="P94" s="18"/>
      <c r="Q94" s="18"/>
      <c r="R94" s="18"/>
      <c r="S94" s="18"/>
      <c r="T94" s="16" t="str">
        <f>IF($A94="","",COUNTIFS('LỆNH ĐIỀU XE'!$B$5:$B$604,$A94,'LỆNH ĐIỀU XE'!$C$5:$C$604,$B94))</f>
        <v/>
      </c>
      <c r="U94" s="27" t="str">
        <f>IF($A94="","",SUMIFS('LỆNH ĐIỀU XE'!$J$5:$J$604,'LỆNH ĐIỀU XE'!$B$5:$B$604,$A94,'LỆNH ĐIỀU XE'!$C$5:$C$604,$B94))</f>
        <v/>
      </c>
      <c r="V94" s="22" t="str">
        <f t="shared" si="10"/>
        <v/>
      </c>
      <c r="W94" s="28" t="str">
        <f t="shared" si="11"/>
        <v/>
      </c>
      <c r="X94" s="28" t="str">
        <f t="shared" si="12"/>
        <v/>
      </c>
      <c r="Y94" s="28" t="str">
        <f t="shared" si="13"/>
        <v/>
      </c>
      <c r="Z94" s="22" t="str">
        <f t="shared" si="14"/>
        <v/>
      </c>
      <c r="AA94" s="28" t="str">
        <f t="shared" si="15"/>
        <v/>
      </c>
      <c r="AB94" s="28" t="str">
        <f t="shared" si="16"/>
        <v/>
      </c>
      <c r="AC94" s="28" t="str">
        <f>IF($A94="","",SUMIFS('CHẶNG TĂNG CA'!$E$5:$E$304,'CHẶNG TĂNG CA'!$A$5:$A$304,$A94,'CHẶNG TĂNG CA'!$B$5:$B$304,$B94))</f>
        <v/>
      </c>
      <c r="AD94" s="28" t="str">
        <f>IF($A94="","",SUMIFS('CHẶNG TĂNG CA'!$F$5:$F$304,'CHẶNG TĂNG CA'!$A$5:$A$304,$A94,'CHẶNG TĂNG CA'!$B$5:$B$304,$B94))</f>
        <v/>
      </c>
      <c r="AE94" s="28" t="str">
        <f>IF($A94="","",SUMIFS('CHẶNG TĂNG CA'!$G$5:$G$304,'CHẶNG TĂNG CA'!$A$5:$A$304,$A94,'CHẶNG TĂNG CA'!$B$5:$B$304,$B94))</f>
        <v/>
      </c>
      <c r="AF94" s="28" t="str">
        <f>IF($A94="","",SUMIFS('CHẶNG TĂNG CA'!$H$5:$H$304,'CHẶNG TĂNG CA'!$A$5:$A$304,$A94,'CHẶNG TĂNG CA'!$B$5:$B$304,$B94))</f>
        <v/>
      </c>
      <c r="AG94" s="28" t="str">
        <f t="shared" si="17"/>
        <v/>
      </c>
      <c r="AH94" s="16" t="str">
        <f>IF($A94="","",IF(COUNTIFS('LỆNH ĐIỀU XE'!$B$5:$B$604,$A94,'LỆNH ĐIỀU XE'!$C$5:$C$604,$B94,'LỆNH ĐIỀU XE'!$N$5:$N$604,"Có")&gt;0,"Có","Không"))</f>
        <v/>
      </c>
      <c r="AI94" s="16" t="str">
        <f>IF(OR($A94="",H94="",N(T94)=0),"",IF(_xlfn.MAXIFS('LỆNH ĐIỀU XE'!$U$5:$U$604,'LỆNH ĐIỀU XE'!$B$5:$B$604,$A94,'LỆNH ĐIỀU XE'!$C$5:$C$604,$B94)=0,"",ROUND((H94+(H94&lt;4/24)-_xlfn.MAXIFS('LỆNH ĐIỀU XE'!$U$5:$U$604,'LỆNH ĐIỀU XE'!$B$5:$B$604,$A94,'LỆNH ĐIỀU XE'!$C$5:$C$604,$B94))*1440,0)))</f>
        <v/>
      </c>
      <c r="AJ94" s="16" t="str">
        <f>IF($A94="","",IF(OR(AI94="",V94=""),"Thiếu dữ liệu",IF(AND(AI94&lt;='THAM SỐ'!$B$29,ABS(V94)&lt;='THAM SỐ'!$B$28),"Đạt","Không đạt")))</f>
        <v/>
      </c>
      <c r="AK94" s="16" t="str">
        <f t="shared" si="18"/>
        <v/>
      </c>
      <c r="AL94" s="16" t="str">
        <f>IF($A94="","",TRIM(IF(T94=0,"Không có lệnh; ","")&amp;IF(N(N94)&gt;0,"Dừng ngoài lệnh; ","")&amp;IF(N(J94)&gt;0,"Quá tốc độ; ","")&amp;IF(N(K94)&gt;0,"Lái quá 4h; ","")&amp;IF(N(L94)&gt;0,"Không tắt máy; ","")&amp;IF(OR(P94&lt;&gt;"Đủ",Q94&lt;&gt;"Đủ",R94&lt;&gt;"Đủ"),"Thiếu ảnh; ","")&amp;IF(S94&lt;&gt;"Đạt","Lốp chưa đạt; ","")&amp;IF(N(W94)&gt;'THAM SỐ'!$B$27,"Có mặt quá giờ; ","")&amp;IF(N(X94)&gt;'THAM SỐ'!$B$25,"Lái quá giờ ngày; ","")&amp;IF(ISNUMBER(V94),IF(ABS(V94)&gt;'THAM SỐ'!$B$28,"Lệch km; ",""),"")))</f>
        <v/>
      </c>
      <c r="AM94" s="29"/>
      <c r="AN94" s="30"/>
      <c r="AO94" s="28" t="str">
        <f t="shared" si="19"/>
        <v/>
      </c>
      <c r="AP94" s="21" t="str">
        <f>IF(OR($A94="",AO94=""),"",IF(AG94=0,0,ROUND((AC94*'THAM SỐ'!$B$18+AD94*'THAM SỐ'!$B$19+AE94*'THAM SỐ'!$B$20+AF94*'THAM SỐ'!$B$21)*MIN(1,AO94/AG94),0)))</f>
        <v/>
      </c>
      <c r="AQ94" s="18"/>
    </row>
    <row r="95" spans="1:43" x14ac:dyDescent="0.45">
      <c r="A95" s="17"/>
      <c r="B95" s="18"/>
      <c r="C95" s="18"/>
      <c r="D95" s="25"/>
      <c r="E95" s="26"/>
      <c r="F95" s="26"/>
      <c r="G95" s="20"/>
      <c r="H95" s="20"/>
      <c r="I95" s="18"/>
      <c r="J95" s="18"/>
      <c r="K95" s="18"/>
      <c r="L95" s="18"/>
      <c r="M95" s="18"/>
      <c r="N95" s="18"/>
      <c r="O95" s="18"/>
      <c r="P95" s="18"/>
      <c r="Q95" s="18"/>
      <c r="R95" s="18"/>
      <c r="S95" s="18"/>
      <c r="T95" s="16" t="str">
        <f>IF($A95="","",COUNTIFS('LỆNH ĐIỀU XE'!$B$5:$B$604,$A95,'LỆNH ĐIỀU XE'!$C$5:$C$604,$B95))</f>
        <v/>
      </c>
      <c r="U95" s="27" t="str">
        <f>IF($A95="","",SUMIFS('LỆNH ĐIỀU XE'!$J$5:$J$604,'LỆNH ĐIỀU XE'!$B$5:$B$604,$A95,'LỆNH ĐIỀU XE'!$C$5:$C$604,$B95))</f>
        <v/>
      </c>
      <c r="V95" s="22" t="str">
        <f t="shared" si="10"/>
        <v/>
      </c>
      <c r="W95" s="28" t="str">
        <f t="shared" si="11"/>
        <v/>
      </c>
      <c r="X95" s="28" t="str">
        <f t="shared" si="12"/>
        <v/>
      </c>
      <c r="Y95" s="28" t="str">
        <f t="shared" si="13"/>
        <v/>
      </c>
      <c r="Z95" s="22" t="str">
        <f t="shared" si="14"/>
        <v/>
      </c>
      <c r="AA95" s="28" t="str">
        <f t="shared" si="15"/>
        <v/>
      </c>
      <c r="AB95" s="28" t="str">
        <f t="shared" si="16"/>
        <v/>
      </c>
      <c r="AC95" s="28" t="str">
        <f>IF($A95="","",SUMIFS('CHẶNG TĂNG CA'!$E$5:$E$304,'CHẶNG TĂNG CA'!$A$5:$A$304,$A95,'CHẶNG TĂNG CA'!$B$5:$B$304,$B95))</f>
        <v/>
      </c>
      <c r="AD95" s="28" t="str">
        <f>IF($A95="","",SUMIFS('CHẶNG TĂNG CA'!$F$5:$F$304,'CHẶNG TĂNG CA'!$A$5:$A$304,$A95,'CHẶNG TĂNG CA'!$B$5:$B$304,$B95))</f>
        <v/>
      </c>
      <c r="AE95" s="28" t="str">
        <f>IF($A95="","",SUMIFS('CHẶNG TĂNG CA'!$G$5:$G$304,'CHẶNG TĂNG CA'!$A$5:$A$304,$A95,'CHẶNG TĂNG CA'!$B$5:$B$304,$B95))</f>
        <v/>
      </c>
      <c r="AF95" s="28" t="str">
        <f>IF($A95="","",SUMIFS('CHẶNG TĂNG CA'!$H$5:$H$304,'CHẶNG TĂNG CA'!$A$5:$A$304,$A95,'CHẶNG TĂNG CA'!$B$5:$B$304,$B95))</f>
        <v/>
      </c>
      <c r="AG95" s="28" t="str">
        <f t="shared" si="17"/>
        <v/>
      </c>
      <c r="AH95" s="16" t="str">
        <f>IF($A95="","",IF(COUNTIFS('LỆNH ĐIỀU XE'!$B$5:$B$604,$A95,'LỆNH ĐIỀU XE'!$C$5:$C$604,$B95,'LỆNH ĐIỀU XE'!$N$5:$N$604,"Có")&gt;0,"Có","Không"))</f>
        <v/>
      </c>
      <c r="AI95" s="16" t="str">
        <f>IF(OR($A95="",H95="",N(T95)=0),"",IF(_xlfn.MAXIFS('LỆNH ĐIỀU XE'!$U$5:$U$604,'LỆNH ĐIỀU XE'!$B$5:$B$604,$A95,'LỆNH ĐIỀU XE'!$C$5:$C$604,$B95)=0,"",ROUND((H95+(H95&lt;4/24)-_xlfn.MAXIFS('LỆNH ĐIỀU XE'!$U$5:$U$604,'LỆNH ĐIỀU XE'!$B$5:$B$604,$A95,'LỆNH ĐIỀU XE'!$C$5:$C$604,$B95))*1440,0)))</f>
        <v/>
      </c>
      <c r="AJ95" s="16" t="str">
        <f>IF($A95="","",IF(OR(AI95="",V95=""),"Thiếu dữ liệu",IF(AND(AI95&lt;='THAM SỐ'!$B$29,ABS(V95)&lt;='THAM SỐ'!$B$28),"Đạt","Không đạt")))</f>
        <v/>
      </c>
      <c r="AK95" s="16" t="str">
        <f t="shared" si="18"/>
        <v/>
      </c>
      <c r="AL95" s="16" t="str">
        <f>IF($A95="","",TRIM(IF(T95=0,"Không có lệnh; ","")&amp;IF(N(N95)&gt;0,"Dừng ngoài lệnh; ","")&amp;IF(N(J95)&gt;0,"Quá tốc độ; ","")&amp;IF(N(K95)&gt;0,"Lái quá 4h; ","")&amp;IF(N(L95)&gt;0,"Không tắt máy; ","")&amp;IF(OR(P95&lt;&gt;"Đủ",Q95&lt;&gt;"Đủ",R95&lt;&gt;"Đủ"),"Thiếu ảnh; ","")&amp;IF(S95&lt;&gt;"Đạt","Lốp chưa đạt; ","")&amp;IF(N(W95)&gt;'THAM SỐ'!$B$27,"Có mặt quá giờ; ","")&amp;IF(N(X95)&gt;'THAM SỐ'!$B$25,"Lái quá giờ ngày; ","")&amp;IF(ISNUMBER(V95),IF(ABS(V95)&gt;'THAM SỐ'!$B$28,"Lệch km; ",""),"")))</f>
        <v/>
      </c>
      <c r="AM95" s="29"/>
      <c r="AN95" s="30"/>
      <c r="AO95" s="28" t="str">
        <f t="shared" si="19"/>
        <v/>
      </c>
      <c r="AP95" s="21" t="str">
        <f>IF(OR($A95="",AO95=""),"",IF(AG95=0,0,ROUND((AC95*'THAM SỐ'!$B$18+AD95*'THAM SỐ'!$B$19+AE95*'THAM SỐ'!$B$20+AF95*'THAM SỐ'!$B$21)*MIN(1,AO95/AG95),0)))</f>
        <v/>
      </c>
      <c r="AQ95" s="18"/>
    </row>
    <row r="96" spans="1:43" x14ac:dyDescent="0.45">
      <c r="A96" s="17"/>
      <c r="B96" s="18"/>
      <c r="C96" s="18"/>
      <c r="D96" s="25"/>
      <c r="E96" s="26"/>
      <c r="F96" s="26"/>
      <c r="G96" s="20"/>
      <c r="H96" s="20"/>
      <c r="I96" s="18"/>
      <c r="J96" s="18"/>
      <c r="K96" s="18"/>
      <c r="L96" s="18"/>
      <c r="M96" s="18"/>
      <c r="N96" s="18"/>
      <c r="O96" s="18"/>
      <c r="P96" s="18"/>
      <c r="Q96" s="18"/>
      <c r="R96" s="18"/>
      <c r="S96" s="18"/>
      <c r="T96" s="16" t="str">
        <f>IF($A96="","",COUNTIFS('LỆNH ĐIỀU XE'!$B$5:$B$604,$A96,'LỆNH ĐIỀU XE'!$C$5:$C$604,$B96))</f>
        <v/>
      </c>
      <c r="U96" s="27" t="str">
        <f>IF($A96="","",SUMIFS('LỆNH ĐIỀU XE'!$J$5:$J$604,'LỆNH ĐIỀU XE'!$B$5:$B$604,$A96,'LỆNH ĐIỀU XE'!$C$5:$C$604,$B96))</f>
        <v/>
      </c>
      <c r="V96" s="22" t="str">
        <f t="shared" si="10"/>
        <v/>
      </c>
      <c r="W96" s="28" t="str">
        <f t="shared" si="11"/>
        <v/>
      </c>
      <c r="X96" s="28" t="str">
        <f t="shared" si="12"/>
        <v/>
      </c>
      <c r="Y96" s="28" t="str">
        <f t="shared" si="13"/>
        <v/>
      </c>
      <c r="Z96" s="22" t="str">
        <f t="shared" si="14"/>
        <v/>
      </c>
      <c r="AA96" s="28" t="str">
        <f t="shared" si="15"/>
        <v/>
      </c>
      <c r="AB96" s="28" t="str">
        <f t="shared" si="16"/>
        <v/>
      </c>
      <c r="AC96" s="28" t="str">
        <f>IF($A96="","",SUMIFS('CHẶNG TĂNG CA'!$E$5:$E$304,'CHẶNG TĂNG CA'!$A$5:$A$304,$A96,'CHẶNG TĂNG CA'!$B$5:$B$304,$B96))</f>
        <v/>
      </c>
      <c r="AD96" s="28" t="str">
        <f>IF($A96="","",SUMIFS('CHẶNG TĂNG CA'!$F$5:$F$304,'CHẶNG TĂNG CA'!$A$5:$A$304,$A96,'CHẶNG TĂNG CA'!$B$5:$B$304,$B96))</f>
        <v/>
      </c>
      <c r="AE96" s="28" t="str">
        <f>IF($A96="","",SUMIFS('CHẶNG TĂNG CA'!$G$5:$G$304,'CHẶNG TĂNG CA'!$A$5:$A$304,$A96,'CHẶNG TĂNG CA'!$B$5:$B$304,$B96))</f>
        <v/>
      </c>
      <c r="AF96" s="28" t="str">
        <f>IF($A96="","",SUMIFS('CHẶNG TĂNG CA'!$H$5:$H$304,'CHẶNG TĂNG CA'!$A$5:$A$304,$A96,'CHẶNG TĂNG CA'!$B$5:$B$304,$B96))</f>
        <v/>
      </c>
      <c r="AG96" s="28" t="str">
        <f t="shared" si="17"/>
        <v/>
      </c>
      <c r="AH96" s="16" t="str">
        <f>IF($A96="","",IF(COUNTIFS('LỆNH ĐIỀU XE'!$B$5:$B$604,$A96,'LỆNH ĐIỀU XE'!$C$5:$C$604,$B96,'LỆNH ĐIỀU XE'!$N$5:$N$604,"Có")&gt;0,"Có","Không"))</f>
        <v/>
      </c>
      <c r="AI96" s="16" t="str">
        <f>IF(OR($A96="",H96="",N(T96)=0),"",IF(_xlfn.MAXIFS('LỆNH ĐIỀU XE'!$U$5:$U$604,'LỆNH ĐIỀU XE'!$B$5:$B$604,$A96,'LỆNH ĐIỀU XE'!$C$5:$C$604,$B96)=0,"",ROUND((H96+(H96&lt;4/24)-_xlfn.MAXIFS('LỆNH ĐIỀU XE'!$U$5:$U$604,'LỆNH ĐIỀU XE'!$B$5:$B$604,$A96,'LỆNH ĐIỀU XE'!$C$5:$C$604,$B96))*1440,0)))</f>
        <v/>
      </c>
      <c r="AJ96" s="16" t="str">
        <f>IF($A96="","",IF(OR(AI96="",V96=""),"Thiếu dữ liệu",IF(AND(AI96&lt;='THAM SỐ'!$B$29,ABS(V96)&lt;='THAM SỐ'!$B$28),"Đạt","Không đạt")))</f>
        <v/>
      </c>
      <c r="AK96" s="16" t="str">
        <f t="shared" si="18"/>
        <v/>
      </c>
      <c r="AL96" s="16" t="str">
        <f>IF($A96="","",TRIM(IF(T96=0,"Không có lệnh; ","")&amp;IF(N(N96)&gt;0,"Dừng ngoài lệnh; ","")&amp;IF(N(J96)&gt;0,"Quá tốc độ; ","")&amp;IF(N(K96)&gt;0,"Lái quá 4h; ","")&amp;IF(N(L96)&gt;0,"Không tắt máy; ","")&amp;IF(OR(P96&lt;&gt;"Đủ",Q96&lt;&gt;"Đủ",R96&lt;&gt;"Đủ"),"Thiếu ảnh; ","")&amp;IF(S96&lt;&gt;"Đạt","Lốp chưa đạt; ","")&amp;IF(N(W96)&gt;'THAM SỐ'!$B$27,"Có mặt quá giờ; ","")&amp;IF(N(X96)&gt;'THAM SỐ'!$B$25,"Lái quá giờ ngày; ","")&amp;IF(ISNUMBER(V96),IF(ABS(V96)&gt;'THAM SỐ'!$B$28,"Lệch km; ",""),"")))</f>
        <v/>
      </c>
      <c r="AM96" s="29"/>
      <c r="AN96" s="30"/>
      <c r="AO96" s="28" t="str">
        <f t="shared" si="19"/>
        <v/>
      </c>
      <c r="AP96" s="21" t="str">
        <f>IF(OR($A96="",AO96=""),"",IF(AG96=0,0,ROUND((AC96*'THAM SỐ'!$B$18+AD96*'THAM SỐ'!$B$19+AE96*'THAM SỐ'!$B$20+AF96*'THAM SỐ'!$B$21)*MIN(1,AO96/AG96),0)))</f>
        <v/>
      </c>
      <c r="AQ96" s="18"/>
    </row>
    <row r="97" spans="1:43" x14ac:dyDescent="0.45">
      <c r="A97" s="17"/>
      <c r="B97" s="18"/>
      <c r="C97" s="18"/>
      <c r="D97" s="25"/>
      <c r="E97" s="26"/>
      <c r="F97" s="26"/>
      <c r="G97" s="20"/>
      <c r="H97" s="20"/>
      <c r="I97" s="18"/>
      <c r="J97" s="18"/>
      <c r="K97" s="18"/>
      <c r="L97" s="18"/>
      <c r="M97" s="18"/>
      <c r="N97" s="18"/>
      <c r="O97" s="18"/>
      <c r="P97" s="18"/>
      <c r="Q97" s="18"/>
      <c r="R97" s="18"/>
      <c r="S97" s="18"/>
      <c r="T97" s="16" t="str">
        <f>IF($A97="","",COUNTIFS('LỆNH ĐIỀU XE'!$B$5:$B$604,$A97,'LỆNH ĐIỀU XE'!$C$5:$C$604,$B97))</f>
        <v/>
      </c>
      <c r="U97" s="27" t="str">
        <f>IF($A97="","",SUMIFS('LỆNH ĐIỀU XE'!$J$5:$J$604,'LỆNH ĐIỀU XE'!$B$5:$B$604,$A97,'LỆNH ĐIỀU XE'!$C$5:$C$604,$B97))</f>
        <v/>
      </c>
      <c r="V97" s="22" t="str">
        <f t="shared" si="10"/>
        <v/>
      </c>
      <c r="W97" s="28" t="str">
        <f t="shared" si="11"/>
        <v/>
      </c>
      <c r="X97" s="28" t="str">
        <f t="shared" si="12"/>
        <v/>
      </c>
      <c r="Y97" s="28" t="str">
        <f t="shared" si="13"/>
        <v/>
      </c>
      <c r="Z97" s="22" t="str">
        <f t="shared" si="14"/>
        <v/>
      </c>
      <c r="AA97" s="28" t="str">
        <f t="shared" si="15"/>
        <v/>
      </c>
      <c r="AB97" s="28" t="str">
        <f t="shared" si="16"/>
        <v/>
      </c>
      <c r="AC97" s="28" t="str">
        <f>IF($A97="","",SUMIFS('CHẶNG TĂNG CA'!$E$5:$E$304,'CHẶNG TĂNG CA'!$A$5:$A$304,$A97,'CHẶNG TĂNG CA'!$B$5:$B$304,$B97))</f>
        <v/>
      </c>
      <c r="AD97" s="28" t="str">
        <f>IF($A97="","",SUMIFS('CHẶNG TĂNG CA'!$F$5:$F$304,'CHẶNG TĂNG CA'!$A$5:$A$304,$A97,'CHẶNG TĂNG CA'!$B$5:$B$304,$B97))</f>
        <v/>
      </c>
      <c r="AE97" s="28" t="str">
        <f>IF($A97="","",SUMIFS('CHẶNG TĂNG CA'!$G$5:$G$304,'CHẶNG TĂNG CA'!$A$5:$A$304,$A97,'CHẶNG TĂNG CA'!$B$5:$B$304,$B97))</f>
        <v/>
      </c>
      <c r="AF97" s="28" t="str">
        <f>IF($A97="","",SUMIFS('CHẶNG TĂNG CA'!$H$5:$H$304,'CHẶNG TĂNG CA'!$A$5:$A$304,$A97,'CHẶNG TĂNG CA'!$B$5:$B$304,$B97))</f>
        <v/>
      </c>
      <c r="AG97" s="28" t="str">
        <f t="shared" si="17"/>
        <v/>
      </c>
      <c r="AH97" s="16" t="str">
        <f>IF($A97="","",IF(COUNTIFS('LỆNH ĐIỀU XE'!$B$5:$B$604,$A97,'LỆNH ĐIỀU XE'!$C$5:$C$604,$B97,'LỆNH ĐIỀU XE'!$N$5:$N$604,"Có")&gt;0,"Có","Không"))</f>
        <v/>
      </c>
      <c r="AI97" s="16" t="str">
        <f>IF(OR($A97="",H97="",N(T97)=0),"",IF(_xlfn.MAXIFS('LỆNH ĐIỀU XE'!$U$5:$U$604,'LỆNH ĐIỀU XE'!$B$5:$B$604,$A97,'LỆNH ĐIỀU XE'!$C$5:$C$604,$B97)=0,"",ROUND((H97+(H97&lt;4/24)-_xlfn.MAXIFS('LỆNH ĐIỀU XE'!$U$5:$U$604,'LỆNH ĐIỀU XE'!$B$5:$B$604,$A97,'LỆNH ĐIỀU XE'!$C$5:$C$604,$B97))*1440,0)))</f>
        <v/>
      </c>
      <c r="AJ97" s="16" t="str">
        <f>IF($A97="","",IF(OR(AI97="",V97=""),"Thiếu dữ liệu",IF(AND(AI97&lt;='THAM SỐ'!$B$29,ABS(V97)&lt;='THAM SỐ'!$B$28),"Đạt","Không đạt")))</f>
        <v/>
      </c>
      <c r="AK97" s="16" t="str">
        <f t="shared" si="18"/>
        <v/>
      </c>
      <c r="AL97" s="16" t="str">
        <f>IF($A97="","",TRIM(IF(T97=0,"Không có lệnh; ","")&amp;IF(N(N97)&gt;0,"Dừng ngoài lệnh; ","")&amp;IF(N(J97)&gt;0,"Quá tốc độ; ","")&amp;IF(N(K97)&gt;0,"Lái quá 4h; ","")&amp;IF(N(L97)&gt;0,"Không tắt máy; ","")&amp;IF(OR(P97&lt;&gt;"Đủ",Q97&lt;&gt;"Đủ",R97&lt;&gt;"Đủ"),"Thiếu ảnh; ","")&amp;IF(S97&lt;&gt;"Đạt","Lốp chưa đạt; ","")&amp;IF(N(W97)&gt;'THAM SỐ'!$B$27,"Có mặt quá giờ; ","")&amp;IF(N(X97)&gt;'THAM SỐ'!$B$25,"Lái quá giờ ngày; ","")&amp;IF(ISNUMBER(V97),IF(ABS(V97)&gt;'THAM SỐ'!$B$28,"Lệch km; ",""),"")))</f>
        <v/>
      </c>
      <c r="AM97" s="29"/>
      <c r="AN97" s="30"/>
      <c r="AO97" s="28" t="str">
        <f t="shared" si="19"/>
        <v/>
      </c>
      <c r="AP97" s="21" t="str">
        <f>IF(OR($A97="",AO97=""),"",IF(AG97=0,0,ROUND((AC97*'THAM SỐ'!$B$18+AD97*'THAM SỐ'!$B$19+AE97*'THAM SỐ'!$B$20+AF97*'THAM SỐ'!$B$21)*MIN(1,AO97/AG97),0)))</f>
        <v/>
      </c>
      <c r="AQ97" s="18"/>
    </row>
    <row r="98" spans="1:43" x14ac:dyDescent="0.45">
      <c r="A98" s="17"/>
      <c r="B98" s="18"/>
      <c r="C98" s="18"/>
      <c r="D98" s="25"/>
      <c r="E98" s="26"/>
      <c r="F98" s="26"/>
      <c r="G98" s="20"/>
      <c r="H98" s="20"/>
      <c r="I98" s="18"/>
      <c r="J98" s="18"/>
      <c r="K98" s="18"/>
      <c r="L98" s="18"/>
      <c r="M98" s="18"/>
      <c r="N98" s="18"/>
      <c r="O98" s="18"/>
      <c r="P98" s="18"/>
      <c r="Q98" s="18"/>
      <c r="R98" s="18"/>
      <c r="S98" s="18"/>
      <c r="T98" s="16" t="str">
        <f>IF($A98="","",COUNTIFS('LỆNH ĐIỀU XE'!$B$5:$B$604,$A98,'LỆNH ĐIỀU XE'!$C$5:$C$604,$B98))</f>
        <v/>
      </c>
      <c r="U98" s="27" t="str">
        <f>IF($A98="","",SUMIFS('LỆNH ĐIỀU XE'!$J$5:$J$604,'LỆNH ĐIỀU XE'!$B$5:$B$604,$A98,'LỆNH ĐIỀU XE'!$C$5:$C$604,$B98))</f>
        <v/>
      </c>
      <c r="V98" s="22" t="str">
        <f t="shared" si="10"/>
        <v/>
      </c>
      <c r="W98" s="28" t="str">
        <f t="shared" si="11"/>
        <v/>
      </c>
      <c r="X98" s="28" t="str">
        <f t="shared" si="12"/>
        <v/>
      </c>
      <c r="Y98" s="28" t="str">
        <f t="shared" si="13"/>
        <v/>
      </c>
      <c r="Z98" s="22" t="str">
        <f t="shared" si="14"/>
        <v/>
      </c>
      <c r="AA98" s="28" t="str">
        <f t="shared" si="15"/>
        <v/>
      </c>
      <c r="AB98" s="28" t="str">
        <f t="shared" si="16"/>
        <v/>
      </c>
      <c r="AC98" s="28" t="str">
        <f>IF($A98="","",SUMIFS('CHẶNG TĂNG CA'!$E$5:$E$304,'CHẶNG TĂNG CA'!$A$5:$A$304,$A98,'CHẶNG TĂNG CA'!$B$5:$B$304,$B98))</f>
        <v/>
      </c>
      <c r="AD98" s="28" t="str">
        <f>IF($A98="","",SUMIFS('CHẶNG TĂNG CA'!$F$5:$F$304,'CHẶNG TĂNG CA'!$A$5:$A$304,$A98,'CHẶNG TĂNG CA'!$B$5:$B$304,$B98))</f>
        <v/>
      </c>
      <c r="AE98" s="28" t="str">
        <f>IF($A98="","",SUMIFS('CHẶNG TĂNG CA'!$G$5:$G$304,'CHẶNG TĂNG CA'!$A$5:$A$304,$A98,'CHẶNG TĂNG CA'!$B$5:$B$304,$B98))</f>
        <v/>
      </c>
      <c r="AF98" s="28" t="str">
        <f>IF($A98="","",SUMIFS('CHẶNG TĂNG CA'!$H$5:$H$304,'CHẶNG TĂNG CA'!$A$5:$A$304,$A98,'CHẶNG TĂNG CA'!$B$5:$B$304,$B98))</f>
        <v/>
      </c>
      <c r="AG98" s="28" t="str">
        <f t="shared" si="17"/>
        <v/>
      </c>
      <c r="AH98" s="16" t="str">
        <f>IF($A98="","",IF(COUNTIFS('LỆNH ĐIỀU XE'!$B$5:$B$604,$A98,'LỆNH ĐIỀU XE'!$C$5:$C$604,$B98,'LỆNH ĐIỀU XE'!$N$5:$N$604,"Có")&gt;0,"Có","Không"))</f>
        <v/>
      </c>
      <c r="AI98" s="16" t="str">
        <f>IF(OR($A98="",H98="",N(T98)=0),"",IF(_xlfn.MAXIFS('LỆNH ĐIỀU XE'!$U$5:$U$604,'LỆNH ĐIỀU XE'!$B$5:$B$604,$A98,'LỆNH ĐIỀU XE'!$C$5:$C$604,$B98)=0,"",ROUND((H98+(H98&lt;4/24)-_xlfn.MAXIFS('LỆNH ĐIỀU XE'!$U$5:$U$604,'LỆNH ĐIỀU XE'!$B$5:$B$604,$A98,'LỆNH ĐIỀU XE'!$C$5:$C$604,$B98))*1440,0)))</f>
        <v/>
      </c>
      <c r="AJ98" s="16" t="str">
        <f>IF($A98="","",IF(OR(AI98="",V98=""),"Thiếu dữ liệu",IF(AND(AI98&lt;='THAM SỐ'!$B$29,ABS(V98)&lt;='THAM SỐ'!$B$28),"Đạt","Không đạt")))</f>
        <v/>
      </c>
      <c r="AK98" s="16" t="str">
        <f t="shared" si="18"/>
        <v/>
      </c>
      <c r="AL98" s="16" t="str">
        <f>IF($A98="","",TRIM(IF(T98=0,"Không có lệnh; ","")&amp;IF(N(N98)&gt;0,"Dừng ngoài lệnh; ","")&amp;IF(N(J98)&gt;0,"Quá tốc độ; ","")&amp;IF(N(K98)&gt;0,"Lái quá 4h; ","")&amp;IF(N(L98)&gt;0,"Không tắt máy; ","")&amp;IF(OR(P98&lt;&gt;"Đủ",Q98&lt;&gt;"Đủ",R98&lt;&gt;"Đủ"),"Thiếu ảnh; ","")&amp;IF(S98&lt;&gt;"Đạt","Lốp chưa đạt; ","")&amp;IF(N(W98)&gt;'THAM SỐ'!$B$27,"Có mặt quá giờ; ","")&amp;IF(N(X98)&gt;'THAM SỐ'!$B$25,"Lái quá giờ ngày; ","")&amp;IF(ISNUMBER(V98),IF(ABS(V98)&gt;'THAM SỐ'!$B$28,"Lệch km; ",""),"")))</f>
        <v/>
      </c>
      <c r="AM98" s="29"/>
      <c r="AN98" s="30"/>
      <c r="AO98" s="28" t="str">
        <f t="shared" si="19"/>
        <v/>
      </c>
      <c r="AP98" s="21" t="str">
        <f>IF(OR($A98="",AO98=""),"",IF(AG98=0,0,ROUND((AC98*'THAM SỐ'!$B$18+AD98*'THAM SỐ'!$B$19+AE98*'THAM SỐ'!$B$20+AF98*'THAM SỐ'!$B$21)*MIN(1,AO98/AG98),0)))</f>
        <v/>
      </c>
      <c r="AQ98" s="18"/>
    </row>
    <row r="99" spans="1:43" x14ac:dyDescent="0.45">
      <c r="A99" s="17"/>
      <c r="B99" s="18"/>
      <c r="C99" s="18"/>
      <c r="D99" s="25"/>
      <c r="E99" s="26"/>
      <c r="F99" s="26"/>
      <c r="G99" s="20"/>
      <c r="H99" s="20"/>
      <c r="I99" s="18"/>
      <c r="J99" s="18"/>
      <c r="K99" s="18"/>
      <c r="L99" s="18"/>
      <c r="M99" s="18"/>
      <c r="N99" s="18"/>
      <c r="O99" s="18"/>
      <c r="P99" s="18"/>
      <c r="Q99" s="18"/>
      <c r="R99" s="18"/>
      <c r="S99" s="18"/>
      <c r="T99" s="16" t="str">
        <f>IF($A99="","",COUNTIFS('LỆNH ĐIỀU XE'!$B$5:$B$604,$A99,'LỆNH ĐIỀU XE'!$C$5:$C$604,$B99))</f>
        <v/>
      </c>
      <c r="U99" s="27" t="str">
        <f>IF($A99="","",SUMIFS('LỆNH ĐIỀU XE'!$J$5:$J$604,'LỆNH ĐIỀU XE'!$B$5:$B$604,$A99,'LỆNH ĐIỀU XE'!$C$5:$C$604,$B99))</f>
        <v/>
      </c>
      <c r="V99" s="22" t="str">
        <f t="shared" si="10"/>
        <v/>
      </c>
      <c r="W99" s="28" t="str">
        <f t="shared" si="11"/>
        <v/>
      </c>
      <c r="X99" s="28" t="str">
        <f t="shared" si="12"/>
        <v/>
      </c>
      <c r="Y99" s="28" t="str">
        <f t="shared" si="13"/>
        <v/>
      </c>
      <c r="Z99" s="22" t="str">
        <f t="shared" si="14"/>
        <v/>
      </c>
      <c r="AA99" s="28" t="str">
        <f t="shared" si="15"/>
        <v/>
      </c>
      <c r="AB99" s="28" t="str">
        <f t="shared" si="16"/>
        <v/>
      </c>
      <c r="AC99" s="28" t="str">
        <f>IF($A99="","",SUMIFS('CHẶNG TĂNG CA'!$E$5:$E$304,'CHẶNG TĂNG CA'!$A$5:$A$304,$A99,'CHẶNG TĂNG CA'!$B$5:$B$304,$B99))</f>
        <v/>
      </c>
      <c r="AD99" s="28" t="str">
        <f>IF($A99="","",SUMIFS('CHẶNG TĂNG CA'!$F$5:$F$304,'CHẶNG TĂNG CA'!$A$5:$A$304,$A99,'CHẶNG TĂNG CA'!$B$5:$B$304,$B99))</f>
        <v/>
      </c>
      <c r="AE99" s="28" t="str">
        <f>IF($A99="","",SUMIFS('CHẶNG TĂNG CA'!$G$5:$G$304,'CHẶNG TĂNG CA'!$A$5:$A$304,$A99,'CHẶNG TĂNG CA'!$B$5:$B$304,$B99))</f>
        <v/>
      </c>
      <c r="AF99" s="28" t="str">
        <f>IF($A99="","",SUMIFS('CHẶNG TĂNG CA'!$H$5:$H$304,'CHẶNG TĂNG CA'!$A$5:$A$304,$A99,'CHẶNG TĂNG CA'!$B$5:$B$304,$B99))</f>
        <v/>
      </c>
      <c r="AG99" s="28" t="str">
        <f t="shared" si="17"/>
        <v/>
      </c>
      <c r="AH99" s="16" t="str">
        <f>IF($A99="","",IF(COUNTIFS('LỆNH ĐIỀU XE'!$B$5:$B$604,$A99,'LỆNH ĐIỀU XE'!$C$5:$C$604,$B99,'LỆNH ĐIỀU XE'!$N$5:$N$604,"Có")&gt;0,"Có","Không"))</f>
        <v/>
      </c>
      <c r="AI99" s="16" t="str">
        <f>IF(OR($A99="",H99="",N(T99)=0),"",IF(_xlfn.MAXIFS('LỆNH ĐIỀU XE'!$U$5:$U$604,'LỆNH ĐIỀU XE'!$B$5:$B$604,$A99,'LỆNH ĐIỀU XE'!$C$5:$C$604,$B99)=0,"",ROUND((H99+(H99&lt;4/24)-_xlfn.MAXIFS('LỆNH ĐIỀU XE'!$U$5:$U$604,'LỆNH ĐIỀU XE'!$B$5:$B$604,$A99,'LỆNH ĐIỀU XE'!$C$5:$C$604,$B99))*1440,0)))</f>
        <v/>
      </c>
      <c r="AJ99" s="16" t="str">
        <f>IF($A99="","",IF(OR(AI99="",V99=""),"Thiếu dữ liệu",IF(AND(AI99&lt;='THAM SỐ'!$B$29,ABS(V99)&lt;='THAM SỐ'!$B$28),"Đạt","Không đạt")))</f>
        <v/>
      </c>
      <c r="AK99" s="16" t="str">
        <f t="shared" si="18"/>
        <v/>
      </c>
      <c r="AL99" s="16" t="str">
        <f>IF($A99="","",TRIM(IF(T99=0,"Không có lệnh; ","")&amp;IF(N(N99)&gt;0,"Dừng ngoài lệnh; ","")&amp;IF(N(J99)&gt;0,"Quá tốc độ; ","")&amp;IF(N(K99)&gt;0,"Lái quá 4h; ","")&amp;IF(N(L99)&gt;0,"Không tắt máy; ","")&amp;IF(OR(P99&lt;&gt;"Đủ",Q99&lt;&gt;"Đủ",R99&lt;&gt;"Đủ"),"Thiếu ảnh; ","")&amp;IF(S99&lt;&gt;"Đạt","Lốp chưa đạt; ","")&amp;IF(N(W99)&gt;'THAM SỐ'!$B$27,"Có mặt quá giờ; ","")&amp;IF(N(X99)&gt;'THAM SỐ'!$B$25,"Lái quá giờ ngày; ","")&amp;IF(ISNUMBER(V99),IF(ABS(V99)&gt;'THAM SỐ'!$B$28,"Lệch km; ",""),"")))</f>
        <v/>
      </c>
      <c r="AM99" s="29"/>
      <c r="AN99" s="30"/>
      <c r="AO99" s="28" t="str">
        <f t="shared" si="19"/>
        <v/>
      </c>
      <c r="AP99" s="21" t="str">
        <f>IF(OR($A99="",AO99=""),"",IF(AG99=0,0,ROUND((AC99*'THAM SỐ'!$B$18+AD99*'THAM SỐ'!$B$19+AE99*'THAM SỐ'!$B$20+AF99*'THAM SỐ'!$B$21)*MIN(1,AO99/AG99),0)))</f>
        <v/>
      </c>
      <c r="AQ99" s="18"/>
    </row>
    <row r="100" spans="1:43" x14ac:dyDescent="0.45">
      <c r="A100" s="17"/>
      <c r="B100" s="18"/>
      <c r="C100" s="18"/>
      <c r="D100" s="25"/>
      <c r="E100" s="26"/>
      <c r="F100" s="26"/>
      <c r="G100" s="20"/>
      <c r="H100" s="20"/>
      <c r="I100" s="18"/>
      <c r="J100" s="18"/>
      <c r="K100" s="18"/>
      <c r="L100" s="18"/>
      <c r="M100" s="18"/>
      <c r="N100" s="18"/>
      <c r="O100" s="18"/>
      <c r="P100" s="18"/>
      <c r="Q100" s="18"/>
      <c r="R100" s="18"/>
      <c r="S100" s="18"/>
      <c r="T100" s="16" t="str">
        <f>IF($A100="","",COUNTIFS('LỆNH ĐIỀU XE'!$B$5:$B$604,$A100,'LỆNH ĐIỀU XE'!$C$5:$C$604,$B100))</f>
        <v/>
      </c>
      <c r="U100" s="27" t="str">
        <f>IF($A100="","",SUMIFS('LỆNH ĐIỀU XE'!$J$5:$J$604,'LỆNH ĐIỀU XE'!$B$5:$B$604,$A100,'LỆNH ĐIỀU XE'!$C$5:$C$604,$B100))</f>
        <v/>
      </c>
      <c r="V100" s="22" t="str">
        <f t="shared" si="10"/>
        <v/>
      </c>
      <c r="W100" s="28" t="str">
        <f t="shared" si="11"/>
        <v/>
      </c>
      <c r="X100" s="28" t="str">
        <f t="shared" si="12"/>
        <v/>
      </c>
      <c r="Y100" s="28" t="str">
        <f t="shared" si="13"/>
        <v/>
      </c>
      <c r="Z100" s="22" t="str">
        <f t="shared" si="14"/>
        <v/>
      </c>
      <c r="AA100" s="28" t="str">
        <f t="shared" si="15"/>
        <v/>
      </c>
      <c r="AB100" s="28" t="str">
        <f t="shared" si="16"/>
        <v/>
      </c>
      <c r="AC100" s="28" t="str">
        <f>IF($A100="","",SUMIFS('CHẶNG TĂNG CA'!$E$5:$E$304,'CHẶNG TĂNG CA'!$A$5:$A$304,$A100,'CHẶNG TĂNG CA'!$B$5:$B$304,$B100))</f>
        <v/>
      </c>
      <c r="AD100" s="28" t="str">
        <f>IF($A100="","",SUMIFS('CHẶNG TĂNG CA'!$F$5:$F$304,'CHẶNG TĂNG CA'!$A$5:$A$304,$A100,'CHẶNG TĂNG CA'!$B$5:$B$304,$B100))</f>
        <v/>
      </c>
      <c r="AE100" s="28" t="str">
        <f>IF($A100="","",SUMIFS('CHẶNG TĂNG CA'!$G$5:$G$304,'CHẶNG TĂNG CA'!$A$5:$A$304,$A100,'CHẶNG TĂNG CA'!$B$5:$B$304,$B100))</f>
        <v/>
      </c>
      <c r="AF100" s="28" t="str">
        <f>IF($A100="","",SUMIFS('CHẶNG TĂNG CA'!$H$5:$H$304,'CHẶNG TĂNG CA'!$A$5:$A$304,$A100,'CHẶNG TĂNG CA'!$B$5:$B$304,$B100))</f>
        <v/>
      </c>
      <c r="AG100" s="28" t="str">
        <f t="shared" si="17"/>
        <v/>
      </c>
      <c r="AH100" s="16" t="str">
        <f>IF($A100="","",IF(COUNTIFS('LỆNH ĐIỀU XE'!$B$5:$B$604,$A100,'LỆNH ĐIỀU XE'!$C$5:$C$604,$B100,'LỆNH ĐIỀU XE'!$N$5:$N$604,"Có")&gt;0,"Có","Không"))</f>
        <v/>
      </c>
      <c r="AI100" s="16" t="str">
        <f>IF(OR($A100="",H100="",N(T100)=0),"",IF(_xlfn.MAXIFS('LỆNH ĐIỀU XE'!$U$5:$U$604,'LỆNH ĐIỀU XE'!$B$5:$B$604,$A100,'LỆNH ĐIỀU XE'!$C$5:$C$604,$B100)=0,"",ROUND((H100+(H100&lt;4/24)-_xlfn.MAXIFS('LỆNH ĐIỀU XE'!$U$5:$U$604,'LỆNH ĐIỀU XE'!$B$5:$B$604,$A100,'LỆNH ĐIỀU XE'!$C$5:$C$604,$B100))*1440,0)))</f>
        <v/>
      </c>
      <c r="AJ100" s="16" t="str">
        <f>IF($A100="","",IF(OR(AI100="",V100=""),"Thiếu dữ liệu",IF(AND(AI100&lt;='THAM SỐ'!$B$29,ABS(V100)&lt;='THAM SỐ'!$B$28),"Đạt","Không đạt")))</f>
        <v/>
      </c>
      <c r="AK100" s="16" t="str">
        <f t="shared" si="18"/>
        <v/>
      </c>
      <c r="AL100" s="16" t="str">
        <f>IF($A100="","",TRIM(IF(T100=0,"Không có lệnh; ","")&amp;IF(N(N100)&gt;0,"Dừng ngoài lệnh; ","")&amp;IF(N(J100)&gt;0,"Quá tốc độ; ","")&amp;IF(N(K100)&gt;0,"Lái quá 4h; ","")&amp;IF(N(L100)&gt;0,"Không tắt máy; ","")&amp;IF(OR(P100&lt;&gt;"Đủ",Q100&lt;&gt;"Đủ",R100&lt;&gt;"Đủ"),"Thiếu ảnh; ","")&amp;IF(S100&lt;&gt;"Đạt","Lốp chưa đạt; ","")&amp;IF(N(W100)&gt;'THAM SỐ'!$B$27,"Có mặt quá giờ; ","")&amp;IF(N(X100)&gt;'THAM SỐ'!$B$25,"Lái quá giờ ngày; ","")&amp;IF(ISNUMBER(V100),IF(ABS(V100)&gt;'THAM SỐ'!$B$28,"Lệch km; ",""),"")))</f>
        <v/>
      </c>
      <c r="AM100" s="29"/>
      <c r="AN100" s="30"/>
      <c r="AO100" s="28" t="str">
        <f t="shared" si="19"/>
        <v/>
      </c>
      <c r="AP100" s="21" t="str">
        <f>IF(OR($A100="",AO100=""),"",IF(AG100=0,0,ROUND((AC100*'THAM SỐ'!$B$18+AD100*'THAM SỐ'!$B$19+AE100*'THAM SỐ'!$B$20+AF100*'THAM SỐ'!$B$21)*MIN(1,AO100/AG100),0)))</f>
        <v/>
      </c>
      <c r="AQ100" s="18"/>
    </row>
    <row r="101" spans="1:43" x14ac:dyDescent="0.45">
      <c r="A101" s="17"/>
      <c r="B101" s="18"/>
      <c r="C101" s="18"/>
      <c r="D101" s="25"/>
      <c r="E101" s="26"/>
      <c r="F101" s="26"/>
      <c r="G101" s="20"/>
      <c r="H101" s="20"/>
      <c r="I101" s="18"/>
      <c r="J101" s="18"/>
      <c r="K101" s="18"/>
      <c r="L101" s="18"/>
      <c r="M101" s="18"/>
      <c r="N101" s="18"/>
      <c r="O101" s="18"/>
      <c r="P101" s="18"/>
      <c r="Q101" s="18"/>
      <c r="R101" s="18"/>
      <c r="S101" s="18"/>
      <c r="T101" s="16" t="str">
        <f>IF($A101="","",COUNTIFS('LỆNH ĐIỀU XE'!$B$5:$B$604,$A101,'LỆNH ĐIỀU XE'!$C$5:$C$604,$B101))</f>
        <v/>
      </c>
      <c r="U101" s="27" t="str">
        <f>IF($A101="","",SUMIFS('LỆNH ĐIỀU XE'!$J$5:$J$604,'LỆNH ĐIỀU XE'!$B$5:$B$604,$A101,'LỆNH ĐIỀU XE'!$C$5:$C$604,$B101))</f>
        <v/>
      </c>
      <c r="V101" s="22" t="str">
        <f t="shared" si="10"/>
        <v/>
      </c>
      <c r="W101" s="28" t="str">
        <f t="shared" si="11"/>
        <v/>
      </c>
      <c r="X101" s="28" t="str">
        <f t="shared" si="12"/>
        <v/>
      </c>
      <c r="Y101" s="28" t="str">
        <f t="shared" si="13"/>
        <v/>
      </c>
      <c r="Z101" s="22" t="str">
        <f t="shared" si="14"/>
        <v/>
      </c>
      <c r="AA101" s="28" t="str">
        <f t="shared" si="15"/>
        <v/>
      </c>
      <c r="AB101" s="28" t="str">
        <f t="shared" si="16"/>
        <v/>
      </c>
      <c r="AC101" s="28" t="str">
        <f>IF($A101="","",SUMIFS('CHẶNG TĂNG CA'!$E$5:$E$304,'CHẶNG TĂNG CA'!$A$5:$A$304,$A101,'CHẶNG TĂNG CA'!$B$5:$B$304,$B101))</f>
        <v/>
      </c>
      <c r="AD101" s="28" t="str">
        <f>IF($A101="","",SUMIFS('CHẶNG TĂNG CA'!$F$5:$F$304,'CHẶNG TĂNG CA'!$A$5:$A$304,$A101,'CHẶNG TĂNG CA'!$B$5:$B$304,$B101))</f>
        <v/>
      </c>
      <c r="AE101" s="28" t="str">
        <f>IF($A101="","",SUMIFS('CHẶNG TĂNG CA'!$G$5:$G$304,'CHẶNG TĂNG CA'!$A$5:$A$304,$A101,'CHẶNG TĂNG CA'!$B$5:$B$304,$B101))</f>
        <v/>
      </c>
      <c r="AF101" s="28" t="str">
        <f>IF($A101="","",SUMIFS('CHẶNG TĂNG CA'!$H$5:$H$304,'CHẶNG TĂNG CA'!$A$5:$A$304,$A101,'CHẶNG TĂNG CA'!$B$5:$B$304,$B101))</f>
        <v/>
      </c>
      <c r="AG101" s="28" t="str">
        <f t="shared" si="17"/>
        <v/>
      </c>
      <c r="AH101" s="16" t="str">
        <f>IF($A101="","",IF(COUNTIFS('LỆNH ĐIỀU XE'!$B$5:$B$604,$A101,'LỆNH ĐIỀU XE'!$C$5:$C$604,$B101,'LỆNH ĐIỀU XE'!$N$5:$N$604,"Có")&gt;0,"Có","Không"))</f>
        <v/>
      </c>
      <c r="AI101" s="16" t="str">
        <f>IF(OR($A101="",H101="",N(T101)=0),"",IF(_xlfn.MAXIFS('LỆNH ĐIỀU XE'!$U$5:$U$604,'LỆNH ĐIỀU XE'!$B$5:$B$604,$A101,'LỆNH ĐIỀU XE'!$C$5:$C$604,$B101)=0,"",ROUND((H101+(H101&lt;4/24)-_xlfn.MAXIFS('LỆNH ĐIỀU XE'!$U$5:$U$604,'LỆNH ĐIỀU XE'!$B$5:$B$604,$A101,'LỆNH ĐIỀU XE'!$C$5:$C$604,$B101))*1440,0)))</f>
        <v/>
      </c>
      <c r="AJ101" s="16" t="str">
        <f>IF($A101="","",IF(OR(AI101="",V101=""),"Thiếu dữ liệu",IF(AND(AI101&lt;='THAM SỐ'!$B$29,ABS(V101)&lt;='THAM SỐ'!$B$28),"Đạt","Không đạt")))</f>
        <v/>
      </c>
      <c r="AK101" s="16" t="str">
        <f t="shared" si="18"/>
        <v/>
      </c>
      <c r="AL101" s="16" t="str">
        <f>IF($A101="","",TRIM(IF(T101=0,"Không có lệnh; ","")&amp;IF(N(N101)&gt;0,"Dừng ngoài lệnh; ","")&amp;IF(N(J101)&gt;0,"Quá tốc độ; ","")&amp;IF(N(K101)&gt;0,"Lái quá 4h; ","")&amp;IF(N(L101)&gt;0,"Không tắt máy; ","")&amp;IF(OR(P101&lt;&gt;"Đủ",Q101&lt;&gt;"Đủ",R101&lt;&gt;"Đủ"),"Thiếu ảnh; ","")&amp;IF(S101&lt;&gt;"Đạt","Lốp chưa đạt; ","")&amp;IF(N(W101)&gt;'THAM SỐ'!$B$27,"Có mặt quá giờ; ","")&amp;IF(N(X101)&gt;'THAM SỐ'!$B$25,"Lái quá giờ ngày; ","")&amp;IF(ISNUMBER(V101),IF(ABS(V101)&gt;'THAM SỐ'!$B$28,"Lệch km; ",""),"")))</f>
        <v/>
      </c>
      <c r="AM101" s="29"/>
      <c r="AN101" s="30"/>
      <c r="AO101" s="28" t="str">
        <f t="shared" si="19"/>
        <v/>
      </c>
      <c r="AP101" s="21" t="str">
        <f>IF(OR($A101="",AO101=""),"",IF(AG101=0,0,ROUND((AC101*'THAM SỐ'!$B$18+AD101*'THAM SỐ'!$B$19+AE101*'THAM SỐ'!$B$20+AF101*'THAM SỐ'!$B$21)*MIN(1,AO101/AG101),0)))</f>
        <v/>
      </c>
      <c r="AQ101" s="18"/>
    </row>
    <row r="102" spans="1:43" x14ac:dyDescent="0.45">
      <c r="A102" s="17"/>
      <c r="B102" s="18"/>
      <c r="C102" s="18"/>
      <c r="D102" s="25"/>
      <c r="E102" s="26"/>
      <c r="F102" s="26"/>
      <c r="G102" s="20"/>
      <c r="H102" s="20"/>
      <c r="I102" s="18"/>
      <c r="J102" s="18"/>
      <c r="K102" s="18"/>
      <c r="L102" s="18"/>
      <c r="M102" s="18"/>
      <c r="N102" s="18"/>
      <c r="O102" s="18"/>
      <c r="P102" s="18"/>
      <c r="Q102" s="18"/>
      <c r="R102" s="18"/>
      <c r="S102" s="18"/>
      <c r="T102" s="16" t="str">
        <f>IF($A102="","",COUNTIFS('LỆNH ĐIỀU XE'!$B$5:$B$604,$A102,'LỆNH ĐIỀU XE'!$C$5:$C$604,$B102))</f>
        <v/>
      </c>
      <c r="U102" s="27" t="str">
        <f>IF($A102="","",SUMIFS('LỆNH ĐIỀU XE'!$J$5:$J$604,'LỆNH ĐIỀU XE'!$B$5:$B$604,$A102,'LỆNH ĐIỀU XE'!$C$5:$C$604,$B102))</f>
        <v/>
      </c>
      <c r="V102" s="22" t="str">
        <f t="shared" si="10"/>
        <v/>
      </c>
      <c r="W102" s="28" t="str">
        <f t="shared" si="11"/>
        <v/>
      </c>
      <c r="X102" s="28" t="str">
        <f t="shared" si="12"/>
        <v/>
      </c>
      <c r="Y102" s="28" t="str">
        <f t="shared" si="13"/>
        <v/>
      </c>
      <c r="Z102" s="22" t="str">
        <f t="shared" si="14"/>
        <v/>
      </c>
      <c r="AA102" s="28" t="str">
        <f t="shared" si="15"/>
        <v/>
      </c>
      <c r="AB102" s="28" t="str">
        <f t="shared" si="16"/>
        <v/>
      </c>
      <c r="AC102" s="28" t="str">
        <f>IF($A102="","",SUMIFS('CHẶNG TĂNG CA'!$E$5:$E$304,'CHẶNG TĂNG CA'!$A$5:$A$304,$A102,'CHẶNG TĂNG CA'!$B$5:$B$304,$B102))</f>
        <v/>
      </c>
      <c r="AD102" s="28" t="str">
        <f>IF($A102="","",SUMIFS('CHẶNG TĂNG CA'!$F$5:$F$304,'CHẶNG TĂNG CA'!$A$5:$A$304,$A102,'CHẶNG TĂNG CA'!$B$5:$B$304,$B102))</f>
        <v/>
      </c>
      <c r="AE102" s="28" t="str">
        <f>IF($A102="","",SUMIFS('CHẶNG TĂNG CA'!$G$5:$G$304,'CHẶNG TĂNG CA'!$A$5:$A$304,$A102,'CHẶNG TĂNG CA'!$B$5:$B$304,$B102))</f>
        <v/>
      </c>
      <c r="AF102" s="28" t="str">
        <f>IF($A102="","",SUMIFS('CHẶNG TĂNG CA'!$H$5:$H$304,'CHẶNG TĂNG CA'!$A$5:$A$304,$A102,'CHẶNG TĂNG CA'!$B$5:$B$304,$B102))</f>
        <v/>
      </c>
      <c r="AG102" s="28" t="str">
        <f t="shared" si="17"/>
        <v/>
      </c>
      <c r="AH102" s="16" t="str">
        <f>IF($A102="","",IF(COUNTIFS('LỆNH ĐIỀU XE'!$B$5:$B$604,$A102,'LỆNH ĐIỀU XE'!$C$5:$C$604,$B102,'LỆNH ĐIỀU XE'!$N$5:$N$604,"Có")&gt;0,"Có","Không"))</f>
        <v/>
      </c>
      <c r="AI102" s="16" t="str">
        <f>IF(OR($A102="",H102="",N(T102)=0),"",IF(_xlfn.MAXIFS('LỆNH ĐIỀU XE'!$U$5:$U$604,'LỆNH ĐIỀU XE'!$B$5:$B$604,$A102,'LỆNH ĐIỀU XE'!$C$5:$C$604,$B102)=0,"",ROUND((H102+(H102&lt;4/24)-_xlfn.MAXIFS('LỆNH ĐIỀU XE'!$U$5:$U$604,'LỆNH ĐIỀU XE'!$B$5:$B$604,$A102,'LỆNH ĐIỀU XE'!$C$5:$C$604,$B102))*1440,0)))</f>
        <v/>
      </c>
      <c r="AJ102" s="16" t="str">
        <f>IF($A102="","",IF(OR(AI102="",V102=""),"Thiếu dữ liệu",IF(AND(AI102&lt;='THAM SỐ'!$B$29,ABS(V102)&lt;='THAM SỐ'!$B$28),"Đạt","Không đạt")))</f>
        <v/>
      </c>
      <c r="AK102" s="16" t="str">
        <f t="shared" si="18"/>
        <v/>
      </c>
      <c r="AL102" s="16" t="str">
        <f>IF($A102="","",TRIM(IF(T102=0,"Không có lệnh; ","")&amp;IF(N(N102)&gt;0,"Dừng ngoài lệnh; ","")&amp;IF(N(J102)&gt;0,"Quá tốc độ; ","")&amp;IF(N(K102)&gt;0,"Lái quá 4h; ","")&amp;IF(N(L102)&gt;0,"Không tắt máy; ","")&amp;IF(OR(P102&lt;&gt;"Đủ",Q102&lt;&gt;"Đủ",R102&lt;&gt;"Đủ"),"Thiếu ảnh; ","")&amp;IF(S102&lt;&gt;"Đạt","Lốp chưa đạt; ","")&amp;IF(N(W102)&gt;'THAM SỐ'!$B$27,"Có mặt quá giờ; ","")&amp;IF(N(X102)&gt;'THAM SỐ'!$B$25,"Lái quá giờ ngày; ","")&amp;IF(ISNUMBER(V102),IF(ABS(V102)&gt;'THAM SỐ'!$B$28,"Lệch km; ",""),"")))</f>
        <v/>
      </c>
      <c r="AM102" s="29"/>
      <c r="AN102" s="30"/>
      <c r="AO102" s="28" t="str">
        <f t="shared" si="19"/>
        <v/>
      </c>
      <c r="AP102" s="21" t="str">
        <f>IF(OR($A102="",AO102=""),"",IF(AG102=0,0,ROUND((AC102*'THAM SỐ'!$B$18+AD102*'THAM SỐ'!$B$19+AE102*'THAM SỐ'!$B$20+AF102*'THAM SỐ'!$B$21)*MIN(1,AO102/AG102),0)))</f>
        <v/>
      </c>
      <c r="AQ102" s="18"/>
    </row>
    <row r="103" spans="1:43" x14ac:dyDescent="0.45">
      <c r="A103" s="17"/>
      <c r="B103" s="18"/>
      <c r="C103" s="18"/>
      <c r="D103" s="25"/>
      <c r="E103" s="26"/>
      <c r="F103" s="26"/>
      <c r="G103" s="20"/>
      <c r="H103" s="20"/>
      <c r="I103" s="18"/>
      <c r="J103" s="18"/>
      <c r="K103" s="18"/>
      <c r="L103" s="18"/>
      <c r="M103" s="18"/>
      <c r="N103" s="18"/>
      <c r="O103" s="18"/>
      <c r="P103" s="18"/>
      <c r="Q103" s="18"/>
      <c r="R103" s="18"/>
      <c r="S103" s="18"/>
      <c r="T103" s="16" t="str">
        <f>IF($A103="","",COUNTIFS('LỆNH ĐIỀU XE'!$B$5:$B$604,$A103,'LỆNH ĐIỀU XE'!$C$5:$C$604,$B103))</f>
        <v/>
      </c>
      <c r="U103" s="27" t="str">
        <f>IF($A103="","",SUMIFS('LỆNH ĐIỀU XE'!$J$5:$J$604,'LỆNH ĐIỀU XE'!$B$5:$B$604,$A103,'LỆNH ĐIỀU XE'!$C$5:$C$604,$B103))</f>
        <v/>
      </c>
      <c r="V103" s="22" t="str">
        <f t="shared" si="10"/>
        <v/>
      </c>
      <c r="W103" s="28" t="str">
        <f t="shared" si="11"/>
        <v/>
      </c>
      <c r="X103" s="28" t="str">
        <f t="shared" si="12"/>
        <v/>
      </c>
      <c r="Y103" s="28" t="str">
        <f t="shared" si="13"/>
        <v/>
      </c>
      <c r="Z103" s="22" t="str">
        <f t="shared" si="14"/>
        <v/>
      </c>
      <c r="AA103" s="28" t="str">
        <f t="shared" si="15"/>
        <v/>
      </c>
      <c r="AB103" s="28" t="str">
        <f t="shared" si="16"/>
        <v/>
      </c>
      <c r="AC103" s="28" t="str">
        <f>IF($A103="","",SUMIFS('CHẶNG TĂNG CA'!$E$5:$E$304,'CHẶNG TĂNG CA'!$A$5:$A$304,$A103,'CHẶNG TĂNG CA'!$B$5:$B$304,$B103))</f>
        <v/>
      </c>
      <c r="AD103" s="28" t="str">
        <f>IF($A103="","",SUMIFS('CHẶNG TĂNG CA'!$F$5:$F$304,'CHẶNG TĂNG CA'!$A$5:$A$304,$A103,'CHẶNG TĂNG CA'!$B$5:$B$304,$B103))</f>
        <v/>
      </c>
      <c r="AE103" s="28" t="str">
        <f>IF($A103="","",SUMIFS('CHẶNG TĂNG CA'!$G$5:$G$304,'CHẶNG TĂNG CA'!$A$5:$A$304,$A103,'CHẶNG TĂNG CA'!$B$5:$B$304,$B103))</f>
        <v/>
      </c>
      <c r="AF103" s="28" t="str">
        <f>IF($A103="","",SUMIFS('CHẶNG TĂNG CA'!$H$5:$H$304,'CHẶNG TĂNG CA'!$A$5:$A$304,$A103,'CHẶNG TĂNG CA'!$B$5:$B$304,$B103))</f>
        <v/>
      </c>
      <c r="AG103" s="28" t="str">
        <f t="shared" si="17"/>
        <v/>
      </c>
      <c r="AH103" s="16" t="str">
        <f>IF($A103="","",IF(COUNTIFS('LỆNH ĐIỀU XE'!$B$5:$B$604,$A103,'LỆNH ĐIỀU XE'!$C$5:$C$604,$B103,'LỆNH ĐIỀU XE'!$N$5:$N$604,"Có")&gt;0,"Có","Không"))</f>
        <v/>
      </c>
      <c r="AI103" s="16" t="str">
        <f>IF(OR($A103="",H103="",N(T103)=0),"",IF(_xlfn.MAXIFS('LỆNH ĐIỀU XE'!$U$5:$U$604,'LỆNH ĐIỀU XE'!$B$5:$B$604,$A103,'LỆNH ĐIỀU XE'!$C$5:$C$604,$B103)=0,"",ROUND((H103+(H103&lt;4/24)-_xlfn.MAXIFS('LỆNH ĐIỀU XE'!$U$5:$U$604,'LỆNH ĐIỀU XE'!$B$5:$B$604,$A103,'LỆNH ĐIỀU XE'!$C$5:$C$604,$B103))*1440,0)))</f>
        <v/>
      </c>
      <c r="AJ103" s="16" t="str">
        <f>IF($A103="","",IF(OR(AI103="",V103=""),"Thiếu dữ liệu",IF(AND(AI103&lt;='THAM SỐ'!$B$29,ABS(V103)&lt;='THAM SỐ'!$B$28),"Đạt","Không đạt")))</f>
        <v/>
      </c>
      <c r="AK103" s="16" t="str">
        <f t="shared" si="18"/>
        <v/>
      </c>
      <c r="AL103" s="16" t="str">
        <f>IF($A103="","",TRIM(IF(T103=0,"Không có lệnh; ","")&amp;IF(N(N103)&gt;0,"Dừng ngoài lệnh; ","")&amp;IF(N(J103)&gt;0,"Quá tốc độ; ","")&amp;IF(N(K103)&gt;0,"Lái quá 4h; ","")&amp;IF(N(L103)&gt;0,"Không tắt máy; ","")&amp;IF(OR(P103&lt;&gt;"Đủ",Q103&lt;&gt;"Đủ",R103&lt;&gt;"Đủ"),"Thiếu ảnh; ","")&amp;IF(S103&lt;&gt;"Đạt","Lốp chưa đạt; ","")&amp;IF(N(W103)&gt;'THAM SỐ'!$B$27,"Có mặt quá giờ; ","")&amp;IF(N(X103)&gt;'THAM SỐ'!$B$25,"Lái quá giờ ngày; ","")&amp;IF(ISNUMBER(V103),IF(ABS(V103)&gt;'THAM SỐ'!$B$28,"Lệch km; ",""),"")))</f>
        <v/>
      </c>
      <c r="AM103" s="29"/>
      <c r="AN103" s="30"/>
      <c r="AO103" s="28" t="str">
        <f t="shared" si="19"/>
        <v/>
      </c>
      <c r="AP103" s="21" t="str">
        <f>IF(OR($A103="",AO103=""),"",IF(AG103=0,0,ROUND((AC103*'THAM SỐ'!$B$18+AD103*'THAM SỐ'!$B$19+AE103*'THAM SỐ'!$B$20+AF103*'THAM SỐ'!$B$21)*MIN(1,AO103/AG103),0)))</f>
        <v/>
      </c>
      <c r="AQ103" s="18"/>
    </row>
    <row r="104" spans="1:43" x14ac:dyDescent="0.45">
      <c r="A104" s="17"/>
      <c r="B104" s="18"/>
      <c r="C104" s="18"/>
      <c r="D104" s="25"/>
      <c r="E104" s="26"/>
      <c r="F104" s="26"/>
      <c r="G104" s="20"/>
      <c r="H104" s="20"/>
      <c r="I104" s="18"/>
      <c r="J104" s="18"/>
      <c r="K104" s="18"/>
      <c r="L104" s="18"/>
      <c r="M104" s="18"/>
      <c r="N104" s="18"/>
      <c r="O104" s="18"/>
      <c r="P104" s="18"/>
      <c r="Q104" s="18"/>
      <c r="R104" s="18"/>
      <c r="S104" s="18"/>
      <c r="T104" s="16" t="str">
        <f>IF($A104="","",COUNTIFS('LỆNH ĐIỀU XE'!$B$5:$B$604,$A104,'LỆNH ĐIỀU XE'!$C$5:$C$604,$B104))</f>
        <v/>
      </c>
      <c r="U104" s="27" t="str">
        <f>IF($A104="","",SUMIFS('LỆNH ĐIỀU XE'!$J$5:$J$604,'LỆNH ĐIỀU XE'!$B$5:$B$604,$A104,'LỆNH ĐIỀU XE'!$C$5:$C$604,$B104))</f>
        <v/>
      </c>
      <c r="V104" s="22" t="str">
        <f t="shared" si="10"/>
        <v/>
      </c>
      <c r="W104" s="28" t="str">
        <f t="shared" si="11"/>
        <v/>
      </c>
      <c r="X104" s="28" t="str">
        <f t="shared" si="12"/>
        <v/>
      </c>
      <c r="Y104" s="28" t="str">
        <f t="shared" si="13"/>
        <v/>
      </c>
      <c r="Z104" s="22" t="str">
        <f t="shared" si="14"/>
        <v/>
      </c>
      <c r="AA104" s="28" t="str">
        <f t="shared" si="15"/>
        <v/>
      </c>
      <c r="AB104" s="28" t="str">
        <f t="shared" si="16"/>
        <v/>
      </c>
      <c r="AC104" s="28" t="str">
        <f>IF($A104="","",SUMIFS('CHẶNG TĂNG CA'!$E$5:$E$304,'CHẶNG TĂNG CA'!$A$5:$A$304,$A104,'CHẶNG TĂNG CA'!$B$5:$B$304,$B104))</f>
        <v/>
      </c>
      <c r="AD104" s="28" t="str">
        <f>IF($A104="","",SUMIFS('CHẶNG TĂNG CA'!$F$5:$F$304,'CHẶNG TĂNG CA'!$A$5:$A$304,$A104,'CHẶNG TĂNG CA'!$B$5:$B$304,$B104))</f>
        <v/>
      </c>
      <c r="AE104" s="28" t="str">
        <f>IF($A104="","",SUMIFS('CHẶNG TĂNG CA'!$G$5:$G$304,'CHẶNG TĂNG CA'!$A$5:$A$304,$A104,'CHẶNG TĂNG CA'!$B$5:$B$304,$B104))</f>
        <v/>
      </c>
      <c r="AF104" s="28" t="str">
        <f>IF($A104="","",SUMIFS('CHẶNG TĂNG CA'!$H$5:$H$304,'CHẶNG TĂNG CA'!$A$5:$A$304,$A104,'CHẶNG TĂNG CA'!$B$5:$B$304,$B104))</f>
        <v/>
      </c>
      <c r="AG104" s="28" t="str">
        <f t="shared" si="17"/>
        <v/>
      </c>
      <c r="AH104" s="16" t="str">
        <f>IF($A104="","",IF(COUNTIFS('LỆNH ĐIỀU XE'!$B$5:$B$604,$A104,'LỆNH ĐIỀU XE'!$C$5:$C$604,$B104,'LỆNH ĐIỀU XE'!$N$5:$N$604,"Có")&gt;0,"Có","Không"))</f>
        <v/>
      </c>
      <c r="AI104" s="16" t="str">
        <f>IF(OR($A104="",H104="",N(T104)=0),"",IF(_xlfn.MAXIFS('LỆNH ĐIỀU XE'!$U$5:$U$604,'LỆNH ĐIỀU XE'!$B$5:$B$604,$A104,'LỆNH ĐIỀU XE'!$C$5:$C$604,$B104)=0,"",ROUND((H104+(H104&lt;4/24)-_xlfn.MAXIFS('LỆNH ĐIỀU XE'!$U$5:$U$604,'LỆNH ĐIỀU XE'!$B$5:$B$604,$A104,'LỆNH ĐIỀU XE'!$C$5:$C$604,$B104))*1440,0)))</f>
        <v/>
      </c>
      <c r="AJ104" s="16" t="str">
        <f>IF($A104="","",IF(OR(AI104="",V104=""),"Thiếu dữ liệu",IF(AND(AI104&lt;='THAM SỐ'!$B$29,ABS(V104)&lt;='THAM SỐ'!$B$28),"Đạt","Không đạt")))</f>
        <v/>
      </c>
      <c r="AK104" s="16" t="str">
        <f t="shared" si="18"/>
        <v/>
      </c>
      <c r="AL104" s="16" t="str">
        <f>IF($A104="","",TRIM(IF(T104=0,"Không có lệnh; ","")&amp;IF(N(N104)&gt;0,"Dừng ngoài lệnh; ","")&amp;IF(N(J104)&gt;0,"Quá tốc độ; ","")&amp;IF(N(K104)&gt;0,"Lái quá 4h; ","")&amp;IF(N(L104)&gt;0,"Không tắt máy; ","")&amp;IF(OR(P104&lt;&gt;"Đủ",Q104&lt;&gt;"Đủ",R104&lt;&gt;"Đủ"),"Thiếu ảnh; ","")&amp;IF(S104&lt;&gt;"Đạt","Lốp chưa đạt; ","")&amp;IF(N(W104)&gt;'THAM SỐ'!$B$27,"Có mặt quá giờ; ","")&amp;IF(N(X104)&gt;'THAM SỐ'!$B$25,"Lái quá giờ ngày; ","")&amp;IF(ISNUMBER(V104),IF(ABS(V104)&gt;'THAM SỐ'!$B$28,"Lệch km; ",""),"")))</f>
        <v/>
      </c>
      <c r="AM104" s="29"/>
      <c r="AN104" s="30"/>
      <c r="AO104" s="28" t="str">
        <f t="shared" si="19"/>
        <v/>
      </c>
      <c r="AP104" s="21" t="str">
        <f>IF(OR($A104="",AO104=""),"",IF(AG104=0,0,ROUND((AC104*'THAM SỐ'!$B$18+AD104*'THAM SỐ'!$B$19+AE104*'THAM SỐ'!$B$20+AF104*'THAM SỐ'!$B$21)*MIN(1,AO104/AG104),0)))</f>
        <v/>
      </c>
      <c r="AQ104" s="18"/>
    </row>
    <row r="105" spans="1:43" x14ac:dyDescent="0.45">
      <c r="A105" s="17"/>
      <c r="B105" s="18"/>
      <c r="C105" s="18"/>
      <c r="D105" s="25"/>
      <c r="E105" s="26"/>
      <c r="F105" s="26"/>
      <c r="G105" s="20"/>
      <c r="H105" s="20"/>
      <c r="I105" s="18"/>
      <c r="J105" s="18"/>
      <c r="K105" s="18"/>
      <c r="L105" s="18"/>
      <c r="M105" s="18"/>
      <c r="N105" s="18"/>
      <c r="O105" s="18"/>
      <c r="P105" s="18"/>
      <c r="Q105" s="18"/>
      <c r="R105" s="18"/>
      <c r="S105" s="18"/>
      <c r="T105" s="16" t="str">
        <f>IF($A105="","",COUNTIFS('LỆNH ĐIỀU XE'!$B$5:$B$604,$A105,'LỆNH ĐIỀU XE'!$C$5:$C$604,$B105))</f>
        <v/>
      </c>
      <c r="U105" s="27" t="str">
        <f>IF($A105="","",SUMIFS('LỆNH ĐIỀU XE'!$J$5:$J$604,'LỆNH ĐIỀU XE'!$B$5:$B$604,$A105,'LỆNH ĐIỀU XE'!$C$5:$C$604,$B105))</f>
        <v/>
      </c>
      <c r="V105" s="22" t="str">
        <f t="shared" si="10"/>
        <v/>
      </c>
      <c r="W105" s="28" t="str">
        <f t="shared" si="11"/>
        <v/>
      </c>
      <c r="X105" s="28" t="str">
        <f t="shared" si="12"/>
        <v/>
      </c>
      <c r="Y105" s="28" t="str">
        <f t="shared" si="13"/>
        <v/>
      </c>
      <c r="Z105" s="22" t="str">
        <f t="shared" si="14"/>
        <v/>
      </c>
      <c r="AA105" s="28" t="str">
        <f t="shared" si="15"/>
        <v/>
      </c>
      <c r="AB105" s="28" t="str">
        <f t="shared" si="16"/>
        <v/>
      </c>
      <c r="AC105" s="28" t="str">
        <f>IF($A105="","",SUMIFS('CHẶNG TĂNG CA'!$E$5:$E$304,'CHẶNG TĂNG CA'!$A$5:$A$304,$A105,'CHẶNG TĂNG CA'!$B$5:$B$304,$B105))</f>
        <v/>
      </c>
      <c r="AD105" s="28" t="str">
        <f>IF($A105="","",SUMIFS('CHẶNG TĂNG CA'!$F$5:$F$304,'CHẶNG TĂNG CA'!$A$5:$A$304,$A105,'CHẶNG TĂNG CA'!$B$5:$B$304,$B105))</f>
        <v/>
      </c>
      <c r="AE105" s="28" t="str">
        <f>IF($A105="","",SUMIFS('CHẶNG TĂNG CA'!$G$5:$G$304,'CHẶNG TĂNG CA'!$A$5:$A$304,$A105,'CHẶNG TĂNG CA'!$B$5:$B$304,$B105))</f>
        <v/>
      </c>
      <c r="AF105" s="28" t="str">
        <f>IF($A105="","",SUMIFS('CHẶNG TĂNG CA'!$H$5:$H$304,'CHẶNG TĂNG CA'!$A$5:$A$304,$A105,'CHẶNG TĂNG CA'!$B$5:$B$304,$B105))</f>
        <v/>
      </c>
      <c r="AG105" s="28" t="str">
        <f t="shared" si="17"/>
        <v/>
      </c>
      <c r="AH105" s="16" t="str">
        <f>IF($A105="","",IF(COUNTIFS('LỆNH ĐIỀU XE'!$B$5:$B$604,$A105,'LỆNH ĐIỀU XE'!$C$5:$C$604,$B105,'LỆNH ĐIỀU XE'!$N$5:$N$604,"Có")&gt;0,"Có","Không"))</f>
        <v/>
      </c>
      <c r="AI105" s="16" t="str">
        <f>IF(OR($A105="",H105="",N(T105)=0),"",IF(_xlfn.MAXIFS('LỆNH ĐIỀU XE'!$U$5:$U$604,'LỆNH ĐIỀU XE'!$B$5:$B$604,$A105,'LỆNH ĐIỀU XE'!$C$5:$C$604,$B105)=0,"",ROUND((H105+(H105&lt;4/24)-_xlfn.MAXIFS('LỆNH ĐIỀU XE'!$U$5:$U$604,'LỆNH ĐIỀU XE'!$B$5:$B$604,$A105,'LỆNH ĐIỀU XE'!$C$5:$C$604,$B105))*1440,0)))</f>
        <v/>
      </c>
      <c r="AJ105" s="16" t="str">
        <f>IF($A105="","",IF(OR(AI105="",V105=""),"Thiếu dữ liệu",IF(AND(AI105&lt;='THAM SỐ'!$B$29,ABS(V105)&lt;='THAM SỐ'!$B$28),"Đạt","Không đạt")))</f>
        <v/>
      </c>
      <c r="AK105" s="16" t="str">
        <f t="shared" si="18"/>
        <v/>
      </c>
      <c r="AL105" s="16" t="str">
        <f>IF($A105="","",TRIM(IF(T105=0,"Không có lệnh; ","")&amp;IF(N(N105)&gt;0,"Dừng ngoài lệnh; ","")&amp;IF(N(J105)&gt;0,"Quá tốc độ; ","")&amp;IF(N(K105)&gt;0,"Lái quá 4h; ","")&amp;IF(N(L105)&gt;0,"Không tắt máy; ","")&amp;IF(OR(P105&lt;&gt;"Đủ",Q105&lt;&gt;"Đủ",R105&lt;&gt;"Đủ"),"Thiếu ảnh; ","")&amp;IF(S105&lt;&gt;"Đạt","Lốp chưa đạt; ","")&amp;IF(N(W105)&gt;'THAM SỐ'!$B$27,"Có mặt quá giờ; ","")&amp;IF(N(X105)&gt;'THAM SỐ'!$B$25,"Lái quá giờ ngày; ","")&amp;IF(ISNUMBER(V105),IF(ABS(V105)&gt;'THAM SỐ'!$B$28,"Lệch km; ",""),"")))</f>
        <v/>
      </c>
      <c r="AM105" s="29"/>
      <c r="AN105" s="30"/>
      <c r="AO105" s="28" t="str">
        <f t="shared" si="19"/>
        <v/>
      </c>
      <c r="AP105" s="21" t="str">
        <f>IF(OR($A105="",AO105=""),"",IF(AG105=0,0,ROUND((AC105*'THAM SỐ'!$B$18+AD105*'THAM SỐ'!$B$19+AE105*'THAM SỐ'!$B$20+AF105*'THAM SỐ'!$B$21)*MIN(1,AO105/AG105),0)))</f>
        <v/>
      </c>
      <c r="AQ105" s="18"/>
    </row>
    <row r="106" spans="1:43" x14ac:dyDescent="0.45">
      <c r="A106" s="17"/>
      <c r="B106" s="18"/>
      <c r="C106" s="18"/>
      <c r="D106" s="25"/>
      <c r="E106" s="26"/>
      <c r="F106" s="26"/>
      <c r="G106" s="20"/>
      <c r="H106" s="20"/>
      <c r="I106" s="18"/>
      <c r="J106" s="18"/>
      <c r="K106" s="18"/>
      <c r="L106" s="18"/>
      <c r="M106" s="18"/>
      <c r="N106" s="18"/>
      <c r="O106" s="18"/>
      <c r="P106" s="18"/>
      <c r="Q106" s="18"/>
      <c r="R106" s="18"/>
      <c r="S106" s="18"/>
      <c r="T106" s="16" t="str">
        <f>IF($A106="","",COUNTIFS('LỆNH ĐIỀU XE'!$B$5:$B$604,$A106,'LỆNH ĐIỀU XE'!$C$5:$C$604,$B106))</f>
        <v/>
      </c>
      <c r="U106" s="27" t="str">
        <f>IF($A106="","",SUMIFS('LỆNH ĐIỀU XE'!$J$5:$J$604,'LỆNH ĐIỀU XE'!$B$5:$B$604,$A106,'LỆNH ĐIỀU XE'!$C$5:$C$604,$B106))</f>
        <v/>
      </c>
      <c r="V106" s="22" t="str">
        <f t="shared" si="10"/>
        <v/>
      </c>
      <c r="W106" s="28" t="str">
        <f t="shared" si="11"/>
        <v/>
      </c>
      <c r="X106" s="28" t="str">
        <f t="shared" si="12"/>
        <v/>
      </c>
      <c r="Y106" s="28" t="str">
        <f t="shared" si="13"/>
        <v/>
      </c>
      <c r="Z106" s="22" t="str">
        <f t="shared" si="14"/>
        <v/>
      </c>
      <c r="AA106" s="28" t="str">
        <f t="shared" si="15"/>
        <v/>
      </c>
      <c r="AB106" s="28" t="str">
        <f t="shared" si="16"/>
        <v/>
      </c>
      <c r="AC106" s="28" t="str">
        <f>IF($A106="","",SUMIFS('CHẶNG TĂNG CA'!$E$5:$E$304,'CHẶNG TĂNG CA'!$A$5:$A$304,$A106,'CHẶNG TĂNG CA'!$B$5:$B$304,$B106))</f>
        <v/>
      </c>
      <c r="AD106" s="28" t="str">
        <f>IF($A106="","",SUMIFS('CHẶNG TĂNG CA'!$F$5:$F$304,'CHẶNG TĂNG CA'!$A$5:$A$304,$A106,'CHẶNG TĂNG CA'!$B$5:$B$304,$B106))</f>
        <v/>
      </c>
      <c r="AE106" s="28" t="str">
        <f>IF($A106="","",SUMIFS('CHẶNG TĂNG CA'!$G$5:$G$304,'CHẶNG TĂNG CA'!$A$5:$A$304,$A106,'CHẶNG TĂNG CA'!$B$5:$B$304,$B106))</f>
        <v/>
      </c>
      <c r="AF106" s="28" t="str">
        <f>IF($A106="","",SUMIFS('CHẶNG TĂNG CA'!$H$5:$H$304,'CHẶNG TĂNG CA'!$A$5:$A$304,$A106,'CHẶNG TĂNG CA'!$B$5:$B$304,$B106))</f>
        <v/>
      </c>
      <c r="AG106" s="28" t="str">
        <f t="shared" si="17"/>
        <v/>
      </c>
      <c r="AH106" s="16" t="str">
        <f>IF($A106="","",IF(COUNTIFS('LỆNH ĐIỀU XE'!$B$5:$B$604,$A106,'LỆNH ĐIỀU XE'!$C$5:$C$604,$B106,'LỆNH ĐIỀU XE'!$N$5:$N$604,"Có")&gt;0,"Có","Không"))</f>
        <v/>
      </c>
      <c r="AI106" s="16" t="str">
        <f>IF(OR($A106="",H106="",N(T106)=0),"",IF(_xlfn.MAXIFS('LỆNH ĐIỀU XE'!$U$5:$U$604,'LỆNH ĐIỀU XE'!$B$5:$B$604,$A106,'LỆNH ĐIỀU XE'!$C$5:$C$604,$B106)=0,"",ROUND((H106+(H106&lt;4/24)-_xlfn.MAXIFS('LỆNH ĐIỀU XE'!$U$5:$U$604,'LỆNH ĐIỀU XE'!$B$5:$B$604,$A106,'LỆNH ĐIỀU XE'!$C$5:$C$604,$B106))*1440,0)))</f>
        <v/>
      </c>
      <c r="AJ106" s="16" t="str">
        <f>IF($A106="","",IF(OR(AI106="",V106=""),"Thiếu dữ liệu",IF(AND(AI106&lt;='THAM SỐ'!$B$29,ABS(V106)&lt;='THAM SỐ'!$B$28),"Đạt","Không đạt")))</f>
        <v/>
      </c>
      <c r="AK106" s="16" t="str">
        <f t="shared" si="18"/>
        <v/>
      </c>
      <c r="AL106" s="16" t="str">
        <f>IF($A106="","",TRIM(IF(T106=0,"Không có lệnh; ","")&amp;IF(N(N106)&gt;0,"Dừng ngoài lệnh; ","")&amp;IF(N(J106)&gt;0,"Quá tốc độ; ","")&amp;IF(N(K106)&gt;0,"Lái quá 4h; ","")&amp;IF(N(L106)&gt;0,"Không tắt máy; ","")&amp;IF(OR(P106&lt;&gt;"Đủ",Q106&lt;&gt;"Đủ",R106&lt;&gt;"Đủ"),"Thiếu ảnh; ","")&amp;IF(S106&lt;&gt;"Đạt","Lốp chưa đạt; ","")&amp;IF(N(W106)&gt;'THAM SỐ'!$B$27,"Có mặt quá giờ; ","")&amp;IF(N(X106)&gt;'THAM SỐ'!$B$25,"Lái quá giờ ngày; ","")&amp;IF(ISNUMBER(V106),IF(ABS(V106)&gt;'THAM SỐ'!$B$28,"Lệch km; ",""),"")))</f>
        <v/>
      </c>
      <c r="AM106" s="29"/>
      <c r="AN106" s="30"/>
      <c r="AO106" s="28" t="str">
        <f t="shared" si="19"/>
        <v/>
      </c>
      <c r="AP106" s="21" t="str">
        <f>IF(OR($A106="",AO106=""),"",IF(AG106=0,0,ROUND((AC106*'THAM SỐ'!$B$18+AD106*'THAM SỐ'!$B$19+AE106*'THAM SỐ'!$B$20+AF106*'THAM SỐ'!$B$21)*MIN(1,AO106/AG106),0)))</f>
        <v/>
      </c>
      <c r="AQ106" s="18"/>
    </row>
    <row r="107" spans="1:43" x14ac:dyDescent="0.45">
      <c r="A107" s="17"/>
      <c r="B107" s="18"/>
      <c r="C107" s="18"/>
      <c r="D107" s="25"/>
      <c r="E107" s="26"/>
      <c r="F107" s="26"/>
      <c r="G107" s="20"/>
      <c r="H107" s="20"/>
      <c r="I107" s="18"/>
      <c r="J107" s="18"/>
      <c r="K107" s="18"/>
      <c r="L107" s="18"/>
      <c r="M107" s="18"/>
      <c r="N107" s="18"/>
      <c r="O107" s="18"/>
      <c r="P107" s="18"/>
      <c r="Q107" s="18"/>
      <c r="R107" s="18"/>
      <c r="S107" s="18"/>
      <c r="T107" s="16" t="str">
        <f>IF($A107="","",COUNTIFS('LỆNH ĐIỀU XE'!$B$5:$B$604,$A107,'LỆNH ĐIỀU XE'!$C$5:$C$604,$B107))</f>
        <v/>
      </c>
      <c r="U107" s="27" t="str">
        <f>IF($A107="","",SUMIFS('LỆNH ĐIỀU XE'!$J$5:$J$604,'LỆNH ĐIỀU XE'!$B$5:$B$604,$A107,'LỆNH ĐIỀU XE'!$C$5:$C$604,$B107))</f>
        <v/>
      </c>
      <c r="V107" s="22" t="str">
        <f t="shared" si="10"/>
        <v/>
      </c>
      <c r="W107" s="28" t="str">
        <f t="shared" si="11"/>
        <v/>
      </c>
      <c r="X107" s="28" t="str">
        <f t="shared" si="12"/>
        <v/>
      </c>
      <c r="Y107" s="28" t="str">
        <f t="shared" si="13"/>
        <v/>
      </c>
      <c r="Z107" s="22" t="str">
        <f t="shared" si="14"/>
        <v/>
      </c>
      <c r="AA107" s="28" t="str">
        <f t="shared" si="15"/>
        <v/>
      </c>
      <c r="AB107" s="28" t="str">
        <f t="shared" si="16"/>
        <v/>
      </c>
      <c r="AC107" s="28" t="str">
        <f>IF($A107="","",SUMIFS('CHẶNG TĂNG CA'!$E$5:$E$304,'CHẶNG TĂNG CA'!$A$5:$A$304,$A107,'CHẶNG TĂNG CA'!$B$5:$B$304,$B107))</f>
        <v/>
      </c>
      <c r="AD107" s="28" t="str">
        <f>IF($A107="","",SUMIFS('CHẶNG TĂNG CA'!$F$5:$F$304,'CHẶNG TĂNG CA'!$A$5:$A$304,$A107,'CHẶNG TĂNG CA'!$B$5:$B$304,$B107))</f>
        <v/>
      </c>
      <c r="AE107" s="28" t="str">
        <f>IF($A107="","",SUMIFS('CHẶNG TĂNG CA'!$G$5:$G$304,'CHẶNG TĂNG CA'!$A$5:$A$304,$A107,'CHẶNG TĂNG CA'!$B$5:$B$304,$B107))</f>
        <v/>
      </c>
      <c r="AF107" s="28" t="str">
        <f>IF($A107="","",SUMIFS('CHẶNG TĂNG CA'!$H$5:$H$304,'CHẶNG TĂNG CA'!$A$5:$A$304,$A107,'CHẶNG TĂNG CA'!$B$5:$B$304,$B107))</f>
        <v/>
      </c>
      <c r="AG107" s="28" t="str">
        <f t="shared" si="17"/>
        <v/>
      </c>
      <c r="AH107" s="16" t="str">
        <f>IF($A107="","",IF(COUNTIFS('LỆNH ĐIỀU XE'!$B$5:$B$604,$A107,'LỆNH ĐIỀU XE'!$C$5:$C$604,$B107,'LỆNH ĐIỀU XE'!$N$5:$N$604,"Có")&gt;0,"Có","Không"))</f>
        <v/>
      </c>
      <c r="AI107" s="16" t="str">
        <f>IF(OR($A107="",H107="",N(T107)=0),"",IF(_xlfn.MAXIFS('LỆNH ĐIỀU XE'!$U$5:$U$604,'LỆNH ĐIỀU XE'!$B$5:$B$604,$A107,'LỆNH ĐIỀU XE'!$C$5:$C$604,$B107)=0,"",ROUND((H107+(H107&lt;4/24)-_xlfn.MAXIFS('LỆNH ĐIỀU XE'!$U$5:$U$604,'LỆNH ĐIỀU XE'!$B$5:$B$604,$A107,'LỆNH ĐIỀU XE'!$C$5:$C$604,$B107))*1440,0)))</f>
        <v/>
      </c>
      <c r="AJ107" s="16" t="str">
        <f>IF($A107="","",IF(OR(AI107="",V107=""),"Thiếu dữ liệu",IF(AND(AI107&lt;='THAM SỐ'!$B$29,ABS(V107)&lt;='THAM SỐ'!$B$28),"Đạt","Không đạt")))</f>
        <v/>
      </c>
      <c r="AK107" s="16" t="str">
        <f t="shared" si="18"/>
        <v/>
      </c>
      <c r="AL107" s="16" t="str">
        <f>IF($A107="","",TRIM(IF(T107=0,"Không có lệnh; ","")&amp;IF(N(N107)&gt;0,"Dừng ngoài lệnh; ","")&amp;IF(N(J107)&gt;0,"Quá tốc độ; ","")&amp;IF(N(K107)&gt;0,"Lái quá 4h; ","")&amp;IF(N(L107)&gt;0,"Không tắt máy; ","")&amp;IF(OR(P107&lt;&gt;"Đủ",Q107&lt;&gt;"Đủ",R107&lt;&gt;"Đủ"),"Thiếu ảnh; ","")&amp;IF(S107&lt;&gt;"Đạt","Lốp chưa đạt; ","")&amp;IF(N(W107)&gt;'THAM SỐ'!$B$27,"Có mặt quá giờ; ","")&amp;IF(N(X107)&gt;'THAM SỐ'!$B$25,"Lái quá giờ ngày; ","")&amp;IF(ISNUMBER(V107),IF(ABS(V107)&gt;'THAM SỐ'!$B$28,"Lệch km; ",""),"")))</f>
        <v/>
      </c>
      <c r="AM107" s="29"/>
      <c r="AN107" s="30"/>
      <c r="AO107" s="28" t="str">
        <f t="shared" si="19"/>
        <v/>
      </c>
      <c r="AP107" s="21" t="str">
        <f>IF(OR($A107="",AO107=""),"",IF(AG107=0,0,ROUND((AC107*'THAM SỐ'!$B$18+AD107*'THAM SỐ'!$B$19+AE107*'THAM SỐ'!$B$20+AF107*'THAM SỐ'!$B$21)*MIN(1,AO107/AG107),0)))</f>
        <v/>
      </c>
      <c r="AQ107" s="18"/>
    </row>
    <row r="108" spans="1:43" x14ac:dyDescent="0.45">
      <c r="A108" s="17"/>
      <c r="B108" s="18"/>
      <c r="C108" s="18"/>
      <c r="D108" s="25"/>
      <c r="E108" s="26"/>
      <c r="F108" s="26"/>
      <c r="G108" s="20"/>
      <c r="H108" s="20"/>
      <c r="I108" s="18"/>
      <c r="J108" s="18"/>
      <c r="K108" s="18"/>
      <c r="L108" s="18"/>
      <c r="M108" s="18"/>
      <c r="N108" s="18"/>
      <c r="O108" s="18"/>
      <c r="P108" s="18"/>
      <c r="Q108" s="18"/>
      <c r="R108" s="18"/>
      <c r="S108" s="18"/>
      <c r="T108" s="16" t="str">
        <f>IF($A108="","",COUNTIFS('LỆNH ĐIỀU XE'!$B$5:$B$604,$A108,'LỆNH ĐIỀU XE'!$C$5:$C$604,$B108))</f>
        <v/>
      </c>
      <c r="U108" s="27" t="str">
        <f>IF($A108="","",SUMIFS('LỆNH ĐIỀU XE'!$J$5:$J$604,'LỆNH ĐIỀU XE'!$B$5:$B$604,$A108,'LỆNH ĐIỀU XE'!$C$5:$C$604,$B108))</f>
        <v/>
      </c>
      <c r="V108" s="22" t="str">
        <f t="shared" si="10"/>
        <v/>
      </c>
      <c r="W108" s="28" t="str">
        <f t="shared" si="11"/>
        <v/>
      </c>
      <c r="X108" s="28" t="str">
        <f t="shared" si="12"/>
        <v/>
      </c>
      <c r="Y108" s="28" t="str">
        <f t="shared" si="13"/>
        <v/>
      </c>
      <c r="Z108" s="22" t="str">
        <f t="shared" si="14"/>
        <v/>
      </c>
      <c r="AA108" s="28" t="str">
        <f t="shared" si="15"/>
        <v/>
      </c>
      <c r="AB108" s="28" t="str">
        <f t="shared" si="16"/>
        <v/>
      </c>
      <c r="AC108" s="28" t="str">
        <f>IF($A108="","",SUMIFS('CHẶNG TĂNG CA'!$E$5:$E$304,'CHẶNG TĂNG CA'!$A$5:$A$304,$A108,'CHẶNG TĂNG CA'!$B$5:$B$304,$B108))</f>
        <v/>
      </c>
      <c r="AD108" s="28" t="str">
        <f>IF($A108="","",SUMIFS('CHẶNG TĂNG CA'!$F$5:$F$304,'CHẶNG TĂNG CA'!$A$5:$A$304,$A108,'CHẶNG TĂNG CA'!$B$5:$B$304,$B108))</f>
        <v/>
      </c>
      <c r="AE108" s="28" t="str">
        <f>IF($A108="","",SUMIFS('CHẶNG TĂNG CA'!$G$5:$G$304,'CHẶNG TĂNG CA'!$A$5:$A$304,$A108,'CHẶNG TĂNG CA'!$B$5:$B$304,$B108))</f>
        <v/>
      </c>
      <c r="AF108" s="28" t="str">
        <f>IF($A108="","",SUMIFS('CHẶNG TĂNG CA'!$H$5:$H$304,'CHẶNG TĂNG CA'!$A$5:$A$304,$A108,'CHẶNG TĂNG CA'!$B$5:$B$304,$B108))</f>
        <v/>
      </c>
      <c r="AG108" s="28" t="str">
        <f t="shared" si="17"/>
        <v/>
      </c>
      <c r="AH108" s="16" t="str">
        <f>IF($A108="","",IF(COUNTIFS('LỆNH ĐIỀU XE'!$B$5:$B$604,$A108,'LỆNH ĐIỀU XE'!$C$5:$C$604,$B108,'LỆNH ĐIỀU XE'!$N$5:$N$604,"Có")&gt;0,"Có","Không"))</f>
        <v/>
      </c>
      <c r="AI108" s="16" t="str">
        <f>IF(OR($A108="",H108="",N(T108)=0),"",IF(_xlfn.MAXIFS('LỆNH ĐIỀU XE'!$U$5:$U$604,'LỆNH ĐIỀU XE'!$B$5:$B$604,$A108,'LỆNH ĐIỀU XE'!$C$5:$C$604,$B108)=0,"",ROUND((H108+(H108&lt;4/24)-_xlfn.MAXIFS('LỆNH ĐIỀU XE'!$U$5:$U$604,'LỆNH ĐIỀU XE'!$B$5:$B$604,$A108,'LỆNH ĐIỀU XE'!$C$5:$C$604,$B108))*1440,0)))</f>
        <v/>
      </c>
      <c r="AJ108" s="16" t="str">
        <f>IF($A108="","",IF(OR(AI108="",V108=""),"Thiếu dữ liệu",IF(AND(AI108&lt;='THAM SỐ'!$B$29,ABS(V108)&lt;='THAM SỐ'!$B$28),"Đạt","Không đạt")))</f>
        <v/>
      </c>
      <c r="AK108" s="16" t="str">
        <f t="shared" si="18"/>
        <v/>
      </c>
      <c r="AL108" s="16" t="str">
        <f>IF($A108="","",TRIM(IF(T108=0,"Không có lệnh; ","")&amp;IF(N(N108)&gt;0,"Dừng ngoài lệnh; ","")&amp;IF(N(J108)&gt;0,"Quá tốc độ; ","")&amp;IF(N(K108)&gt;0,"Lái quá 4h; ","")&amp;IF(N(L108)&gt;0,"Không tắt máy; ","")&amp;IF(OR(P108&lt;&gt;"Đủ",Q108&lt;&gt;"Đủ",R108&lt;&gt;"Đủ"),"Thiếu ảnh; ","")&amp;IF(S108&lt;&gt;"Đạt","Lốp chưa đạt; ","")&amp;IF(N(W108)&gt;'THAM SỐ'!$B$27,"Có mặt quá giờ; ","")&amp;IF(N(X108)&gt;'THAM SỐ'!$B$25,"Lái quá giờ ngày; ","")&amp;IF(ISNUMBER(V108),IF(ABS(V108)&gt;'THAM SỐ'!$B$28,"Lệch km; ",""),"")))</f>
        <v/>
      </c>
      <c r="AM108" s="29"/>
      <c r="AN108" s="30"/>
      <c r="AO108" s="28" t="str">
        <f t="shared" si="19"/>
        <v/>
      </c>
      <c r="AP108" s="21" t="str">
        <f>IF(OR($A108="",AO108=""),"",IF(AG108=0,0,ROUND((AC108*'THAM SỐ'!$B$18+AD108*'THAM SỐ'!$B$19+AE108*'THAM SỐ'!$B$20+AF108*'THAM SỐ'!$B$21)*MIN(1,AO108/AG108),0)))</f>
        <v/>
      </c>
      <c r="AQ108" s="18"/>
    </row>
    <row r="109" spans="1:43" x14ac:dyDescent="0.45">
      <c r="A109" s="17"/>
      <c r="B109" s="18"/>
      <c r="C109" s="18"/>
      <c r="D109" s="25"/>
      <c r="E109" s="26"/>
      <c r="F109" s="26"/>
      <c r="G109" s="20"/>
      <c r="H109" s="20"/>
      <c r="I109" s="18"/>
      <c r="J109" s="18"/>
      <c r="K109" s="18"/>
      <c r="L109" s="18"/>
      <c r="M109" s="18"/>
      <c r="N109" s="18"/>
      <c r="O109" s="18"/>
      <c r="P109" s="18"/>
      <c r="Q109" s="18"/>
      <c r="R109" s="18"/>
      <c r="S109" s="18"/>
      <c r="T109" s="16" t="str">
        <f>IF($A109="","",COUNTIFS('LỆNH ĐIỀU XE'!$B$5:$B$604,$A109,'LỆNH ĐIỀU XE'!$C$5:$C$604,$B109))</f>
        <v/>
      </c>
      <c r="U109" s="27" t="str">
        <f>IF($A109="","",SUMIFS('LỆNH ĐIỀU XE'!$J$5:$J$604,'LỆNH ĐIỀU XE'!$B$5:$B$604,$A109,'LỆNH ĐIỀU XE'!$C$5:$C$604,$B109))</f>
        <v/>
      </c>
      <c r="V109" s="22" t="str">
        <f t="shared" si="10"/>
        <v/>
      </c>
      <c r="W109" s="28" t="str">
        <f t="shared" si="11"/>
        <v/>
      </c>
      <c r="X109" s="28" t="str">
        <f t="shared" si="12"/>
        <v/>
      </c>
      <c r="Y109" s="28" t="str">
        <f t="shared" si="13"/>
        <v/>
      </c>
      <c r="Z109" s="22" t="str">
        <f t="shared" si="14"/>
        <v/>
      </c>
      <c r="AA109" s="28" t="str">
        <f t="shared" si="15"/>
        <v/>
      </c>
      <c r="AB109" s="28" t="str">
        <f t="shared" si="16"/>
        <v/>
      </c>
      <c r="AC109" s="28" t="str">
        <f>IF($A109="","",SUMIFS('CHẶNG TĂNG CA'!$E$5:$E$304,'CHẶNG TĂNG CA'!$A$5:$A$304,$A109,'CHẶNG TĂNG CA'!$B$5:$B$304,$B109))</f>
        <v/>
      </c>
      <c r="AD109" s="28" t="str">
        <f>IF($A109="","",SUMIFS('CHẶNG TĂNG CA'!$F$5:$F$304,'CHẶNG TĂNG CA'!$A$5:$A$304,$A109,'CHẶNG TĂNG CA'!$B$5:$B$304,$B109))</f>
        <v/>
      </c>
      <c r="AE109" s="28" t="str">
        <f>IF($A109="","",SUMIFS('CHẶNG TĂNG CA'!$G$5:$G$304,'CHẶNG TĂNG CA'!$A$5:$A$304,$A109,'CHẶNG TĂNG CA'!$B$5:$B$304,$B109))</f>
        <v/>
      </c>
      <c r="AF109" s="28" t="str">
        <f>IF($A109="","",SUMIFS('CHẶNG TĂNG CA'!$H$5:$H$304,'CHẶNG TĂNG CA'!$A$5:$A$304,$A109,'CHẶNG TĂNG CA'!$B$5:$B$304,$B109))</f>
        <v/>
      </c>
      <c r="AG109" s="28" t="str">
        <f t="shared" si="17"/>
        <v/>
      </c>
      <c r="AH109" s="16" t="str">
        <f>IF($A109="","",IF(COUNTIFS('LỆNH ĐIỀU XE'!$B$5:$B$604,$A109,'LỆNH ĐIỀU XE'!$C$5:$C$604,$B109,'LỆNH ĐIỀU XE'!$N$5:$N$604,"Có")&gt;0,"Có","Không"))</f>
        <v/>
      </c>
      <c r="AI109" s="16" t="str">
        <f>IF(OR($A109="",H109="",N(T109)=0),"",IF(_xlfn.MAXIFS('LỆNH ĐIỀU XE'!$U$5:$U$604,'LỆNH ĐIỀU XE'!$B$5:$B$604,$A109,'LỆNH ĐIỀU XE'!$C$5:$C$604,$B109)=0,"",ROUND((H109+(H109&lt;4/24)-_xlfn.MAXIFS('LỆNH ĐIỀU XE'!$U$5:$U$604,'LỆNH ĐIỀU XE'!$B$5:$B$604,$A109,'LỆNH ĐIỀU XE'!$C$5:$C$604,$B109))*1440,0)))</f>
        <v/>
      </c>
      <c r="AJ109" s="16" t="str">
        <f>IF($A109="","",IF(OR(AI109="",V109=""),"Thiếu dữ liệu",IF(AND(AI109&lt;='THAM SỐ'!$B$29,ABS(V109)&lt;='THAM SỐ'!$B$28),"Đạt","Không đạt")))</f>
        <v/>
      </c>
      <c r="AK109" s="16" t="str">
        <f t="shared" si="18"/>
        <v/>
      </c>
      <c r="AL109" s="16" t="str">
        <f>IF($A109="","",TRIM(IF(T109=0,"Không có lệnh; ","")&amp;IF(N(N109)&gt;0,"Dừng ngoài lệnh; ","")&amp;IF(N(J109)&gt;0,"Quá tốc độ; ","")&amp;IF(N(K109)&gt;0,"Lái quá 4h; ","")&amp;IF(N(L109)&gt;0,"Không tắt máy; ","")&amp;IF(OR(P109&lt;&gt;"Đủ",Q109&lt;&gt;"Đủ",R109&lt;&gt;"Đủ"),"Thiếu ảnh; ","")&amp;IF(S109&lt;&gt;"Đạt","Lốp chưa đạt; ","")&amp;IF(N(W109)&gt;'THAM SỐ'!$B$27,"Có mặt quá giờ; ","")&amp;IF(N(X109)&gt;'THAM SỐ'!$B$25,"Lái quá giờ ngày; ","")&amp;IF(ISNUMBER(V109),IF(ABS(V109)&gt;'THAM SỐ'!$B$28,"Lệch km; ",""),"")))</f>
        <v/>
      </c>
      <c r="AM109" s="29"/>
      <c r="AN109" s="30"/>
      <c r="AO109" s="28" t="str">
        <f t="shared" si="19"/>
        <v/>
      </c>
      <c r="AP109" s="21" t="str">
        <f>IF(OR($A109="",AO109=""),"",IF(AG109=0,0,ROUND((AC109*'THAM SỐ'!$B$18+AD109*'THAM SỐ'!$B$19+AE109*'THAM SỐ'!$B$20+AF109*'THAM SỐ'!$B$21)*MIN(1,AO109/AG109),0)))</f>
        <v/>
      </c>
      <c r="AQ109" s="18"/>
    </row>
    <row r="110" spans="1:43" x14ac:dyDescent="0.45">
      <c r="A110" s="17"/>
      <c r="B110" s="18"/>
      <c r="C110" s="18"/>
      <c r="D110" s="25"/>
      <c r="E110" s="26"/>
      <c r="F110" s="26"/>
      <c r="G110" s="20"/>
      <c r="H110" s="20"/>
      <c r="I110" s="18"/>
      <c r="J110" s="18"/>
      <c r="K110" s="18"/>
      <c r="L110" s="18"/>
      <c r="M110" s="18"/>
      <c r="N110" s="18"/>
      <c r="O110" s="18"/>
      <c r="P110" s="18"/>
      <c r="Q110" s="18"/>
      <c r="R110" s="18"/>
      <c r="S110" s="18"/>
      <c r="T110" s="16" t="str">
        <f>IF($A110="","",COUNTIFS('LỆNH ĐIỀU XE'!$B$5:$B$604,$A110,'LỆNH ĐIỀU XE'!$C$5:$C$604,$B110))</f>
        <v/>
      </c>
      <c r="U110" s="27" t="str">
        <f>IF($A110="","",SUMIFS('LỆNH ĐIỀU XE'!$J$5:$J$604,'LỆNH ĐIỀU XE'!$B$5:$B$604,$A110,'LỆNH ĐIỀU XE'!$C$5:$C$604,$B110))</f>
        <v/>
      </c>
      <c r="V110" s="22" t="str">
        <f t="shared" si="10"/>
        <v/>
      </c>
      <c r="W110" s="28" t="str">
        <f t="shared" si="11"/>
        <v/>
      </c>
      <c r="X110" s="28" t="str">
        <f t="shared" si="12"/>
        <v/>
      </c>
      <c r="Y110" s="28" t="str">
        <f t="shared" si="13"/>
        <v/>
      </c>
      <c r="Z110" s="22" t="str">
        <f t="shared" si="14"/>
        <v/>
      </c>
      <c r="AA110" s="28" t="str">
        <f t="shared" si="15"/>
        <v/>
      </c>
      <c r="AB110" s="28" t="str">
        <f t="shared" si="16"/>
        <v/>
      </c>
      <c r="AC110" s="28" t="str">
        <f>IF($A110="","",SUMIFS('CHẶNG TĂNG CA'!$E$5:$E$304,'CHẶNG TĂNG CA'!$A$5:$A$304,$A110,'CHẶNG TĂNG CA'!$B$5:$B$304,$B110))</f>
        <v/>
      </c>
      <c r="AD110" s="28" t="str">
        <f>IF($A110="","",SUMIFS('CHẶNG TĂNG CA'!$F$5:$F$304,'CHẶNG TĂNG CA'!$A$5:$A$304,$A110,'CHẶNG TĂNG CA'!$B$5:$B$304,$B110))</f>
        <v/>
      </c>
      <c r="AE110" s="28" t="str">
        <f>IF($A110="","",SUMIFS('CHẶNG TĂNG CA'!$G$5:$G$304,'CHẶNG TĂNG CA'!$A$5:$A$304,$A110,'CHẶNG TĂNG CA'!$B$5:$B$304,$B110))</f>
        <v/>
      </c>
      <c r="AF110" s="28" t="str">
        <f>IF($A110="","",SUMIFS('CHẶNG TĂNG CA'!$H$5:$H$304,'CHẶNG TĂNG CA'!$A$5:$A$304,$A110,'CHẶNG TĂNG CA'!$B$5:$B$304,$B110))</f>
        <v/>
      </c>
      <c r="AG110" s="28" t="str">
        <f t="shared" si="17"/>
        <v/>
      </c>
      <c r="AH110" s="16" t="str">
        <f>IF($A110="","",IF(COUNTIFS('LỆNH ĐIỀU XE'!$B$5:$B$604,$A110,'LỆNH ĐIỀU XE'!$C$5:$C$604,$B110,'LỆNH ĐIỀU XE'!$N$5:$N$604,"Có")&gt;0,"Có","Không"))</f>
        <v/>
      </c>
      <c r="AI110" s="16" t="str">
        <f>IF(OR($A110="",H110="",N(T110)=0),"",IF(_xlfn.MAXIFS('LỆNH ĐIỀU XE'!$U$5:$U$604,'LỆNH ĐIỀU XE'!$B$5:$B$604,$A110,'LỆNH ĐIỀU XE'!$C$5:$C$604,$B110)=0,"",ROUND((H110+(H110&lt;4/24)-_xlfn.MAXIFS('LỆNH ĐIỀU XE'!$U$5:$U$604,'LỆNH ĐIỀU XE'!$B$5:$B$604,$A110,'LỆNH ĐIỀU XE'!$C$5:$C$604,$B110))*1440,0)))</f>
        <v/>
      </c>
      <c r="AJ110" s="16" t="str">
        <f>IF($A110="","",IF(OR(AI110="",V110=""),"Thiếu dữ liệu",IF(AND(AI110&lt;='THAM SỐ'!$B$29,ABS(V110)&lt;='THAM SỐ'!$B$28),"Đạt","Không đạt")))</f>
        <v/>
      </c>
      <c r="AK110" s="16" t="str">
        <f t="shared" si="18"/>
        <v/>
      </c>
      <c r="AL110" s="16" t="str">
        <f>IF($A110="","",TRIM(IF(T110=0,"Không có lệnh; ","")&amp;IF(N(N110)&gt;0,"Dừng ngoài lệnh; ","")&amp;IF(N(J110)&gt;0,"Quá tốc độ; ","")&amp;IF(N(K110)&gt;0,"Lái quá 4h; ","")&amp;IF(N(L110)&gt;0,"Không tắt máy; ","")&amp;IF(OR(P110&lt;&gt;"Đủ",Q110&lt;&gt;"Đủ",R110&lt;&gt;"Đủ"),"Thiếu ảnh; ","")&amp;IF(S110&lt;&gt;"Đạt","Lốp chưa đạt; ","")&amp;IF(N(W110)&gt;'THAM SỐ'!$B$27,"Có mặt quá giờ; ","")&amp;IF(N(X110)&gt;'THAM SỐ'!$B$25,"Lái quá giờ ngày; ","")&amp;IF(ISNUMBER(V110),IF(ABS(V110)&gt;'THAM SỐ'!$B$28,"Lệch km; ",""),"")))</f>
        <v/>
      </c>
      <c r="AM110" s="29"/>
      <c r="AN110" s="30"/>
      <c r="AO110" s="28" t="str">
        <f t="shared" si="19"/>
        <v/>
      </c>
      <c r="AP110" s="21" t="str">
        <f>IF(OR($A110="",AO110=""),"",IF(AG110=0,0,ROUND((AC110*'THAM SỐ'!$B$18+AD110*'THAM SỐ'!$B$19+AE110*'THAM SỐ'!$B$20+AF110*'THAM SỐ'!$B$21)*MIN(1,AO110/AG110),0)))</f>
        <v/>
      </c>
      <c r="AQ110" s="18"/>
    </row>
    <row r="111" spans="1:43" x14ac:dyDescent="0.45">
      <c r="A111" s="17"/>
      <c r="B111" s="18"/>
      <c r="C111" s="18"/>
      <c r="D111" s="25"/>
      <c r="E111" s="26"/>
      <c r="F111" s="26"/>
      <c r="G111" s="20"/>
      <c r="H111" s="20"/>
      <c r="I111" s="18"/>
      <c r="J111" s="18"/>
      <c r="K111" s="18"/>
      <c r="L111" s="18"/>
      <c r="M111" s="18"/>
      <c r="N111" s="18"/>
      <c r="O111" s="18"/>
      <c r="P111" s="18"/>
      <c r="Q111" s="18"/>
      <c r="R111" s="18"/>
      <c r="S111" s="18"/>
      <c r="T111" s="16" t="str">
        <f>IF($A111="","",COUNTIFS('LỆNH ĐIỀU XE'!$B$5:$B$604,$A111,'LỆNH ĐIỀU XE'!$C$5:$C$604,$B111))</f>
        <v/>
      </c>
      <c r="U111" s="27" t="str">
        <f>IF($A111="","",SUMIFS('LỆNH ĐIỀU XE'!$J$5:$J$604,'LỆNH ĐIỀU XE'!$B$5:$B$604,$A111,'LỆNH ĐIỀU XE'!$C$5:$C$604,$B111))</f>
        <v/>
      </c>
      <c r="V111" s="22" t="str">
        <f t="shared" si="10"/>
        <v/>
      </c>
      <c r="W111" s="28" t="str">
        <f t="shared" si="11"/>
        <v/>
      </c>
      <c r="X111" s="28" t="str">
        <f t="shared" si="12"/>
        <v/>
      </c>
      <c r="Y111" s="28" t="str">
        <f t="shared" si="13"/>
        <v/>
      </c>
      <c r="Z111" s="22" t="str">
        <f t="shared" si="14"/>
        <v/>
      </c>
      <c r="AA111" s="28" t="str">
        <f t="shared" si="15"/>
        <v/>
      </c>
      <c r="AB111" s="28" t="str">
        <f t="shared" si="16"/>
        <v/>
      </c>
      <c r="AC111" s="28" t="str">
        <f>IF($A111="","",SUMIFS('CHẶNG TĂNG CA'!$E$5:$E$304,'CHẶNG TĂNG CA'!$A$5:$A$304,$A111,'CHẶNG TĂNG CA'!$B$5:$B$304,$B111))</f>
        <v/>
      </c>
      <c r="AD111" s="28" t="str">
        <f>IF($A111="","",SUMIFS('CHẶNG TĂNG CA'!$F$5:$F$304,'CHẶNG TĂNG CA'!$A$5:$A$304,$A111,'CHẶNG TĂNG CA'!$B$5:$B$304,$B111))</f>
        <v/>
      </c>
      <c r="AE111" s="28" t="str">
        <f>IF($A111="","",SUMIFS('CHẶNG TĂNG CA'!$G$5:$G$304,'CHẶNG TĂNG CA'!$A$5:$A$304,$A111,'CHẶNG TĂNG CA'!$B$5:$B$304,$B111))</f>
        <v/>
      </c>
      <c r="AF111" s="28" t="str">
        <f>IF($A111="","",SUMIFS('CHẶNG TĂNG CA'!$H$5:$H$304,'CHẶNG TĂNG CA'!$A$5:$A$304,$A111,'CHẶNG TĂNG CA'!$B$5:$B$304,$B111))</f>
        <v/>
      </c>
      <c r="AG111" s="28" t="str">
        <f t="shared" si="17"/>
        <v/>
      </c>
      <c r="AH111" s="16" t="str">
        <f>IF($A111="","",IF(COUNTIFS('LỆNH ĐIỀU XE'!$B$5:$B$604,$A111,'LỆNH ĐIỀU XE'!$C$5:$C$604,$B111,'LỆNH ĐIỀU XE'!$N$5:$N$604,"Có")&gt;0,"Có","Không"))</f>
        <v/>
      </c>
      <c r="AI111" s="16" t="str">
        <f>IF(OR($A111="",H111="",N(T111)=0),"",IF(_xlfn.MAXIFS('LỆNH ĐIỀU XE'!$U$5:$U$604,'LỆNH ĐIỀU XE'!$B$5:$B$604,$A111,'LỆNH ĐIỀU XE'!$C$5:$C$604,$B111)=0,"",ROUND((H111+(H111&lt;4/24)-_xlfn.MAXIFS('LỆNH ĐIỀU XE'!$U$5:$U$604,'LỆNH ĐIỀU XE'!$B$5:$B$604,$A111,'LỆNH ĐIỀU XE'!$C$5:$C$604,$B111))*1440,0)))</f>
        <v/>
      </c>
      <c r="AJ111" s="16" t="str">
        <f>IF($A111="","",IF(OR(AI111="",V111=""),"Thiếu dữ liệu",IF(AND(AI111&lt;='THAM SỐ'!$B$29,ABS(V111)&lt;='THAM SỐ'!$B$28),"Đạt","Không đạt")))</f>
        <v/>
      </c>
      <c r="AK111" s="16" t="str">
        <f t="shared" si="18"/>
        <v/>
      </c>
      <c r="AL111" s="16" t="str">
        <f>IF($A111="","",TRIM(IF(T111=0,"Không có lệnh; ","")&amp;IF(N(N111)&gt;0,"Dừng ngoài lệnh; ","")&amp;IF(N(J111)&gt;0,"Quá tốc độ; ","")&amp;IF(N(K111)&gt;0,"Lái quá 4h; ","")&amp;IF(N(L111)&gt;0,"Không tắt máy; ","")&amp;IF(OR(P111&lt;&gt;"Đủ",Q111&lt;&gt;"Đủ",R111&lt;&gt;"Đủ"),"Thiếu ảnh; ","")&amp;IF(S111&lt;&gt;"Đạt","Lốp chưa đạt; ","")&amp;IF(N(W111)&gt;'THAM SỐ'!$B$27,"Có mặt quá giờ; ","")&amp;IF(N(X111)&gt;'THAM SỐ'!$B$25,"Lái quá giờ ngày; ","")&amp;IF(ISNUMBER(V111),IF(ABS(V111)&gt;'THAM SỐ'!$B$28,"Lệch km; ",""),"")))</f>
        <v/>
      </c>
      <c r="AM111" s="29"/>
      <c r="AN111" s="30"/>
      <c r="AO111" s="28" t="str">
        <f t="shared" si="19"/>
        <v/>
      </c>
      <c r="AP111" s="21" t="str">
        <f>IF(OR($A111="",AO111=""),"",IF(AG111=0,0,ROUND((AC111*'THAM SỐ'!$B$18+AD111*'THAM SỐ'!$B$19+AE111*'THAM SỐ'!$B$20+AF111*'THAM SỐ'!$B$21)*MIN(1,AO111/AG111),0)))</f>
        <v/>
      </c>
      <c r="AQ111" s="18"/>
    </row>
    <row r="112" spans="1:43" x14ac:dyDescent="0.45">
      <c r="A112" s="17"/>
      <c r="B112" s="18"/>
      <c r="C112" s="18"/>
      <c r="D112" s="25"/>
      <c r="E112" s="26"/>
      <c r="F112" s="26"/>
      <c r="G112" s="20"/>
      <c r="H112" s="20"/>
      <c r="I112" s="18"/>
      <c r="J112" s="18"/>
      <c r="K112" s="18"/>
      <c r="L112" s="18"/>
      <c r="M112" s="18"/>
      <c r="N112" s="18"/>
      <c r="O112" s="18"/>
      <c r="P112" s="18"/>
      <c r="Q112" s="18"/>
      <c r="R112" s="18"/>
      <c r="S112" s="18"/>
      <c r="T112" s="16" t="str">
        <f>IF($A112="","",COUNTIFS('LỆNH ĐIỀU XE'!$B$5:$B$604,$A112,'LỆNH ĐIỀU XE'!$C$5:$C$604,$B112))</f>
        <v/>
      </c>
      <c r="U112" s="27" t="str">
        <f>IF($A112="","",SUMIFS('LỆNH ĐIỀU XE'!$J$5:$J$604,'LỆNH ĐIỀU XE'!$B$5:$B$604,$A112,'LỆNH ĐIỀU XE'!$C$5:$C$604,$B112))</f>
        <v/>
      </c>
      <c r="V112" s="22" t="str">
        <f t="shared" si="10"/>
        <v/>
      </c>
      <c r="W112" s="28" t="str">
        <f t="shared" si="11"/>
        <v/>
      </c>
      <c r="X112" s="28" t="str">
        <f t="shared" si="12"/>
        <v/>
      </c>
      <c r="Y112" s="28" t="str">
        <f t="shared" si="13"/>
        <v/>
      </c>
      <c r="Z112" s="22" t="str">
        <f t="shared" si="14"/>
        <v/>
      </c>
      <c r="AA112" s="28" t="str">
        <f t="shared" si="15"/>
        <v/>
      </c>
      <c r="AB112" s="28" t="str">
        <f t="shared" si="16"/>
        <v/>
      </c>
      <c r="AC112" s="28" t="str">
        <f>IF($A112="","",SUMIFS('CHẶNG TĂNG CA'!$E$5:$E$304,'CHẶNG TĂNG CA'!$A$5:$A$304,$A112,'CHẶNG TĂNG CA'!$B$5:$B$304,$B112))</f>
        <v/>
      </c>
      <c r="AD112" s="28" t="str">
        <f>IF($A112="","",SUMIFS('CHẶNG TĂNG CA'!$F$5:$F$304,'CHẶNG TĂNG CA'!$A$5:$A$304,$A112,'CHẶNG TĂNG CA'!$B$5:$B$304,$B112))</f>
        <v/>
      </c>
      <c r="AE112" s="28" t="str">
        <f>IF($A112="","",SUMIFS('CHẶNG TĂNG CA'!$G$5:$G$304,'CHẶNG TĂNG CA'!$A$5:$A$304,$A112,'CHẶNG TĂNG CA'!$B$5:$B$304,$B112))</f>
        <v/>
      </c>
      <c r="AF112" s="28" t="str">
        <f>IF($A112="","",SUMIFS('CHẶNG TĂNG CA'!$H$5:$H$304,'CHẶNG TĂNG CA'!$A$5:$A$304,$A112,'CHẶNG TĂNG CA'!$B$5:$B$304,$B112))</f>
        <v/>
      </c>
      <c r="AG112" s="28" t="str">
        <f t="shared" si="17"/>
        <v/>
      </c>
      <c r="AH112" s="16" t="str">
        <f>IF($A112="","",IF(COUNTIFS('LỆNH ĐIỀU XE'!$B$5:$B$604,$A112,'LỆNH ĐIỀU XE'!$C$5:$C$604,$B112,'LỆNH ĐIỀU XE'!$N$5:$N$604,"Có")&gt;0,"Có","Không"))</f>
        <v/>
      </c>
      <c r="AI112" s="16" t="str">
        <f>IF(OR($A112="",H112="",N(T112)=0),"",IF(_xlfn.MAXIFS('LỆNH ĐIỀU XE'!$U$5:$U$604,'LỆNH ĐIỀU XE'!$B$5:$B$604,$A112,'LỆNH ĐIỀU XE'!$C$5:$C$604,$B112)=0,"",ROUND((H112+(H112&lt;4/24)-_xlfn.MAXIFS('LỆNH ĐIỀU XE'!$U$5:$U$604,'LỆNH ĐIỀU XE'!$B$5:$B$604,$A112,'LỆNH ĐIỀU XE'!$C$5:$C$604,$B112))*1440,0)))</f>
        <v/>
      </c>
      <c r="AJ112" s="16" t="str">
        <f>IF($A112="","",IF(OR(AI112="",V112=""),"Thiếu dữ liệu",IF(AND(AI112&lt;='THAM SỐ'!$B$29,ABS(V112)&lt;='THAM SỐ'!$B$28),"Đạt","Không đạt")))</f>
        <v/>
      </c>
      <c r="AK112" s="16" t="str">
        <f t="shared" si="18"/>
        <v/>
      </c>
      <c r="AL112" s="16" t="str">
        <f>IF($A112="","",TRIM(IF(T112=0,"Không có lệnh; ","")&amp;IF(N(N112)&gt;0,"Dừng ngoài lệnh; ","")&amp;IF(N(J112)&gt;0,"Quá tốc độ; ","")&amp;IF(N(K112)&gt;0,"Lái quá 4h; ","")&amp;IF(N(L112)&gt;0,"Không tắt máy; ","")&amp;IF(OR(P112&lt;&gt;"Đủ",Q112&lt;&gt;"Đủ",R112&lt;&gt;"Đủ"),"Thiếu ảnh; ","")&amp;IF(S112&lt;&gt;"Đạt","Lốp chưa đạt; ","")&amp;IF(N(W112)&gt;'THAM SỐ'!$B$27,"Có mặt quá giờ; ","")&amp;IF(N(X112)&gt;'THAM SỐ'!$B$25,"Lái quá giờ ngày; ","")&amp;IF(ISNUMBER(V112),IF(ABS(V112)&gt;'THAM SỐ'!$B$28,"Lệch km; ",""),"")))</f>
        <v/>
      </c>
      <c r="AM112" s="29"/>
      <c r="AN112" s="30"/>
      <c r="AO112" s="28" t="str">
        <f t="shared" si="19"/>
        <v/>
      </c>
      <c r="AP112" s="21" t="str">
        <f>IF(OR($A112="",AO112=""),"",IF(AG112=0,0,ROUND((AC112*'THAM SỐ'!$B$18+AD112*'THAM SỐ'!$B$19+AE112*'THAM SỐ'!$B$20+AF112*'THAM SỐ'!$B$21)*MIN(1,AO112/AG112),0)))</f>
        <v/>
      </c>
      <c r="AQ112" s="18"/>
    </row>
    <row r="113" spans="1:43" x14ac:dyDescent="0.45">
      <c r="A113" s="17"/>
      <c r="B113" s="18"/>
      <c r="C113" s="18"/>
      <c r="D113" s="25"/>
      <c r="E113" s="26"/>
      <c r="F113" s="26"/>
      <c r="G113" s="20"/>
      <c r="H113" s="20"/>
      <c r="I113" s="18"/>
      <c r="J113" s="18"/>
      <c r="K113" s="18"/>
      <c r="L113" s="18"/>
      <c r="M113" s="18"/>
      <c r="N113" s="18"/>
      <c r="O113" s="18"/>
      <c r="P113" s="18"/>
      <c r="Q113" s="18"/>
      <c r="R113" s="18"/>
      <c r="S113" s="18"/>
      <c r="T113" s="16" t="str">
        <f>IF($A113="","",COUNTIFS('LỆNH ĐIỀU XE'!$B$5:$B$604,$A113,'LỆNH ĐIỀU XE'!$C$5:$C$604,$B113))</f>
        <v/>
      </c>
      <c r="U113" s="27" t="str">
        <f>IF($A113="","",SUMIFS('LỆNH ĐIỀU XE'!$J$5:$J$604,'LỆNH ĐIỀU XE'!$B$5:$B$604,$A113,'LỆNH ĐIỀU XE'!$C$5:$C$604,$B113))</f>
        <v/>
      </c>
      <c r="V113" s="22" t="str">
        <f t="shared" si="10"/>
        <v/>
      </c>
      <c r="W113" s="28" t="str">
        <f t="shared" si="11"/>
        <v/>
      </c>
      <c r="X113" s="28" t="str">
        <f t="shared" si="12"/>
        <v/>
      </c>
      <c r="Y113" s="28" t="str">
        <f t="shared" si="13"/>
        <v/>
      </c>
      <c r="Z113" s="22" t="str">
        <f t="shared" si="14"/>
        <v/>
      </c>
      <c r="AA113" s="28" t="str">
        <f t="shared" si="15"/>
        <v/>
      </c>
      <c r="AB113" s="28" t="str">
        <f t="shared" si="16"/>
        <v/>
      </c>
      <c r="AC113" s="28" t="str">
        <f>IF($A113="","",SUMIFS('CHẶNG TĂNG CA'!$E$5:$E$304,'CHẶNG TĂNG CA'!$A$5:$A$304,$A113,'CHẶNG TĂNG CA'!$B$5:$B$304,$B113))</f>
        <v/>
      </c>
      <c r="AD113" s="28" t="str">
        <f>IF($A113="","",SUMIFS('CHẶNG TĂNG CA'!$F$5:$F$304,'CHẶNG TĂNG CA'!$A$5:$A$304,$A113,'CHẶNG TĂNG CA'!$B$5:$B$304,$B113))</f>
        <v/>
      </c>
      <c r="AE113" s="28" t="str">
        <f>IF($A113="","",SUMIFS('CHẶNG TĂNG CA'!$G$5:$G$304,'CHẶNG TĂNG CA'!$A$5:$A$304,$A113,'CHẶNG TĂNG CA'!$B$5:$B$304,$B113))</f>
        <v/>
      </c>
      <c r="AF113" s="28" t="str">
        <f>IF($A113="","",SUMIFS('CHẶNG TĂNG CA'!$H$5:$H$304,'CHẶNG TĂNG CA'!$A$5:$A$304,$A113,'CHẶNG TĂNG CA'!$B$5:$B$304,$B113))</f>
        <v/>
      </c>
      <c r="AG113" s="28" t="str">
        <f t="shared" si="17"/>
        <v/>
      </c>
      <c r="AH113" s="16" t="str">
        <f>IF($A113="","",IF(COUNTIFS('LỆNH ĐIỀU XE'!$B$5:$B$604,$A113,'LỆNH ĐIỀU XE'!$C$5:$C$604,$B113,'LỆNH ĐIỀU XE'!$N$5:$N$604,"Có")&gt;0,"Có","Không"))</f>
        <v/>
      </c>
      <c r="AI113" s="16" t="str">
        <f>IF(OR($A113="",H113="",N(T113)=0),"",IF(_xlfn.MAXIFS('LỆNH ĐIỀU XE'!$U$5:$U$604,'LỆNH ĐIỀU XE'!$B$5:$B$604,$A113,'LỆNH ĐIỀU XE'!$C$5:$C$604,$B113)=0,"",ROUND((H113+(H113&lt;4/24)-_xlfn.MAXIFS('LỆNH ĐIỀU XE'!$U$5:$U$604,'LỆNH ĐIỀU XE'!$B$5:$B$604,$A113,'LỆNH ĐIỀU XE'!$C$5:$C$604,$B113))*1440,0)))</f>
        <v/>
      </c>
      <c r="AJ113" s="16" t="str">
        <f>IF($A113="","",IF(OR(AI113="",V113=""),"Thiếu dữ liệu",IF(AND(AI113&lt;='THAM SỐ'!$B$29,ABS(V113)&lt;='THAM SỐ'!$B$28),"Đạt","Không đạt")))</f>
        <v/>
      </c>
      <c r="AK113" s="16" t="str">
        <f t="shared" si="18"/>
        <v/>
      </c>
      <c r="AL113" s="16" t="str">
        <f>IF($A113="","",TRIM(IF(T113=0,"Không có lệnh; ","")&amp;IF(N(N113)&gt;0,"Dừng ngoài lệnh; ","")&amp;IF(N(J113)&gt;0,"Quá tốc độ; ","")&amp;IF(N(K113)&gt;0,"Lái quá 4h; ","")&amp;IF(N(L113)&gt;0,"Không tắt máy; ","")&amp;IF(OR(P113&lt;&gt;"Đủ",Q113&lt;&gt;"Đủ",R113&lt;&gt;"Đủ"),"Thiếu ảnh; ","")&amp;IF(S113&lt;&gt;"Đạt","Lốp chưa đạt; ","")&amp;IF(N(W113)&gt;'THAM SỐ'!$B$27,"Có mặt quá giờ; ","")&amp;IF(N(X113)&gt;'THAM SỐ'!$B$25,"Lái quá giờ ngày; ","")&amp;IF(ISNUMBER(V113),IF(ABS(V113)&gt;'THAM SỐ'!$B$28,"Lệch km; ",""),"")))</f>
        <v/>
      </c>
      <c r="AM113" s="29"/>
      <c r="AN113" s="30"/>
      <c r="AO113" s="28" t="str">
        <f t="shared" si="19"/>
        <v/>
      </c>
      <c r="AP113" s="21" t="str">
        <f>IF(OR($A113="",AO113=""),"",IF(AG113=0,0,ROUND((AC113*'THAM SỐ'!$B$18+AD113*'THAM SỐ'!$B$19+AE113*'THAM SỐ'!$B$20+AF113*'THAM SỐ'!$B$21)*MIN(1,AO113/AG113),0)))</f>
        <v/>
      </c>
      <c r="AQ113" s="18"/>
    </row>
    <row r="114" spans="1:43" x14ac:dyDescent="0.45">
      <c r="A114" s="17"/>
      <c r="B114" s="18"/>
      <c r="C114" s="18"/>
      <c r="D114" s="25"/>
      <c r="E114" s="26"/>
      <c r="F114" s="26"/>
      <c r="G114" s="20"/>
      <c r="H114" s="20"/>
      <c r="I114" s="18"/>
      <c r="J114" s="18"/>
      <c r="K114" s="18"/>
      <c r="L114" s="18"/>
      <c r="M114" s="18"/>
      <c r="N114" s="18"/>
      <c r="O114" s="18"/>
      <c r="P114" s="18"/>
      <c r="Q114" s="18"/>
      <c r="R114" s="18"/>
      <c r="S114" s="18"/>
      <c r="T114" s="16" t="str">
        <f>IF($A114="","",COUNTIFS('LỆNH ĐIỀU XE'!$B$5:$B$604,$A114,'LỆNH ĐIỀU XE'!$C$5:$C$604,$B114))</f>
        <v/>
      </c>
      <c r="U114" s="27" t="str">
        <f>IF($A114="","",SUMIFS('LỆNH ĐIỀU XE'!$J$5:$J$604,'LỆNH ĐIỀU XE'!$B$5:$B$604,$A114,'LỆNH ĐIỀU XE'!$C$5:$C$604,$B114))</f>
        <v/>
      </c>
      <c r="V114" s="22" t="str">
        <f t="shared" si="10"/>
        <v/>
      </c>
      <c r="W114" s="28" t="str">
        <f t="shared" si="11"/>
        <v/>
      </c>
      <c r="X114" s="28" t="str">
        <f t="shared" si="12"/>
        <v/>
      </c>
      <c r="Y114" s="28" t="str">
        <f t="shared" si="13"/>
        <v/>
      </c>
      <c r="Z114" s="22" t="str">
        <f t="shared" si="14"/>
        <v/>
      </c>
      <c r="AA114" s="28" t="str">
        <f t="shared" si="15"/>
        <v/>
      </c>
      <c r="AB114" s="28" t="str">
        <f t="shared" si="16"/>
        <v/>
      </c>
      <c r="AC114" s="28" t="str">
        <f>IF($A114="","",SUMIFS('CHẶNG TĂNG CA'!$E$5:$E$304,'CHẶNG TĂNG CA'!$A$5:$A$304,$A114,'CHẶNG TĂNG CA'!$B$5:$B$304,$B114))</f>
        <v/>
      </c>
      <c r="AD114" s="28" t="str">
        <f>IF($A114="","",SUMIFS('CHẶNG TĂNG CA'!$F$5:$F$304,'CHẶNG TĂNG CA'!$A$5:$A$304,$A114,'CHẶNG TĂNG CA'!$B$5:$B$304,$B114))</f>
        <v/>
      </c>
      <c r="AE114" s="28" t="str">
        <f>IF($A114="","",SUMIFS('CHẶNG TĂNG CA'!$G$5:$G$304,'CHẶNG TĂNG CA'!$A$5:$A$304,$A114,'CHẶNG TĂNG CA'!$B$5:$B$304,$B114))</f>
        <v/>
      </c>
      <c r="AF114" s="28" t="str">
        <f>IF($A114="","",SUMIFS('CHẶNG TĂNG CA'!$H$5:$H$304,'CHẶNG TĂNG CA'!$A$5:$A$304,$A114,'CHẶNG TĂNG CA'!$B$5:$B$304,$B114))</f>
        <v/>
      </c>
      <c r="AG114" s="28" t="str">
        <f t="shared" si="17"/>
        <v/>
      </c>
      <c r="AH114" s="16" t="str">
        <f>IF($A114="","",IF(COUNTIFS('LỆNH ĐIỀU XE'!$B$5:$B$604,$A114,'LỆNH ĐIỀU XE'!$C$5:$C$604,$B114,'LỆNH ĐIỀU XE'!$N$5:$N$604,"Có")&gt;0,"Có","Không"))</f>
        <v/>
      </c>
      <c r="AI114" s="16" t="str">
        <f>IF(OR($A114="",H114="",N(T114)=0),"",IF(_xlfn.MAXIFS('LỆNH ĐIỀU XE'!$U$5:$U$604,'LỆNH ĐIỀU XE'!$B$5:$B$604,$A114,'LỆNH ĐIỀU XE'!$C$5:$C$604,$B114)=0,"",ROUND((H114+(H114&lt;4/24)-_xlfn.MAXIFS('LỆNH ĐIỀU XE'!$U$5:$U$604,'LỆNH ĐIỀU XE'!$B$5:$B$604,$A114,'LỆNH ĐIỀU XE'!$C$5:$C$604,$B114))*1440,0)))</f>
        <v/>
      </c>
      <c r="AJ114" s="16" t="str">
        <f>IF($A114="","",IF(OR(AI114="",V114=""),"Thiếu dữ liệu",IF(AND(AI114&lt;='THAM SỐ'!$B$29,ABS(V114)&lt;='THAM SỐ'!$B$28),"Đạt","Không đạt")))</f>
        <v/>
      </c>
      <c r="AK114" s="16" t="str">
        <f t="shared" si="18"/>
        <v/>
      </c>
      <c r="AL114" s="16" t="str">
        <f>IF($A114="","",TRIM(IF(T114=0,"Không có lệnh; ","")&amp;IF(N(N114)&gt;0,"Dừng ngoài lệnh; ","")&amp;IF(N(J114)&gt;0,"Quá tốc độ; ","")&amp;IF(N(K114)&gt;0,"Lái quá 4h; ","")&amp;IF(N(L114)&gt;0,"Không tắt máy; ","")&amp;IF(OR(P114&lt;&gt;"Đủ",Q114&lt;&gt;"Đủ",R114&lt;&gt;"Đủ"),"Thiếu ảnh; ","")&amp;IF(S114&lt;&gt;"Đạt","Lốp chưa đạt; ","")&amp;IF(N(W114)&gt;'THAM SỐ'!$B$27,"Có mặt quá giờ; ","")&amp;IF(N(X114)&gt;'THAM SỐ'!$B$25,"Lái quá giờ ngày; ","")&amp;IF(ISNUMBER(V114),IF(ABS(V114)&gt;'THAM SỐ'!$B$28,"Lệch km; ",""),"")))</f>
        <v/>
      </c>
      <c r="AM114" s="29"/>
      <c r="AN114" s="30"/>
      <c r="AO114" s="28" t="str">
        <f t="shared" si="19"/>
        <v/>
      </c>
      <c r="AP114" s="21" t="str">
        <f>IF(OR($A114="",AO114=""),"",IF(AG114=0,0,ROUND((AC114*'THAM SỐ'!$B$18+AD114*'THAM SỐ'!$B$19+AE114*'THAM SỐ'!$B$20+AF114*'THAM SỐ'!$B$21)*MIN(1,AO114/AG114),0)))</f>
        <v/>
      </c>
      <c r="AQ114" s="18"/>
    </row>
    <row r="115" spans="1:43" x14ac:dyDescent="0.45">
      <c r="A115" s="17"/>
      <c r="B115" s="18"/>
      <c r="C115" s="18"/>
      <c r="D115" s="25"/>
      <c r="E115" s="26"/>
      <c r="F115" s="26"/>
      <c r="G115" s="20"/>
      <c r="H115" s="20"/>
      <c r="I115" s="18"/>
      <c r="J115" s="18"/>
      <c r="K115" s="18"/>
      <c r="L115" s="18"/>
      <c r="M115" s="18"/>
      <c r="N115" s="18"/>
      <c r="O115" s="18"/>
      <c r="P115" s="18"/>
      <c r="Q115" s="18"/>
      <c r="R115" s="18"/>
      <c r="S115" s="18"/>
      <c r="T115" s="16" t="str">
        <f>IF($A115="","",COUNTIFS('LỆNH ĐIỀU XE'!$B$5:$B$604,$A115,'LỆNH ĐIỀU XE'!$C$5:$C$604,$B115))</f>
        <v/>
      </c>
      <c r="U115" s="27" t="str">
        <f>IF($A115="","",SUMIFS('LỆNH ĐIỀU XE'!$J$5:$J$604,'LỆNH ĐIỀU XE'!$B$5:$B$604,$A115,'LỆNH ĐIỀU XE'!$C$5:$C$604,$B115))</f>
        <v/>
      </c>
      <c r="V115" s="22" t="str">
        <f t="shared" si="10"/>
        <v/>
      </c>
      <c r="W115" s="28" t="str">
        <f t="shared" si="11"/>
        <v/>
      </c>
      <c r="X115" s="28" t="str">
        <f t="shared" si="12"/>
        <v/>
      </c>
      <c r="Y115" s="28" t="str">
        <f t="shared" si="13"/>
        <v/>
      </c>
      <c r="Z115" s="22" t="str">
        <f t="shared" si="14"/>
        <v/>
      </c>
      <c r="AA115" s="28" t="str">
        <f t="shared" si="15"/>
        <v/>
      </c>
      <c r="AB115" s="28" t="str">
        <f t="shared" si="16"/>
        <v/>
      </c>
      <c r="AC115" s="28" t="str">
        <f>IF($A115="","",SUMIFS('CHẶNG TĂNG CA'!$E$5:$E$304,'CHẶNG TĂNG CA'!$A$5:$A$304,$A115,'CHẶNG TĂNG CA'!$B$5:$B$304,$B115))</f>
        <v/>
      </c>
      <c r="AD115" s="28" t="str">
        <f>IF($A115="","",SUMIFS('CHẶNG TĂNG CA'!$F$5:$F$304,'CHẶNG TĂNG CA'!$A$5:$A$304,$A115,'CHẶNG TĂNG CA'!$B$5:$B$304,$B115))</f>
        <v/>
      </c>
      <c r="AE115" s="28" t="str">
        <f>IF($A115="","",SUMIFS('CHẶNG TĂNG CA'!$G$5:$G$304,'CHẶNG TĂNG CA'!$A$5:$A$304,$A115,'CHẶNG TĂNG CA'!$B$5:$B$304,$B115))</f>
        <v/>
      </c>
      <c r="AF115" s="28" t="str">
        <f>IF($A115="","",SUMIFS('CHẶNG TĂNG CA'!$H$5:$H$304,'CHẶNG TĂNG CA'!$A$5:$A$304,$A115,'CHẶNG TĂNG CA'!$B$5:$B$304,$B115))</f>
        <v/>
      </c>
      <c r="AG115" s="28" t="str">
        <f t="shared" si="17"/>
        <v/>
      </c>
      <c r="AH115" s="16" t="str">
        <f>IF($A115="","",IF(COUNTIFS('LỆNH ĐIỀU XE'!$B$5:$B$604,$A115,'LỆNH ĐIỀU XE'!$C$5:$C$604,$B115,'LỆNH ĐIỀU XE'!$N$5:$N$604,"Có")&gt;0,"Có","Không"))</f>
        <v/>
      </c>
      <c r="AI115" s="16" t="str">
        <f>IF(OR($A115="",H115="",N(T115)=0),"",IF(_xlfn.MAXIFS('LỆNH ĐIỀU XE'!$U$5:$U$604,'LỆNH ĐIỀU XE'!$B$5:$B$604,$A115,'LỆNH ĐIỀU XE'!$C$5:$C$604,$B115)=0,"",ROUND((H115+(H115&lt;4/24)-_xlfn.MAXIFS('LỆNH ĐIỀU XE'!$U$5:$U$604,'LỆNH ĐIỀU XE'!$B$5:$B$604,$A115,'LỆNH ĐIỀU XE'!$C$5:$C$604,$B115))*1440,0)))</f>
        <v/>
      </c>
      <c r="AJ115" s="16" t="str">
        <f>IF($A115="","",IF(OR(AI115="",V115=""),"Thiếu dữ liệu",IF(AND(AI115&lt;='THAM SỐ'!$B$29,ABS(V115)&lt;='THAM SỐ'!$B$28),"Đạt","Không đạt")))</f>
        <v/>
      </c>
      <c r="AK115" s="16" t="str">
        <f t="shared" si="18"/>
        <v/>
      </c>
      <c r="AL115" s="16" t="str">
        <f>IF($A115="","",TRIM(IF(T115=0,"Không có lệnh; ","")&amp;IF(N(N115)&gt;0,"Dừng ngoài lệnh; ","")&amp;IF(N(J115)&gt;0,"Quá tốc độ; ","")&amp;IF(N(K115)&gt;0,"Lái quá 4h; ","")&amp;IF(N(L115)&gt;0,"Không tắt máy; ","")&amp;IF(OR(P115&lt;&gt;"Đủ",Q115&lt;&gt;"Đủ",R115&lt;&gt;"Đủ"),"Thiếu ảnh; ","")&amp;IF(S115&lt;&gt;"Đạt","Lốp chưa đạt; ","")&amp;IF(N(W115)&gt;'THAM SỐ'!$B$27,"Có mặt quá giờ; ","")&amp;IF(N(X115)&gt;'THAM SỐ'!$B$25,"Lái quá giờ ngày; ","")&amp;IF(ISNUMBER(V115),IF(ABS(V115)&gt;'THAM SỐ'!$B$28,"Lệch km; ",""),"")))</f>
        <v/>
      </c>
      <c r="AM115" s="29"/>
      <c r="AN115" s="30"/>
      <c r="AO115" s="28" t="str">
        <f t="shared" si="19"/>
        <v/>
      </c>
      <c r="AP115" s="21" t="str">
        <f>IF(OR($A115="",AO115=""),"",IF(AG115=0,0,ROUND((AC115*'THAM SỐ'!$B$18+AD115*'THAM SỐ'!$B$19+AE115*'THAM SỐ'!$B$20+AF115*'THAM SỐ'!$B$21)*MIN(1,AO115/AG115),0)))</f>
        <v/>
      </c>
      <c r="AQ115" s="18"/>
    </row>
    <row r="116" spans="1:43" x14ac:dyDescent="0.45">
      <c r="A116" s="17"/>
      <c r="B116" s="18"/>
      <c r="C116" s="18"/>
      <c r="D116" s="25"/>
      <c r="E116" s="26"/>
      <c r="F116" s="26"/>
      <c r="G116" s="20"/>
      <c r="H116" s="20"/>
      <c r="I116" s="18"/>
      <c r="J116" s="18"/>
      <c r="K116" s="18"/>
      <c r="L116" s="18"/>
      <c r="M116" s="18"/>
      <c r="N116" s="18"/>
      <c r="O116" s="18"/>
      <c r="P116" s="18"/>
      <c r="Q116" s="18"/>
      <c r="R116" s="18"/>
      <c r="S116" s="18"/>
      <c r="T116" s="16" t="str">
        <f>IF($A116="","",COUNTIFS('LỆNH ĐIỀU XE'!$B$5:$B$604,$A116,'LỆNH ĐIỀU XE'!$C$5:$C$604,$B116))</f>
        <v/>
      </c>
      <c r="U116" s="27" t="str">
        <f>IF($A116="","",SUMIFS('LỆNH ĐIỀU XE'!$J$5:$J$604,'LỆNH ĐIỀU XE'!$B$5:$B$604,$A116,'LỆNH ĐIỀU XE'!$C$5:$C$604,$B116))</f>
        <v/>
      </c>
      <c r="V116" s="22" t="str">
        <f t="shared" si="10"/>
        <v/>
      </c>
      <c r="W116" s="28" t="str">
        <f t="shared" si="11"/>
        <v/>
      </c>
      <c r="X116" s="28" t="str">
        <f t="shared" si="12"/>
        <v/>
      </c>
      <c r="Y116" s="28" t="str">
        <f t="shared" si="13"/>
        <v/>
      </c>
      <c r="Z116" s="22" t="str">
        <f t="shared" si="14"/>
        <v/>
      </c>
      <c r="AA116" s="28" t="str">
        <f t="shared" si="15"/>
        <v/>
      </c>
      <c r="AB116" s="28" t="str">
        <f t="shared" si="16"/>
        <v/>
      </c>
      <c r="AC116" s="28" t="str">
        <f>IF($A116="","",SUMIFS('CHẶNG TĂNG CA'!$E$5:$E$304,'CHẶNG TĂNG CA'!$A$5:$A$304,$A116,'CHẶNG TĂNG CA'!$B$5:$B$304,$B116))</f>
        <v/>
      </c>
      <c r="AD116" s="28" t="str">
        <f>IF($A116="","",SUMIFS('CHẶNG TĂNG CA'!$F$5:$F$304,'CHẶNG TĂNG CA'!$A$5:$A$304,$A116,'CHẶNG TĂNG CA'!$B$5:$B$304,$B116))</f>
        <v/>
      </c>
      <c r="AE116" s="28" t="str">
        <f>IF($A116="","",SUMIFS('CHẶNG TĂNG CA'!$G$5:$G$304,'CHẶNG TĂNG CA'!$A$5:$A$304,$A116,'CHẶNG TĂNG CA'!$B$5:$B$304,$B116))</f>
        <v/>
      </c>
      <c r="AF116" s="28" t="str">
        <f>IF($A116="","",SUMIFS('CHẶNG TĂNG CA'!$H$5:$H$304,'CHẶNG TĂNG CA'!$A$5:$A$304,$A116,'CHẶNG TĂNG CA'!$B$5:$B$304,$B116))</f>
        <v/>
      </c>
      <c r="AG116" s="28" t="str">
        <f t="shared" si="17"/>
        <v/>
      </c>
      <c r="AH116" s="16" t="str">
        <f>IF($A116="","",IF(COUNTIFS('LỆNH ĐIỀU XE'!$B$5:$B$604,$A116,'LỆNH ĐIỀU XE'!$C$5:$C$604,$B116,'LỆNH ĐIỀU XE'!$N$5:$N$604,"Có")&gt;0,"Có","Không"))</f>
        <v/>
      </c>
      <c r="AI116" s="16" t="str">
        <f>IF(OR($A116="",H116="",N(T116)=0),"",IF(_xlfn.MAXIFS('LỆNH ĐIỀU XE'!$U$5:$U$604,'LỆNH ĐIỀU XE'!$B$5:$B$604,$A116,'LỆNH ĐIỀU XE'!$C$5:$C$604,$B116)=0,"",ROUND((H116+(H116&lt;4/24)-_xlfn.MAXIFS('LỆNH ĐIỀU XE'!$U$5:$U$604,'LỆNH ĐIỀU XE'!$B$5:$B$604,$A116,'LỆNH ĐIỀU XE'!$C$5:$C$604,$B116))*1440,0)))</f>
        <v/>
      </c>
      <c r="AJ116" s="16" t="str">
        <f>IF($A116="","",IF(OR(AI116="",V116=""),"Thiếu dữ liệu",IF(AND(AI116&lt;='THAM SỐ'!$B$29,ABS(V116)&lt;='THAM SỐ'!$B$28),"Đạt","Không đạt")))</f>
        <v/>
      </c>
      <c r="AK116" s="16" t="str">
        <f t="shared" si="18"/>
        <v/>
      </c>
      <c r="AL116" s="16" t="str">
        <f>IF($A116="","",TRIM(IF(T116=0,"Không có lệnh; ","")&amp;IF(N(N116)&gt;0,"Dừng ngoài lệnh; ","")&amp;IF(N(J116)&gt;0,"Quá tốc độ; ","")&amp;IF(N(K116)&gt;0,"Lái quá 4h; ","")&amp;IF(N(L116)&gt;0,"Không tắt máy; ","")&amp;IF(OR(P116&lt;&gt;"Đủ",Q116&lt;&gt;"Đủ",R116&lt;&gt;"Đủ"),"Thiếu ảnh; ","")&amp;IF(S116&lt;&gt;"Đạt","Lốp chưa đạt; ","")&amp;IF(N(W116)&gt;'THAM SỐ'!$B$27,"Có mặt quá giờ; ","")&amp;IF(N(X116)&gt;'THAM SỐ'!$B$25,"Lái quá giờ ngày; ","")&amp;IF(ISNUMBER(V116),IF(ABS(V116)&gt;'THAM SỐ'!$B$28,"Lệch km; ",""),"")))</f>
        <v/>
      </c>
      <c r="AM116" s="29"/>
      <c r="AN116" s="30"/>
      <c r="AO116" s="28" t="str">
        <f t="shared" si="19"/>
        <v/>
      </c>
      <c r="AP116" s="21" t="str">
        <f>IF(OR($A116="",AO116=""),"",IF(AG116=0,0,ROUND((AC116*'THAM SỐ'!$B$18+AD116*'THAM SỐ'!$B$19+AE116*'THAM SỐ'!$B$20+AF116*'THAM SỐ'!$B$21)*MIN(1,AO116/AG116),0)))</f>
        <v/>
      </c>
      <c r="AQ116" s="18"/>
    </row>
    <row r="117" spans="1:43" x14ac:dyDescent="0.45">
      <c r="A117" s="17"/>
      <c r="B117" s="18"/>
      <c r="C117" s="18"/>
      <c r="D117" s="25"/>
      <c r="E117" s="26"/>
      <c r="F117" s="26"/>
      <c r="G117" s="20"/>
      <c r="H117" s="20"/>
      <c r="I117" s="18"/>
      <c r="J117" s="18"/>
      <c r="K117" s="18"/>
      <c r="L117" s="18"/>
      <c r="M117" s="18"/>
      <c r="N117" s="18"/>
      <c r="O117" s="18"/>
      <c r="P117" s="18"/>
      <c r="Q117" s="18"/>
      <c r="R117" s="18"/>
      <c r="S117" s="18"/>
      <c r="T117" s="16" t="str">
        <f>IF($A117="","",COUNTIFS('LỆNH ĐIỀU XE'!$B$5:$B$604,$A117,'LỆNH ĐIỀU XE'!$C$5:$C$604,$B117))</f>
        <v/>
      </c>
      <c r="U117" s="27" t="str">
        <f>IF($A117="","",SUMIFS('LỆNH ĐIỀU XE'!$J$5:$J$604,'LỆNH ĐIỀU XE'!$B$5:$B$604,$A117,'LỆNH ĐIỀU XE'!$C$5:$C$604,$B117))</f>
        <v/>
      </c>
      <c r="V117" s="22" t="str">
        <f t="shared" si="10"/>
        <v/>
      </c>
      <c r="W117" s="28" t="str">
        <f t="shared" si="11"/>
        <v/>
      </c>
      <c r="X117" s="28" t="str">
        <f t="shared" si="12"/>
        <v/>
      </c>
      <c r="Y117" s="28" t="str">
        <f t="shared" si="13"/>
        <v/>
      </c>
      <c r="Z117" s="22" t="str">
        <f t="shared" si="14"/>
        <v/>
      </c>
      <c r="AA117" s="28" t="str">
        <f t="shared" si="15"/>
        <v/>
      </c>
      <c r="AB117" s="28" t="str">
        <f t="shared" si="16"/>
        <v/>
      </c>
      <c r="AC117" s="28" t="str">
        <f>IF($A117="","",SUMIFS('CHẶNG TĂNG CA'!$E$5:$E$304,'CHẶNG TĂNG CA'!$A$5:$A$304,$A117,'CHẶNG TĂNG CA'!$B$5:$B$304,$B117))</f>
        <v/>
      </c>
      <c r="AD117" s="28" t="str">
        <f>IF($A117="","",SUMIFS('CHẶNG TĂNG CA'!$F$5:$F$304,'CHẶNG TĂNG CA'!$A$5:$A$304,$A117,'CHẶNG TĂNG CA'!$B$5:$B$304,$B117))</f>
        <v/>
      </c>
      <c r="AE117" s="28" t="str">
        <f>IF($A117="","",SUMIFS('CHẶNG TĂNG CA'!$G$5:$G$304,'CHẶNG TĂNG CA'!$A$5:$A$304,$A117,'CHẶNG TĂNG CA'!$B$5:$B$304,$B117))</f>
        <v/>
      </c>
      <c r="AF117" s="28" t="str">
        <f>IF($A117="","",SUMIFS('CHẶNG TĂNG CA'!$H$5:$H$304,'CHẶNG TĂNG CA'!$A$5:$A$304,$A117,'CHẶNG TĂNG CA'!$B$5:$B$304,$B117))</f>
        <v/>
      </c>
      <c r="AG117" s="28" t="str">
        <f t="shared" si="17"/>
        <v/>
      </c>
      <c r="AH117" s="16" t="str">
        <f>IF($A117="","",IF(COUNTIFS('LỆNH ĐIỀU XE'!$B$5:$B$604,$A117,'LỆNH ĐIỀU XE'!$C$5:$C$604,$B117,'LỆNH ĐIỀU XE'!$N$5:$N$604,"Có")&gt;0,"Có","Không"))</f>
        <v/>
      </c>
      <c r="AI117" s="16" t="str">
        <f>IF(OR($A117="",H117="",N(T117)=0),"",IF(_xlfn.MAXIFS('LỆNH ĐIỀU XE'!$U$5:$U$604,'LỆNH ĐIỀU XE'!$B$5:$B$604,$A117,'LỆNH ĐIỀU XE'!$C$5:$C$604,$B117)=0,"",ROUND((H117+(H117&lt;4/24)-_xlfn.MAXIFS('LỆNH ĐIỀU XE'!$U$5:$U$604,'LỆNH ĐIỀU XE'!$B$5:$B$604,$A117,'LỆNH ĐIỀU XE'!$C$5:$C$604,$B117))*1440,0)))</f>
        <v/>
      </c>
      <c r="AJ117" s="16" t="str">
        <f>IF($A117="","",IF(OR(AI117="",V117=""),"Thiếu dữ liệu",IF(AND(AI117&lt;='THAM SỐ'!$B$29,ABS(V117)&lt;='THAM SỐ'!$B$28),"Đạt","Không đạt")))</f>
        <v/>
      </c>
      <c r="AK117" s="16" t="str">
        <f t="shared" si="18"/>
        <v/>
      </c>
      <c r="AL117" s="16" t="str">
        <f>IF($A117="","",TRIM(IF(T117=0,"Không có lệnh; ","")&amp;IF(N(N117)&gt;0,"Dừng ngoài lệnh; ","")&amp;IF(N(J117)&gt;0,"Quá tốc độ; ","")&amp;IF(N(K117)&gt;0,"Lái quá 4h; ","")&amp;IF(N(L117)&gt;0,"Không tắt máy; ","")&amp;IF(OR(P117&lt;&gt;"Đủ",Q117&lt;&gt;"Đủ",R117&lt;&gt;"Đủ"),"Thiếu ảnh; ","")&amp;IF(S117&lt;&gt;"Đạt","Lốp chưa đạt; ","")&amp;IF(N(W117)&gt;'THAM SỐ'!$B$27,"Có mặt quá giờ; ","")&amp;IF(N(X117)&gt;'THAM SỐ'!$B$25,"Lái quá giờ ngày; ","")&amp;IF(ISNUMBER(V117),IF(ABS(V117)&gt;'THAM SỐ'!$B$28,"Lệch km; ",""),"")))</f>
        <v/>
      </c>
      <c r="AM117" s="29"/>
      <c r="AN117" s="30"/>
      <c r="AO117" s="28" t="str">
        <f t="shared" si="19"/>
        <v/>
      </c>
      <c r="AP117" s="21" t="str">
        <f>IF(OR($A117="",AO117=""),"",IF(AG117=0,0,ROUND((AC117*'THAM SỐ'!$B$18+AD117*'THAM SỐ'!$B$19+AE117*'THAM SỐ'!$B$20+AF117*'THAM SỐ'!$B$21)*MIN(1,AO117/AG117),0)))</f>
        <v/>
      </c>
      <c r="AQ117" s="18"/>
    </row>
    <row r="118" spans="1:43" x14ac:dyDescent="0.45">
      <c r="A118" s="17"/>
      <c r="B118" s="18"/>
      <c r="C118" s="18"/>
      <c r="D118" s="25"/>
      <c r="E118" s="26"/>
      <c r="F118" s="26"/>
      <c r="G118" s="20"/>
      <c r="H118" s="20"/>
      <c r="I118" s="18"/>
      <c r="J118" s="18"/>
      <c r="K118" s="18"/>
      <c r="L118" s="18"/>
      <c r="M118" s="18"/>
      <c r="N118" s="18"/>
      <c r="O118" s="18"/>
      <c r="P118" s="18"/>
      <c r="Q118" s="18"/>
      <c r="R118" s="18"/>
      <c r="S118" s="18"/>
      <c r="T118" s="16" t="str">
        <f>IF($A118="","",COUNTIFS('LỆNH ĐIỀU XE'!$B$5:$B$604,$A118,'LỆNH ĐIỀU XE'!$C$5:$C$604,$B118))</f>
        <v/>
      </c>
      <c r="U118" s="27" t="str">
        <f>IF($A118="","",SUMIFS('LỆNH ĐIỀU XE'!$J$5:$J$604,'LỆNH ĐIỀU XE'!$B$5:$B$604,$A118,'LỆNH ĐIỀU XE'!$C$5:$C$604,$B118))</f>
        <v/>
      </c>
      <c r="V118" s="22" t="str">
        <f t="shared" si="10"/>
        <v/>
      </c>
      <c r="W118" s="28" t="str">
        <f t="shared" si="11"/>
        <v/>
      </c>
      <c r="X118" s="28" t="str">
        <f t="shared" si="12"/>
        <v/>
      </c>
      <c r="Y118" s="28" t="str">
        <f t="shared" si="13"/>
        <v/>
      </c>
      <c r="Z118" s="22" t="str">
        <f t="shared" si="14"/>
        <v/>
      </c>
      <c r="AA118" s="28" t="str">
        <f t="shared" si="15"/>
        <v/>
      </c>
      <c r="AB118" s="28" t="str">
        <f t="shared" si="16"/>
        <v/>
      </c>
      <c r="AC118" s="28" t="str">
        <f>IF($A118="","",SUMIFS('CHẶNG TĂNG CA'!$E$5:$E$304,'CHẶNG TĂNG CA'!$A$5:$A$304,$A118,'CHẶNG TĂNG CA'!$B$5:$B$304,$B118))</f>
        <v/>
      </c>
      <c r="AD118" s="28" t="str">
        <f>IF($A118="","",SUMIFS('CHẶNG TĂNG CA'!$F$5:$F$304,'CHẶNG TĂNG CA'!$A$5:$A$304,$A118,'CHẶNG TĂNG CA'!$B$5:$B$304,$B118))</f>
        <v/>
      </c>
      <c r="AE118" s="28" t="str">
        <f>IF($A118="","",SUMIFS('CHẶNG TĂNG CA'!$G$5:$G$304,'CHẶNG TĂNG CA'!$A$5:$A$304,$A118,'CHẶNG TĂNG CA'!$B$5:$B$304,$B118))</f>
        <v/>
      </c>
      <c r="AF118" s="28" t="str">
        <f>IF($A118="","",SUMIFS('CHẶNG TĂNG CA'!$H$5:$H$304,'CHẶNG TĂNG CA'!$A$5:$A$304,$A118,'CHẶNG TĂNG CA'!$B$5:$B$304,$B118))</f>
        <v/>
      </c>
      <c r="AG118" s="28" t="str">
        <f t="shared" si="17"/>
        <v/>
      </c>
      <c r="AH118" s="16" t="str">
        <f>IF($A118="","",IF(COUNTIFS('LỆNH ĐIỀU XE'!$B$5:$B$604,$A118,'LỆNH ĐIỀU XE'!$C$5:$C$604,$B118,'LỆNH ĐIỀU XE'!$N$5:$N$604,"Có")&gt;0,"Có","Không"))</f>
        <v/>
      </c>
      <c r="AI118" s="16" t="str">
        <f>IF(OR($A118="",H118="",N(T118)=0),"",IF(_xlfn.MAXIFS('LỆNH ĐIỀU XE'!$U$5:$U$604,'LỆNH ĐIỀU XE'!$B$5:$B$604,$A118,'LỆNH ĐIỀU XE'!$C$5:$C$604,$B118)=0,"",ROUND((H118+(H118&lt;4/24)-_xlfn.MAXIFS('LỆNH ĐIỀU XE'!$U$5:$U$604,'LỆNH ĐIỀU XE'!$B$5:$B$604,$A118,'LỆNH ĐIỀU XE'!$C$5:$C$604,$B118))*1440,0)))</f>
        <v/>
      </c>
      <c r="AJ118" s="16" t="str">
        <f>IF($A118="","",IF(OR(AI118="",V118=""),"Thiếu dữ liệu",IF(AND(AI118&lt;='THAM SỐ'!$B$29,ABS(V118)&lt;='THAM SỐ'!$B$28),"Đạt","Không đạt")))</f>
        <v/>
      </c>
      <c r="AK118" s="16" t="str">
        <f t="shared" si="18"/>
        <v/>
      </c>
      <c r="AL118" s="16" t="str">
        <f>IF($A118="","",TRIM(IF(T118=0,"Không có lệnh; ","")&amp;IF(N(N118)&gt;0,"Dừng ngoài lệnh; ","")&amp;IF(N(J118)&gt;0,"Quá tốc độ; ","")&amp;IF(N(K118)&gt;0,"Lái quá 4h; ","")&amp;IF(N(L118)&gt;0,"Không tắt máy; ","")&amp;IF(OR(P118&lt;&gt;"Đủ",Q118&lt;&gt;"Đủ",R118&lt;&gt;"Đủ"),"Thiếu ảnh; ","")&amp;IF(S118&lt;&gt;"Đạt","Lốp chưa đạt; ","")&amp;IF(N(W118)&gt;'THAM SỐ'!$B$27,"Có mặt quá giờ; ","")&amp;IF(N(X118)&gt;'THAM SỐ'!$B$25,"Lái quá giờ ngày; ","")&amp;IF(ISNUMBER(V118),IF(ABS(V118)&gt;'THAM SỐ'!$B$28,"Lệch km; ",""),"")))</f>
        <v/>
      </c>
      <c r="AM118" s="29"/>
      <c r="AN118" s="30"/>
      <c r="AO118" s="28" t="str">
        <f t="shared" si="19"/>
        <v/>
      </c>
      <c r="AP118" s="21" t="str">
        <f>IF(OR($A118="",AO118=""),"",IF(AG118=0,0,ROUND((AC118*'THAM SỐ'!$B$18+AD118*'THAM SỐ'!$B$19+AE118*'THAM SỐ'!$B$20+AF118*'THAM SỐ'!$B$21)*MIN(1,AO118/AG118),0)))</f>
        <v/>
      </c>
      <c r="AQ118" s="18"/>
    </row>
    <row r="119" spans="1:43" x14ac:dyDescent="0.45">
      <c r="A119" s="17"/>
      <c r="B119" s="18"/>
      <c r="C119" s="18"/>
      <c r="D119" s="25"/>
      <c r="E119" s="26"/>
      <c r="F119" s="26"/>
      <c r="G119" s="20"/>
      <c r="H119" s="20"/>
      <c r="I119" s="18"/>
      <c r="J119" s="18"/>
      <c r="K119" s="18"/>
      <c r="L119" s="18"/>
      <c r="M119" s="18"/>
      <c r="N119" s="18"/>
      <c r="O119" s="18"/>
      <c r="P119" s="18"/>
      <c r="Q119" s="18"/>
      <c r="R119" s="18"/>
      <c r="S119" s="18"/>
      <c r="T119" s="16" t="str">
        <f>IF($A119="","",COUNTIFS('LỆNH ĐIỀU XE'!$B$5:$B$604,$A119,'LỆNH ĐIỀU XE'!$C$5:$C$604,$B119))</f>
        <v/>
      </c>
      <c r="U119" s="27" t="str">
        <f>IF($A119="","",SUMIFS('LỆNH ĐIỀU XE'!$J$5:$J$604,'LỆNH ĐIỀU XE'!$B$5:$B$604,$A119,'LỆNH ĐIỀU XE'!$C$5:$C$604,$B119))</f>
        <v/>
      </c>
      <c r="V119" s="22" t="str">
        <f t="shared" si="10"/>
        <v/>
      </c>
      <c r="W119" s="28" t="str">
        <f t="shared" si="11"/>
        <v/>
      </c>
      <c r="X119" s="28" t="str">
        <f t="shared" si="12"/>
        <v/>
      </c>
      <c r="Y119" s="28" t="str">
        <f t="shared" si="13"/>
        <v/>
      </c>
      <c r="Z119" s="22" t="str">
        <f t="shared" si="14"/>
        <v/>
      </c>
      <c r="AA119" s="28" t="str">
        <f t="shared" si="15"/>
        <v/>
      </c>
      <c r="AB119" s="28" t="str">
        <f t="shared" si="16"/>
        <v/>
      </c>
      <c r="AC119" s="28" t="str">
        <f>IF($A119="","",SUMIFS('CHẶNG TĂNG CA'!$E$5:$E$304,'CHẶNG TĂNG CA'!$A$5:$A$304,$A119,'CHẶNG TĂNG CA'!$B$5:$B$304,$B119))</f>
        <v/>
      </c>
      <c r="AD119" s="28" t="str">
        <f>IF($A119="","",SUMIFS('CHẶNG TĂNG CA'!$F$5:$F$304,'CHẶNG TĂNG CA'!$A$5:$A$304,$A119,'CHẶNG TĂNG CA'!$B$5:$B$304,$B119))</f>
        <v/>
      </c>
      <c r="AE119" s="28" t="str">
        <f>IF($A119="","",SUMIFS('CHẶNG TĂNG CA'!$G$5:$G$304,'CHẶNG TĂNG CA'!$A$5:$A$304,$A119,'CHẶNG TĂNG CA'!$B$5:$B$304,$B119))</f>
        <v/>
      </c>
      <c r="AF119" s="28" t="str">
        <f>IF($A119="","",SUMIFS('CHẶNG TĂNG CA'!$H$5:$H$304,'CHẶNG TĂNG CA'!$A$5:$A$304,$A119,'CHẶNG TĂNG CA'!$B$5:$B$304,$B119))</f>
        <v/>
      </c>
      <c r="AG119" s="28" t="str">
        <f t="shared" si="17"/>
        <v/>
      </c>
      <c r="AH119" s="16" t="str">
        <f>IF($A119="","",IF(COUNTIFS('LỆNH ĐIỀU XE'!$B$5:$B$604,$A119,'LỆNH ĐIỀU XE'!$C$5:$C$604,$B119,'LỆNH ĐIỀU XE'!$N$5:$N$604,"Có")&gt;0,"Có","Không"))</f>
        <v/>
      </c>
      <c r="AI119" s="16" t="str">
        <f>IF(OR($A119="",H119="",N(T119)=0),"",IF(_xlfn.MAXIFS('LỆNH ĐIỀU XE'!$U$5:$U$604,'LỆNH ĐIỀU XE'!$B$5:$B$604,$A119,'LỆNH ĐIỀU XE'!$C$5:$C$604,$B119)=0,"",ROUND((H119+(H119&lt;4/24)-_xlfn.MAXIFS('LỆNH ĐIỀU XE'!$U$5:$U$604,'LỆNH ĐIỀU XE'!$B$5:$B$604,$A119,'LỆNH ĐIỀU XE'!$C$5:$C$604,$B119))*1440,0)))</f>
        <v/>
      </c>
      <c r="AJ119" s="16" t="str">
        <f>IF($A119="","",IF(OR(AI119="",V119=""),"Thiếu dữ liệu",IF(AND(AI119&lt;='THAM SỐ'!$B$29,ABS(V119)&lt;='THAM SỐ'!$B$28),"Đạt","Không đạt")))</f>
        <v/>
      </c>
      <c r="AK119" s="16" t="str">
        <f t="shared" si="18"/>
        <v/>
      </c>
      <c r="AL119" s="16" t="str">
        <f>IF($A119="","",TRIM(IF(T119=0,"Không có lệnh; ","")&amp;IF(N(N119)&gt;0,"Dừng ngoài lệnh; ","")&amp;IF(N(J119)&gt;0,"Quá tốc độ; ","")&amp;IF(N(K119)&gt;0,"Lái quá 4h; ","")&amp;IF(N(L119)&gt;0,"Không tắt máy; ","")&amp;IF(OR(P119&lt;&gt;"Đủ",Q119&lt;&gt;"Đủ",R119&lt;&gt;"Đủ"),"Thiếu ảnh; ","")&amp;IF(S119&lt;&gt;"Đạt","Lốp chưa đạt; ","")&amp;IF(N(W119)&gt;'THAM SỐ'!$B$27,"Có mặt quá giờ; ","")&amp;IF(N(X119)&gt;'THAM SỐ'!$B$25,"Lái quá giờ ngày; ","")&amp;IF(ISNUMBER(V119),IF(ABS(V119)&gt;'THAM SỐ'!$B$28,"Lệch km; ",""),"")))</f>
        <v/>
      </c>
      <c r="AM119" s="29"/>
      <c r="AN119" s="30"/>
      <c r="AO119" s="28" t="str">
        <f t="shared" si="19"/>
        <v/>
      </c>
      <c r="AP119" s="21" t="str">
        <f>IF(OR($A119="",AO119=""),"",IF(AG119=0,0,ROUND((AC119*'THAM SỐ'!$B$18+AD119*'THAM SỐ'!$B$19+AE119*'THAM SỐ'!$B$20+AF119*'THAM SỐ'!$B$21)*MIN(1,AO119/AG119),0)))</f>
        <v/>
      </c>
      <c r="AQ119" s="18"/>
    </row>
    <row r="120" spans="1:43" x14ac:dyDescent="0.45">
      <c r="A120" s="17"/>
      <c r="B120" s="18"/>
      <c r="C120" s="18"/>
      <c r="D120" s="25"/>
      <c r="E120" s="26"/>
      <c r="F120" s="26"/>
      <c r="G120" s="20"/>
      <c r="H120" s="20"/>
      <c r="I120" s="18"/>
      <c r="J120" s="18"/>
      <c r="K120" s="18"/>
      <c r="L120" s="18"/>
      <c r="M120" s="18"/>
      <c r="N120" s="18"/>
      <c r="O120" s="18"/>
      <c r="P120" s="18"/>
      <c r="Q120" s="18"/>
      <c r="R120" s="18"/>
      <c r="S120" s="18"/>
      <c r="T120" s="16" t="str">
        <f>IF($A120="","",COUNTIFS('LỆNH ĐIỀU XE'!$B$5:$B$604,$A120,'LỆNH ĐIỀU XE'!$C$5:$C$604,$B120))</f>
        <v/>
      </c>
      <c r="U120" s="27" t="str">
        <f>IF($A120="","",SUMIFS('LỆNH ĐIỀU XE'!$J$5:$J$604,'LỆNH ĐIỀU XE'!$B$5:$B$604,$A120,'LỆNH ĐIỀU XE'!$C$5:$C$604,$B120))</f>
        <v/>
      </c>
      <c r="V120" s="22" t="str">
        <f t="shared" si="10"/>
        <v/>
      </c>
      <c r="W120" s="28" t="str">
        <f t="shared" si="11"/>
        <v/>
      </c>
      <c r="X120" s="28" t="str">
        <f t="shared" si="12"/>
        <v/>
      </c>
      <c r="Y120" s="28" t="str">
        <f t="shared" si="13"/>
        <v/>
      </c>
      <c r="Z120" s="22" t="str">
        <f t="shared" si="14"/>
        <v/>
      </c>
      <c r="AA120" s="28" t="str">
        <f t="shared" si="15"/>
        <v/>
      </c>
      <c r="AB120" s="28" t="str">
        <f t="shared" si="16"/>
        <v/>
      </c>
      <c r="AC120" s="28" t="str">
        <f>IF($A120="","",SUMIFS('CHẶNG TĂNG CA'!$E$5:$E$304,'CHẶNG TĂNG CA'!$A$5:$A$304,$A120,'CHẶNG TĂNG CA'!$B$5:$B$304,$B120))</f>
        <v/>
      </c>
      <c r="AD120" s="28" t="str">
        <f>IF($A120="","",SUMIFS('CHẶNG TĂNG CA'!$F$5:$F$304,'CHẶNG TĂNG CA'!$A$5:$A$304,$A120,'CHẶNG TĂNG CA'!$B$5:$B$304,$B120))</f>
        <v/>
      </c>
      <c r="AE120" s="28" t="str">
        <f>IF($A120="","",SUMIFS('CHẶNG TĂNG CA'!$G$5:$G$304,'CHẶNG TĂNG CA'!$A$5:$A$304,$A120,'CHẶNG TĂNG CA'!$B$5:$B$304,$B120))</f>
        <v/>
      </c>
      <c r="AF120" s="28" t="str">
        <f>IF($A120="","",SUMIFS('CHẶNG TĂNG CA'!$H$5:$H$304,'CHẶNG TĂNG CA'!$A$5:$A$304,$A120,'CHẶNG TĂNG CA'!$B$5:$B$304,$B120))</f>
        <v/>
      </c>
      <c r="AG120" s="28" t="str">
        <f t="shared" si="17"/>
        <v/>
      </c>
      <c r="AH120" s="16" t="str">
        <f>IF($A120="","",IF(COUNTIFS('LỆNH ĐIỀU XE'!$B$5:$B$604,$A120,'LỆNH ĐIỀU XE'!$C$5:$C$604,$B120,'LỆNH ĐIỀU XE'!$N$5:$N$604,"Có")&gt;0,"Có","Không"))</f>
        <v/>
      </c>
      <c r="AI120" s="16" t="str">
        <f>IF(OR($A120="",H120="",N(T120)=0),"",IF(_xlfn.MAXIFS('LỆNH ĐIỀU XE'!$U$5:$U$604,'LỆNH ĐIỀU XE'!$B$5:$B$604,$A120,'LỆNH ĐIỀU XE'!$C$5:$C$604,$B120)=0,"",ROUND((H120+(H120&lt;4/24)-_xlfn.MAXIFS('LỆNH ĐIỀU XE'!$U$5:$U$604,'LỆNH ĐIỀU XE'!$B$5:$B$604,$A120,'LỆNH ĐIỀU XE'!$C$5:$C$604,$B120))*1440,0)))</f>
        <v/>
      </c>
      <c r="AJ120" s="16" t="str">
        <f>IF($A120="","",IF(OR(AI120="",V120=""),"Thiếu dữ liệu",IF(AND(AI120&lt;='THAM SỐ'!$B$29,ABS(V120)&lt;='THAM SỐ'!$B$28),"Đạt","Không đạt")))</f>
        <v/>
      </c>
      <c r="AK120" s="16" t="str">
        <f t="shared" si="18"/>
        <v/>
      </c>
      <c r="AL120" s="16" t="str">
        <f>IF($A120="","",TRIM(IF(T120=0,"Không có lệnh; ","")&amp;IF(N(N120)&gt;0,"Dừng ngoài lệnh; ","")&amp;IF(N(J120)&gt;0,"Quá tốc độ; ","")&amp;IF(N(K120)&gt;0,"Lái quá 4h; ","")&amp;IF(N(L120)&gt;0,"Không tắt máy; ","")&amp;IF(OR(P120&lt;&gt;"Đủ",Q120&lt;&gt;"Đủ",R120&lt;&gt;"Đủ"),"Thiếu ảnh; ","")&amp;IF(S120&lt;&gt;"Đạt","Lốp chưa đạt; ","")&amp;IF(N(W120)&gt;'THAM SỐ'!$B$27,"Có mặt quá giờ; ","")&amp;IF(N(X120)&gt;'THAM SỐ'!$B$25,"Lái quá giờ ngày; ","")&amp;IF(ISNUMBER(V120),IF(ABS(V120)&gt;'THAM SỐ'!$B$28,"Lệch km; ",""),"")))</f>
        <v/>
      </c>
      <c r="AM120" s="29"/>
      <c r="AN120" s="30"/>
      <c r="AO120" s="28" t="str">
        <f t="shared" si="19"/>
        <v/>
      </c>
      <c r="AP120" s="21" t="str">
        <f>IF(OR($A120="",AO120=""),"",IF(AG120=0,0,ROUND((AC120*'THAM SỐ'!$B$18+AD120*'THAM SỐ'!$B$19+AE120*'THAM SỐ'!$B$20+AF120*'THAM SỐ'!$B$21)*MIN(1,AO120/AG120),0)))</f>
        <v/>
      </c>
      <c r="AQ120" s="18"/>
    </row>
    <row r="121" spans="1:43" x14ac:dyDescent="0.45">
      <c r="A121" s="17"/>
      <c r="B121" s="18"/>
      <c r="C121" s="18"/>
      <c r="D121" s="25"/>
      <c r="E121" s="26"/>
      <c r="F121" s="26"/>
      <c r="G121" s="20"/>
      <c r="H121" s="20"/>
      <c r="I121" s="18"/>
      <c r="J121" s="18"/>
      <c r="K121" s="18"/>
      <c r="L121" s="18"/>
      <c r="M121" s="18"/>
      <c r="N121" s="18"/>
      <c r="O121" s="18"/>
      <c r="P121" s="18"/>
      <c r="Q121" s="18"/>
      <c r="R121" s="18"/>
      <c r="S121" s="18"/>
      <c r="T121" s="16" t="str">
        <f>IF($A121="","",COUNTIFS('LỆNH ĐIỀU XE'!$B$5:$B$604,$A121,'LỆNH ĐIỀU XE'!$C$5:$C$604,$B121))</f>
        <v/>
      </c>
      <c r="U121" s="27" t="str">
        <f>IF($A121="","",SUMIFS('LỆNH ĐIỀU XE'!$J$5:$J$604,'LỆNH ĐIỀU XE'!$B$5:$B$604,$A121,'LỆNH ĐIỀU XE'!$C$5:$C$604,$B121))</f>
        <v/>
      </c>
      <c r="V121" s="22" t="str">
        <f t="shared" si="10"/>
        <v/>
      </c>
      <c r="W121" s="28" t="str">
        <f t="shared" si="11"/>
        <v/>
      </c>
      <c r="X121" s="28" t="str">
        <f t="shared" si="12"/>
        <v/>
      </c>
      <c r="Y121" s="28" t="str">
        <f t="shared" si="13"/>
        <v/>
      </c>
      <c r="Z121" s="22" t="str">
        <f t="shared" si="14"/>
        <v/>
      </c>
      <c r="AA121" s="28" t="str">
        <f t="shared" si="15"/>
        <v/>
      </c>
      <c r="AB121" s="28" t="str">
        <f t="shared" si="16"/>
        <v/>
      </c>
      <c r="AC121" s="28" t="str">
        <f>IF($A121="","",SUMIFS('CHẶNG TĂNG CA'!$E$5:$E$304,'CHẶNG TĂNG CA'!$A$5:$A$304,$A121,'CHẶNG TĂNG CA'!$B$5:$B$304,$B121))</f>
        <v/>
      </c>
      <c r="AD121" s="28" t="str">
        <f>IF($A121="","",SUMIFS('CHẶNG TĂNG CA'!$F$5:$F$304,'CHẶNG TĂNG CA'!$A$5:$A$304,$A121,'CHẶNG TĂNG CA'!$B$5:$B$304,$B121))</f>
        <v/>
      </c>
      <c r="AE121" s="28" t="str">
        <f>IF($A121="","",SUMIFS('CHẶNG TĂNG CA'!$G$5:$G$304,'CHẶNG TĂNG CA'!$A$5:$A$304,$A121,'CHẶNG TĂNG CA'!$B$5:$B$304,$B121))</f>
        <v/>
      </c>
      <c r="AF121" s="28" t="str">
        <f>IF($A121="","",SUMIFS('CHẶNG TĂNG CA'!$H$5:$H$304,'CHẶNG TĂNG CA'!$A$5:$A$304,$A121,'CHẶNG TĂNG CA'!$B$5:$B$304,$B121))</f>
        <v/>
      </c>
      <c r="AG121" s="28" t="str">
        <f t="shared" si="17"/>
        <v/>
      </c>
      <c r="AH121" s="16" t="str">
        <f>IF($A121="","",IF(COUNTIFS('LỆNH ĐIỀU XE'!$B$5:$B$604,$A121,'LỆNH ĐIỀU XE'!$C$5:$C$604,$B121,'LỆNH ĐIỀU XE'!$N$5:$N$604,"Có")&gt;0,"Có","Không"))</f>
        <v/>
      </c>
      <c r="AI121" s="16" t="str">
        <f>IF(OR($A121="",H121="",N(T121)=0),"",IF(_xlfn.MAXIFS('LỆNH ĐIỀU XE'!$U$5:$U$604,'LỆNH ĐIỀU XE'!$B$5:$B$604,$A121,'LỆNH ĐIỀU XE'!$C$5:$C$604,$B121)=0,"",ROUND((H121+(H121&lt;4/24)-_xlfn.MAXIFS('LỆNH ĐIỀU XE'!$U$5:$U$604,'LỆNH ĐIỀU XE'!$B$5:$B$604,$A121,'LỆNH ĐIỀU XE'!$C$5:$C$604,$B121))*1440,0)))</f>
        <v/>
      </c>
      <c r="AJ121" s="16" t="str">
        <f>IF($A121="","",IF(OR(AI121="",V121=""),"Thiếu dữ liệu",IF(AND(AI121&lt;='THAM SỐ'!$B$29,ABS(V121)&lt;='THAM SỐ'!$B$28),"Đạt","Không đạt")))</f>
        <v/>
      </c>
      <c r="AK121" s="16" t="str">
        <f t="shared" si="18"/>
        <v/>
      </c>
      <c r="AL121" s="16" t="str">
        <f>IF($A121="","",TRIM(IF(T121=0,"Không có lệnh; ","")&amp;IF(N(N121)&gt;0,"Dừng ngoài lệnh; ","")&amp;IF(N(J121)&gt;0,"Quá tốc độ; ","")&amp;IF(N(K121)&gt;0,"Lái quá 4h; ","")&amp;IF(N(L121)&gt;0,"Không tắt máy; ","")&amp;IF(OR(P121&lt;&gt;"Đủ",Q121&lt;&gt;"Đủ",R121&lt;&gt;"Đủ"),"Thiếu ảnh; ","")&amp;IF(S121&lt;&gt;"Đạt","Lốp chưa đạt; ","")&amp;IF(N(W121)&gt;'THAM SỐ'!$B$27,"Có mặt quá giờ; ","")&amp;IF(N(X121)&gt;'THAM SỐ'!$B$25,"Lái quá giờ ngày; ","")&amp;IF(ISNUMBER(V121),IF(ABS(V121)&gt;'THAM SỐ'!$B$28,"Lệch km; ",""),"")))</f>
        <v/>
      </c>
      <c r="AM121" s="29"/>
      <c r="AN121" s="30"/>
      <c r="AO121" s="28" t="str">
        <f t="shared" si="19"/>
        <v/>
      </c>
      <c r="AP121" s="21" t="str">
        <f>IF(OR($A121="",AO121=""),"",IF(AG121=0,0,ROUND((AC121*'THAM SỐ'!$B$18+AD121*'THAM SỐ'!$B$19+AE121*'THAM SỐ'!$B$20+AF121*'THAM SỐ'!$B$21)*MIN(1,AO121/AG121),0)))</f>
        <v/>
      </c>
      <c r="AQ121" s="18"/>
    </row>
    <row r="122" spans="1:43" x14ac:dyDescent="0.45">
      <c r="A122" s="17"/>
      <c r="B122" s="18"/>
      <c r="C122" s="18"/>
      <c r="D122" s="25"/>
      <c r="E122" s="26"/>
      <c r="F122" s="26"/>
      <c r="G122" s="20"/>
      <c r="H122" s="20"/>
      <c r="I122" s="18"/>
      <c r="J122" s="18"/>
      <c r="K122" s="18"/>
      <c r="L122" s="18"/>
      <c r="M122" s="18"/>
      <c r="N122" s="18"/>
      <c r="O122" s="18"/>
      <c r="P122" s="18"/>
      <c r="Q122" s="18"/>
      <c r="R122" s="18"/>
      <c r="S122" s="18"/>
      <c r="T122" s="16" t="str">
        <f>IF($A122="","",COUNTIFS('LỆNH ĐIỀU XE'!$B$5:$B$604,$A122,'LỆNH ĐIỀU XE'!$C$5:$C$604,$B122))</f>
        <v/>
      </c>
      <c r="U122" s="27" t="str">
        <f>IF($A122="","",SUMIFS('LỆNH ĐIỀU XE'!$J$5:$J$604,'LỆNH ĐIỀU XE'!$B$5:$B$604,$A122,'LỆNH ĐIỀU XE'!$C$5:$C$604,$B122))</f>
        <v/>
      </c>
      <c r="V122" s="22" t="str">
        <f t="shared" si="10"/>
        <v/>
      </c>
      <c r="W122" s="28" t="str">
        <f t="shared" si="11"/>
        <v/>
      </c>
      <c r="X122" s="28" t="str">
        <f t="shared" si="12"/>
        <v/>
      </c>
      <c r="Y122" s="28" t="str">
        <f t="shared" si="13"/>
        <v/>
      </c>
      <c r="Z122" s="22" t="str">
        <f t="shared" si="14"/>
        <v/>
      </c>
      <c r="AA122" s="28" t="str">
        <f t="shared" si="15"/>
        <v/>
      </c>
      <c r="AB122" s="28" t="str">
        <f t="shared" si="16"/>
        <v/>
      </c>
      <c r="AC122" s="28" t="str">
        <f>IF($A122="","",SUMIFS('CHẶNG TĂNG CA'!$E$5:$E$304,'CHẶNG TĂNG CA'!$A$5:$A$304,$A122,'CHẶNG TĂNG CA'!$B$5:$B$304,$B122))</f>
        <v/>
      </c>
      <c r="AD122" s="28" t="str">
        <f>IF($A122="","",SUMIFS('CHẶNG TĂNG CA'!$F$5:$F$304,'CHẶNG TĂNG CA'!$A$5:$A$304,$A122,'CHẶNG TĂNG CA'!$B$5:$B$304,$B122))</f>
        <v/>
      </c>
      <c r="AE122" s="28" t="str">
        <f>IF($A122="","",SUMIFS('CHẶNG TĂNG CA'!$G$5:$G$304,'CHẶNG TĂNG CA'!$A$5:$A$304,$A122,'CHẶNG TĂNG CA'!$B$5:$B$304,$B122))</f>
        <v/>
      </c>
      <c r="AF122" s="28" t="str">
        <f>IF($A122="","",SUMIFS('CHẶNG TĂNG CA'!$H$5:$H$304,'CHẶNG TĂNG CA'!$A$5:$A$304,$A122,'CHẶNG TĂNG CA'!$B$5:$B$304,$B122))</f>
        <v/>
      </c>
      <c r="AG122" s="28" t="str">
        <f t="shared" si="17"/>
        <v/>
      </c>
      <c r="AH122" s="16" t="str">
        <f>IF($A122="","",IF(COUNTIFS('LỆNH ĐIỀU XE'!$B$5:$B$604,$A122,'LỆNH ĐIỀU XE'!$C$5:$C$604,$B122,'LỆNH ĐIỀU XE'!$N$5:$N$604,"Có")&gt;0,"Có","Không"))</f>
        <v/>
      </c>
      <c r="AI122" s="16" t="str">
        <f>IF(OR($A122="",H122="",N(T122)=0),"",IF(_xlfn.MAXIFS('LỆNH ĐIỀU XE'!$U$5:$U$604,'LỆNH ĐIỀU XE'!$B$5:$B$604,$A122,'LỆNH ĐIỀU XE'!$C$5:$C$604,$B122)=0,"",ROUND((H122+(H122&lt;4/24)-_xlfn.MAXIFS('LỆNH ĐIỀU XE'!$U$5:$U$604,'LỆNH ĐIỀU XE'!$B$5:$B$604,$A122,'LỆNH ĐIỀU XE'!$C$5:$C$604,$B122))*1440,0)))</f>
        <v/>
      </c>
      <c r="AJ122" s="16" t="str">
        <f>IF($A122="","",IF(OR(AI122="",V122=""),"Thiếu dữ liệu",IF(AND(AI122&lt;='THAM SỐ'!$B$29,ABS(V122)&lt;='THAM SỐ'!$B$28),"Đạt","Không đạt")))</f>
        <v/>
      </c>
      <c r="AK122" s="16" t="str">
        <f t="shared" si="18"/>
        <v/>
      </c>
      <c r="AL122" s="16" t="str">
        <f>IF($A122="","",TRIM(IF(T122=0,"Không có lệnh; ","")&amp;IF(N(N122)&gt;0,"Dừng ngoài lệnh; ","")&amp;IF(N(J122)&gt;0,"Quá tốc độ; ","")&amp;IF(N(K122)&gt;0,"Lái quá 4h; ","")&amp;IF(N(L122)&gt;0,"Không tắt máy; ","")&amp;IF(OR(P122&lt;&gt;"Đủ",Q122&lt;&gt;"Đủ",R122&lt;&gt;"Đủ"),"Thiếu ảnh; ","")&amp;IF(S122&lt;&gt;"Đạt","Lốp chưa đạt; ","")&amp;IF(N(W122)&gt;'THAM SỐ'!$B$27,"Có mặt quá giờ; ","")&amp;IF(N(X122)&gt;'THAM SỐ'!$B$25,"Lái quá giờ ngày; ","")&amp;IF(ISNUMBER(V122),IF(ABS(V122)&gt;'THAM SỐ'!$B$28,"Lệch km; ",""),"")))</f>
        <v/>
      </c>
      <c r="AM122" s="29"/>
      <c r="AN122" s="30"/>
      <c r="AO122" s="28" t="str">
        <f t="shared" si="19"/>
        <v/>
      </c>
      <c r="AP122" s="21" t="str">
        <f>IF(OR($A122="",AO122=""),"",IF(AG122=0,0,ROUND((AC122*'THAM SỐ'!$B$18+AD122*'THAM SỐ'!$B$19+AE122*'THAM SỐ'!$B$20+AF122*'THAM SỐ'!$B$21)*MIN(1,AO122/AG122),0)))</f>
        <v/>
      </c>
      <c r="AQ122" s="18"/>
    </row>
    <row r="123" spans="1:43" x14ac:dyDescent="0.45">
      <c r="A123" s="17"/>
      <c r="B123" s="18"/>
      <c r="C123" s="18"/>
      <c r="D123" s="25"/>
      <c r="E123" s="26"/>
      <c r="F123" s="26"/>
      <c r="G123" s="20"/>
      <c r="H123" s="20"/>
      <c r="I123" s="18"/>
      <c r="J123" s="18"/>
      <c r="K123" s="18"/>
      <c r="L123" s="18"/>
      <c r="M123" s="18"/>
      <c r="N123" s="18"/>
      <c r="O123" s="18"/>
      <c r="P123" s="18"/>
      <c r="Q123" s="18"/>
      <c r="R123" s="18"/>
      <c r="S123" s="18"/>
      <c r="T123" s="16" t="str">
        <f>IF($A123="","",COUNTIFS('LỆNH ĐIỀU XE'!$B$5:$B$604,$A123,'LỆNH ĐIỀU XE'!$C$5:$C$604,$B123))</f>
        <v/>
      </c>
      <c r="U123" s="27" t="str">
        <f>IF($A123="","",SUMIFS('LỆNH ĐIỀU XE'!$J$5:$J$604,'LỆNH ĐIỀU XE'!$B$5:$B$604,$A123,'LỆNH ĐIỀU XE'!$C$5:$C$604,$B123))</f>
        <v/>
      </c>
      <c r="V123" s="22" t="str">
        <f t="shared" si="10"/>
        <v/>
      </c>
      <c r="W123" s="28" t="str">
        <f t="shared" si="11"/>
        <v/>
      </c>
      <c r="X123" s="28" t="str">
        <f t="shared" si="12"/>
        <v/>
      </c>
      <c r="Y123" s="28" t="str">
        <f t="shared" si="13"/>
        <v/>
      </c>
      <c r="Z123" s="22" t="str">
        <f t="shared" si="14"/>
        <v/>
      </c>
      <c r="AA123" s="28" t="str">
        <f t="shared" si="15"/>
        <v/>
      </c>
      <c r="AB123" s="28" t="str">
        <f t="shared" si="16"/>
        <v/>
      </c>
      <c r="AC123" s="28" t="str">
        <f>IF($A123="","",SUMIFS('CHẶNG TĂNG CA'!$E$5:$E$304,'CHẶNG TĂNG CA'!$A$5:$A$304,$A123,'CHẶNG TĂNG CA'!$B$5:$B$304,$B123))</f>
        <v/>
      </c>
      <c r="AD123" s="28" t="str">
        <f>IF($A123="","",SUMIFS('CHẶNG TĂNG CA'!$F$5:$F$304,'CHẶNG TĂNG CA'!$A$5:$A$304,$A123,'CHẶNG TĂNG CA'!$B$5:$B$304,$B123))</f>
        <v/>
      </c>
      <c r="AE123" s="28" t="str">
        <f>IF($A123="","",SUMIFS('CHẶNG TĂNG CA'!$G$5:$G$304,'CHẶNG TĂNG CA'!$A$5:$A$304,$A123,'CHẶNG TĂNG CA'!$B$5:$B$304,$B123))</f>
        <v/>
      </c>
      <c r="AF123" s="28" t="str">
        <f>IF($A123="","",SUMIFS('CHẶNG TĂNG CA'!$H$5:$H$304,'CHẶNG TĂNG CA'!$A$5:$A$304,$A123,'CHẶNG TĂNG CA'!$B$5:$B$304,$B123))</f>
        <v/>
      </c>
      <c r="AG123" s="28" t="str">
        <f t="shared" si="17"/>
        <v/>
      </c>
      <c r="AH123" s="16" t="str">
        <f>IF($A123="","",IF(COUNTIFS('LỆNH ĐIỀU XE'!$B$5:$B$604,$A123,'LỆNH ĐIỀU XE'!$C$5:$C$604,$B123,'LỆNH ĐIỀU XE'!$N$5:$N$604,"Có")&gt;0,"Có","Không"))</f>
        <v/>
      </c>
      <c r="AI123" s="16" t="str">
        <f>IF(OR($A123="",H123="",N(T123)=0),"",IF(_xlfn.MAXIFS('LỆNH ĐIỀU XE'!$U$5:$U$604,'LỆNH ĐIỀU XE'!$B$5:$B$604,$A123,'LỆNH ĐIỀU XE'!$C$5:$C$604,$B123)=0,"",ROUND((H123+(H123&lt;4/24)-_xlfn.MAXIFS('LỆNH ĐIỀU XE'!$U$5:$U$604,'LỆNH ĐIỀU XE'!$B$5:$B$604,$A123,'LỆNH ĐIỀU XE'!$C$5:$C$604,$B123))*1440,0)))</f>
        <v/>
      </c>
      <c r="AJ123" s="16" t="str">
        <f>IF($A123="","",IF(OR(AI123="",V123=""),"Thiếu dữ liệu",IF(AND(AI123&lt;='THAM SỐ'!$B$29,ABS(V123)&lt;='THAM SỐ'!$B$28),"Đạt","Không đạt")))</f>
        <v/>
      </c>
      <c r="AK123" s="16" t="str">
        <f t="shared" si="18"/>
        <v/>
      </c>
      <c r="AL123" s="16" t="str">
        <f>IF($A123="","",TRIM(IF(T123=0,"Không có lệnh; ","")&amp;IF(N(N123)&gt;0,"Dừng ngoài lệnh; ","")&amp;IF(N(J123)&gt;0,"Quá tốc độ; ","")&amp;IF(N(K123)&gt;0,"Lái quá 4h; ","")&amp;IF(N(L123)&gt;0,"Không tắt máy; ","")&amp;IF(OR(P123&lt;&gt;"Đủ",Q123&lt;&gt;"Đủ",R123&lt;&gt;"Đủ"),"Thiếu ảnh; ","")&amp;IF(S123&lt;&gt;"Đạt","Lốp chưa đạt; ","")&amp;IF(N(W123)&gt;'THAM SỐ'!$B$27,"Có mặt quá giờ; ","")&amp;IF(N(X123)&gt;'THAM SỐ'!$B$25,"Lái quá giờ ngày; ","")&amp;IF(ISNUMBER(V123),IF(ABS(V123)&gt;'THAM SỐ'!$B$28,"Lệch km; ",""),"")))</f>
        <v/>
      </c>
      <c r="AM123" s="29"/>
      <c r="AN123" s="30"/>
      <c r="AO123" s="28" t="str">
        <f t="shared" si="19"/>
        <v/>
      </c>
      <c r="AP123" s="21" t="str">
        <f>IF(OR($A123="",AO123=""),"",IF(AG123=0,0,ROUND((AC123*'THAM SỐ'!$B$18+AD123*'THAM SỐ'!$B$19+AE123*'THAM SỐ'!$B$20+AF123*'THAM SỐ'!$B$21)*MIN(1,AO123/AG123),0)))</f>
        <v/>
      </c>
      <c r="AQ123" s="18"/>
    </row>
    <row r="124" spans="1:43" x14ac:dyDescent="0.45">
      <c r="A124" s="17"/>
      <c r="B124" s="18"/>
      <c r="C124" s="18"/>
      <c r="D124" s="25"/>
      <c r="E124" s="26"/>
      <c r="F124" s="26"/>
      <c r="G124" s="20"/>
      <c r="H124" s="20"/>
      <c r="I124" s="18"/>
      <c r="J124" s="18"/>
      <c r="K124" s="18"/>
      <c r="L124" s="18"/>
      <c r="M124" s="18"/>
      <c r="N124" s="18"/>
      <c r="O124" s="18"/>
      <c r="P124" s="18"/>
      <c r="Q124" s="18"/>
      <c r="R124" s="18"/>
      <c r="S124" s="18"/>
      <c r="T124" s="16" t="str">
        <f>IF($A124="","",COUNTIFS('LỆNH ĐIỀU XE'!$B$5:$B$604,$A124,'LỆNH ĐIỀU XE'!$C$5:$C$604,$B124))</f>
        <v/>
      </c>
      <c r="U124" s="27" t="str">
        <f>IF($A124="","",SUMIFS('LỆNH ĐIỀU XE'!$J$5:$J$604,'LỆNH ĐIỀU XE'!$B$5:$B$604,$A124,'LỆNH ĐIỀU XE'!$C$5:$C$604,$B124))</f>
        <v/>
      </c>
      <c r="V124" s="22" t="str">
        <f t="shared" si="10"/>
        <v/>
      </c>
      <c r="W124" s="28" t="str">
        <f t="shared" si="11"/>
        <v/>
      </c>
      <c r="X124" s="28" t="str">
        <f t="shared" si="12"/>
        <v/>
      </c>
      <c r="Y124" s="28" t="str">
        <f t="shared" si="13"/>
        <v/>
      </c>
      <c r="Z124" s="22" t="str">
        <f t="shared" si="14"/>
        <v/>
      </c>
      <c r="AA124" s="28" t="str">
        <f t="shared" si="15"/>
        <v/>
      </c>
      <c r="AB124" s="28" t="str">
        <f t="shared" si="16"/>
        <v/>
      </c>
      <c r="AC124" s="28" t="str">
        <f>IF($A124="","",SUMIFS('CHẶNG TĂNG CA'!$E$5:$E$304,'CHẶNG TĂNG CA'!$A$5:$A$304,$A124,'CHẶNG TĂNG CA'!$B$5:$B$304,$B124))</f>
        <v/>
      </c>
      <c r="AD124" s="28" t="str">
        <f>IF($A124="","",SUMIFS('CHẶNG TĂNG CA'!$F$5:$F$304,'CHẶNG TĂNG CA'!$A$5:$A$304,$A124,'CHẶNG TĂNG CA'!$B$5:$B$304,$B124))</f>
        <v/>
      </c>
      <c r="AE124" s="28" t="str">
        <f>IF($A124="","",SUMIFS('CHẶNG TĂNG CA'!$G$5:$G$304,'CHẶNG TĂNG CA'!$A$5:$A$304,$A124,'CHẶNG TĂNG CA'!$B$5:$B$304,$B124))</f>
        <v/>
      </c>
      <c r="AF124" s="28" t="str">
        <f>IF($A124="","",SUMIFS('CHẶNG TĂNG CA'!$H$5:$H$304,'CHẶNG TĂNG CA'!$A$5:$A$304,$A124,'CHẶNG TĂNG CA'!$B$5:$B$304,$B124))</f>
        <v/>
      </c>
      <c r="AG124" s="28" t="str">
        <f t="shared" si="17"/>
        <v/>
      </c>
      <c r="AH124" s="16" t="str">
        <f>IF($A124="","",IF(COUNTIFS('LỆNH ĐIỀU XE'!$B$5:$B$604,$A124,'LỆNH ĐIỀU XE'!$C$5:$C$604,$B124,'LỆNH ĐIỀU XE'!$N$5:$N$604,"Có")&gt;0,"Có","Không"))</f>
        <v/>
      </c>
      <c r="AI124" s="16" t="str">
        <f>IF(OR($A124="",H124="",N(T124)=0),"",IF(_xlfn.MAXIFS('LỆNH ĐIỀU XE'!$U$5:$U$604,'LỆNH ĐIỀU XE'!$B$5:$B$604,$A124,'LỆNH ĐIỀU XE'!$C$5:$C$604,$B124)=0,"",ROUND((H124+(H124&lt;4/24)-_xlfn.MAXIFS('LỆNH ĐIỀU XE'!$U$5:$U$604,'LỆNH ĐIỀU XE'!$B$5:$B$604,$A124,'LỆNH ĐIỀU XE'!$C$5:$C$604,$B124))*1440,0)))</f>
        <v/>
      </c>
      <c r="AJ124" s="16" t="str">
        <f>IF($A124="","",IF(OR(AI124="",V124=""),"Thiếu dữ liệu",IF(AND(AI124&lt;='THAM SỐ'!$B$29,ABS(V124)&lt;='THAM SỐ'!$B$28),"Đạt","Không đạt")))</f>
        <v/>
      </c>
      <c r="AK124" s="16" t="str">
        <f t="shared" si="18"/>
        <v/>
      </c>
      <c r="AL124" s="16" t="str">
        <f>IF($A124="","",TRIM(IF(T124=0,"Không có lệnh; ","")&amp;IF(N(N124)&gt;0,"Dừng ngoài lệnh; ","")&amp;IF(N(J124)&gt;0,"Quá tốc độ; ","")&amp;IF(N(K124)&gt;0,"Lái quá 4h; ","")&amp;IF(N(L124)&gt;0,"Không tắt máy; ","")&amp;IF(OR(P124&lt;&gt;"Đủ",Q124&lt;&gt;"Đủ",R124&lt;&gt;"Đủ"),"Thiếu ảnh; ","")&amp;IF(S124&lt;&gt;"Đạt","Lốp chưa đạt; ","")&amp;IF(N(W124)&gt;'THAM SỐ'!$B$27,"Có mặt quá giờ; ","")&amp;IF(N(X124)&gt;'THAM SỐ'!$B$25,"Lái quá giờ ngày; ","")&amp;IF(ISNUMBER(V124),IF(ABS(V124)&gt;'THAM SỐ'!$B$28,"Lệch km; ",""),"")))</f>
        <v/>
      </c>
      <c r="AM124" s="29"/>
      <c r="AN124" s="30"/>
      <c r="AO124" s="28" t="str">
        <f t="shared" si="19"/>
        <v/>
      </c>
      <c r="AP124" s="21" t="str">
        <f>IF(OR($A124="",AO124=""),"",IF(AG124=0,0,ROUND((AC124*'THAM SỐ'!$B$18+AD124*'THAM SỐ'!$B$19+AE124*'THAM SỐ'!$B$20+AF124*'THAM SỐ'!$B$21)*MIN(1,AO124/AG124),0)))</f>
        <v/>
      </c>
      <c r="AQ124" s="18"/>
    </row>
    <row r="125" spans="1:43" x14ac:dyDescent="0.45">
      <c r="A125" s="17"/>
      <c r="B125" s="18"/>
      <c r="C125" s="18"/>
      <c r="D125" s="25"/>
      <c r="E125" s="26"/>
      <c r="F125" s="26"/>
      <c r="G125" s="20"/>
      <c r="H125" s="20"/>
      <c r="I125" s="18"/>
      <c r="J125" s="18"/>
      <c r="K125" s="18"/>
      <c r="L125" s="18"/>
      <c r="M125" s="18"/>
      <c r="N125" s="18"/>
      <c r="O125" s="18"/>
      <c r="P125" s="18"/>
      <c r="Q125" s="18"/>
      <c r="R125" s="18"/>
      <c r="S125" s="18"/>
      <c r="T125" s="16" t="str">
        <f>IF($A125="","",COUNTIFS('LỆNH ĐIỀU XE'!$B$5:$B$604,$A125,'LỆNH ĐIỀU XE'!$C$5:$C$604,$B125))</f>
        <v/>
      </c>
      <c r="U125" s="27" t="str">
        <f>IF($A125="","",SUMIFS('LỆNH ĐIỀU XE'!$J$5:$J$604,'LỆNH ĐIỀU XE'!$B$5:$B$604,$A125,'LỆNH ĐIỀU XE'!$C$5:$C$604,$B125))</f>
        <v/>
      </c>
      <c r="V125" s="22" t="str">
        <f t="shared" si="10"/>
        <v/>
      </c>
      <c r="W125" s="28" t="str">
        <f t="shared" si="11"/>
        <v/>
      </c>
      <c r="X125" s="28" t="str">
        <f t="shared" si="12"/>
        <v/>
      </c>
      <c r="Y125" s="28" t="str">
        <f t="shared" si="13"/>
        <v/>
      </c>
      <c r="Z125" s="22" t="str">
        <f t="shared" si="14"/>
        <v/>
      </c>
      <c r="AA125" s="28" t="str">
        <f t="shared" si="15"/>
        <v/>
      </c>
      <c r="AB125" s="28" t="str">
        <f t="shared" si="16"/>
        <v/>
      </c>
      <c r="AC125" s="28" t="str">
        <f>IF($A125="","",SUMIFS('CHẶNG TĂNG CA'!$E$5:$E$304,'CHẶNG TĂNG CA'!$A$5:$A$304,$A125,'CHẶNG TĂNG CA'!$B$5:$B$304,$B125))</f>
        <v/>
      </c>
      <c r="AD125" s="28" t="str">
        <f>IF($A125="","",SUMIFS('CHẶNG TĂNG CA'!$F$5:$F$304,'CHẶNG TĂNG CA'!$A$5:$A$304,$A125,'CHẶNG TĂNG CA'!$B$5:$B$304,$B125))</f>
        <v/>
      </c>
      <c r="AE125" s="28" t="str">
        <f>IF($A125="","",SUMIFS('CHẶNG TĂNG CA'!$G$5:$G$304,'CHẶNG TĂNG CA'!$A$5:$A$304,$A125,'CHẶNG TĂNG CA'!$B$5:$B$304,$B125))</f>
        <v/>
      </c>
      <c r="AF125" s="28" t="str">
        <f>IF($A125="","",SUMIFS('CHẶNG TĂNG CA'!$H$5:$H$304,'CHẶNG TĂNG CA'!$A$5:$A$304,$A125,'CHẶNG TĂNG CA'!$B$5:$B$304,$B125))</f>
        <v/>
      </c>
      <c r="AG125" s="28" t="str">
        <f t="shared" si="17"/>
        <v/>
      </c>
      <c r="AH125" s="16" t="str">
        <f>IF($A125="","",IF(COUNTIFS('LỆNH ĐIỀU XE'!$B$5:$B$604,$A125,'LỆNH ĐIỀU XE'!$C$5:$C$604,$B125,'LỆNH ĐIỀU XE'!$N$5:$N$604,"Có")&gt;0,"Có","Không"))</f>
        <v/>
      </c>
      <c r="AI125" s="16" t="str">
        <f>IF(OR($A125="",H125="",N(T125)=0),"",IF(_xlfn.MAXIFS('LỆNH ĐIỀU XE'!$U$5:$U$604,'LỆNH ĐIỀU XE'!$B$5:$B$604,$A125,'LỆNH ĐIỀU XE'!$C$5:$C$604,$B125)=0,"",ROUND((H125+(H125&lt;4/24)-_xlfn.MAXIFS('LỆNH ĐIỀU XE'!$U$5:$U$604,'LỆNH ĐIỀU XE'!$B$5:$B$604,$A125,'LỆNH ĐIỀU XE'!$C$5:$C$604,$B125))*1440,0)))</f>
        <v/>
      </c>
      <c r="AJ125" s="16" t="str">
        <f>IF($A125="","",IF(OR(AI125="",V125=""),"Thiếu dữ liệu",IF(AND(AI125&lt;='THAM SỐ'!$B$29,ABS(V125)&lt;='THAM SỐ'!$B$28),"Đạt","Không đạt")))</f>
        <v/>
      </c>
      <c r="AK125" s="16" t="str">
        <f t="shared" si="18"/>
        <v/>
      </c>
      <c r="AL125" s="16" t="str">
        <f>IF($A125="","",TRIM(IF(T125=0,"Không có lệnh; ","")&amp;IF(N(N125)&gt;0,"Dừng ngoài lệnh; ","")&amp;IF(N(J125)&gt;0,"Quá tốc độ; ","")&amp;IF(N(K125)&gt;0,"Lái quá 4h; ","")&amp;IF(N(L125)&gt;0,"Không tắt máy; ","")&amp;IF(OR(P125&lt;&gt;"Đủ",Q125&lt;&gt;"Đủ",R125&lt;&gt;"Đủ"),"Thiếu ảnh; ","")&amp;IF(S125&lt;&gt;"Đạt","Lốp chưa đạt; ","")&amp;IF(N(W125)&gt;'THAM SỐ'!$B$27,"Có mặt quá giờ; ","")&amp;IF(N(X125)&gt;'THAM SỐ'!$B$25,"Lái quá giờ ngày; ","")&amp;IF(ISNUMBER(V125),IF(ABS(V125)&gt;'THAM SỐ'!$B$28,"Lệch km; ",""),"")))</f>
        <v/>
      </c>
      <c r="AM125" s="29"/>
      <c r="AN125" s="30"/>
      <c r="AO125" s="28" t="str">
        <f t="shared" si="19"/>
        <v/>
      </c>
      <c r="AP125" s="21" t="str">
        <f>IF(OR($A125="",AO125=""),"",IF(AG125=0,0,ROUND((AC125*'THAM SỐ'!$B$18+AD125*'THAM SỐ'!$B$19+AE125*'THAM SỐ'!$B$20+AF125*'THAM SỐ'!$B$21)*MIN(1,AO125/AG125),0)))</f>
        <v/>
      </c>
      <c r="AQ125" s="18"/>
    </row>
    <row r="126" spans="1:43" x14ac:dyDescent="0.45">
      <c r="A126" s="17"/>
      <c r="B126" s="18"/>
      <c r="C126" s="18"/>
      <c r="D126" s="25"/>
      <c r="E126" s="26"/>
      <c r="F126" s="26"/>
      <c r="G126" s="20"/>
      <c r="H126" s="20"/>
      <c r="I126" s="18"/>
      <c r="J126" s="18"/>
      <c r="K126" s="18"/>
      <c r="L126" s="18"/>
      <c r="M126" s="18"/>
      <c r="N126" s="18"/>
      <c r="O126" s="18"/>
      <c r="P126" s="18"/>
      <c r="Q126" s="18"/>
      <c r="R126" s="18"/>
      <c r="S126" s="18"/>
      <c r="T126" s="16" t="str">
        <f>IF($A126="","",COUNTIFS('LỆNH ĐIỀU XE'!$B$5:$B$604,$A126,'LỆNH ĐIỀU XE'!$C$5:$C$604,$B126))</f>
        <v/>
      </c>
      <c r="U126" s="27" t="str">
        <f>IF($A126="","",SUMIFS('LỆNH ĐIỀU XE'!$J$5:$J$604,'LỆNH ĐIỀU XE'!$B$5:$B$604,$A126,'LỆNH ĐIỀU XE'!$C$5:$C$604,$B126))</f>
        <v/>
      </c>
      <c r="V126" s="22" t="str">
        <f t="shared" si="10"/>
        <v/>
      </c>
      <c r="W126" s="28" t="str">
        <f t="shared" si="11"/>
        <v/>
      </c>
      <c r="X126" s="28" t="str">
        <f t="shared" si="12"/>
        <v/>
      </c>
      <c r="Y126" s="28" t="str">
        <f t="shared" si="13"/>
        <v/>
      </c>
      <c r="Z126" s="22" t="str">
        <f t="shared" si="14"/>
        <v/>
      </c>
      <c r="AA126" s="28" t="str">
        <f t="shared" si="15"/>
        <v/>
      </c>
      <c r="AB126" s="28" t="str">
        <f t="shared" si="16"/>
        <v/>
      </c>
      <c r="AC126" s="28" t="str">
        <f>IF($A126="","",SUMIFS('CHẶNG TĂNG CA'!$E$5:$E$304,'CHẶNG TĂNG CA'!$A$5:$A$304,$A126,'CHẶNG TĂNG CA'!$B$5:$B$304,$B126))</f>
        <v/>
      </c>
      <c r="AD126" s="28" t="str">
        <f>IF($A126="","",SUMIFS('CHẶNG TĂNG CA'!$F$5:$F$304,'CHẶNG TĂNG CA'!$A$5:$A$304,$A126,'CHẶNG TĂNG CA'!$B$5:$B$304,$B126))</f>
        <v/>
      </c>
      <c r="AE126" s="28" t="str">
        <f>IF($A126="","",SUMIFS('CHẶNG TĂNG CA'!$G$5:$G$304,'CHẶNG TĂNG CA'!$A$5:$A$304,$A126,'CHẶNG TĂNG CA'!$B$5:$B$304,$B126))</f>
        <v/>
      </c>
      <c r="AF126" s="28" t="str">
        <f>IF($A126="","",SUMIFS('CHẶNG TĂNG CA'!$H$5:$H$304,'CHẶNG TĂNG CA'!$A$5:$A$304,$A126,'CHẶNG TĂNG CA'!$B$5:$B$304,$B126))</f>
        <v/>
      </c>
      <c r="AG126" s="28" t="str">
        <f t="shared" si="17"/>
        <v/>
      </c>
      <c r="AH126" s="16" t="str">
        <f>IF($A126="","",IF(COUNTIFS('LỆNH ĐIỀU XE'!$B$5:$B$604,$A126,'LỆNH ĐIỀU XE'!$C$5:$C$604,$B126,'LỆNH ĐIỀU XE'!$N$5:$N$604,"Có")&gt;0,"Có","Không"))</f>
        <v/>
      </c>
      <c r="AI126" s="16" t="str">
        <f>IF(OR($A126="",H126="",N(T126)=0),"",IF(_xlfn.MAXIFS('LỆNH ĐIỀU XE'!$U$5:$U$604,'LỆNH ĐIỀU XE'!$B$5:$B$604,$A126,'LỆNH ĐIỀU XE'!$C$5:$C$604,$B126)=0,"",ROUND((H126+(H126&lt;4/24)-_xlfn.MAXIFS('LỆNH ĐIỀU XE'!$U$5:$U$604,'LỆNH ĐIỀU XE'!$B$5:$B$604,$A126,'LỆNH ĐIỀU XE'!$C$5:$C$604,$B126))*1440,0)))</f>
        <v/>
      </c>
      <c r="AJ126" s="16" t="str">
        <f>IF($A126="","",IF(OR(AI126="",V126=""),"Thiếu dữ liệu",IF(AND(AI126&lt;='THAM SỐ'!$B$29,ABS(V126)&lt;='THAM SỐ'!$B$28),"Đạt","Không đạt")))</f>
        <v/>
      </c>
      <c r="AK126" s="16" t="str">
        <f t="shared" si="18"/>
        <v/>
      </c>
      <c r="AL126" s="16" t="str">
        <f>IF($A126="","",TRIM(IF(T126=0,"Không có lệnh; ","")&amp;IF(N(N126)&gt;0,"Dừng ngoài lệnh; ","")&amp;IF(N(J126)&gt;0,"Quá tốc độ; ","")&amp;IF(N(K126)&gt;0,"Lái quá 4h; ","")&amp;IF(N(L126)&gt;0,"Không tắt máy; ","")&amp;IF(OR(P126&lt;&gt;"Đủ",Q126&lt;&gt;"Đủ",R126&lt;&gt;"Đủ"),"Thiếu ảnh; ","")&amp;IF(S126&lt;&gt;"Đạt","Lốp chưa đạt; ","")&amp;IF(N(W126)&gt;'THAM SỐ'!$B$27,"Có mặt quá giờ; ","")&amp;IF(N(X126)&gt;'THAM SỐ'!$B$25,"Lái quá giờ ngày; ","")&amp;IF(ISNUMBER(V126),IF(ABS(V126)&gt;'THAM SỐ'!$B$28,"Lệch km; ",""),"")))</f>
        <v/>
      </c>
      <c r="AM126" s="29"/>
      <c r="AN126" s="30"/>
      <c r="AO126" s="28" t="str">
        <f t="shared" si="19"/>
        <v/>
      </c>
      <c r="AP126" s="21" t="str">
        <f>IF(OR($A126="",AO126=""),"",IF(AG126=0,0,ROUND((AC126*'THAM SỐ'!$B$18+AD126*'THAM SỐ'!$B$19+AE126*'THAM SỐ'!$B$20+AF126*'THAM SỐ'!$B$21)*MIN(1,AO126/AG126),0)))</f>
        <v/>
      </c>
      <c r="AQ126" s="18"/>
    </row>
    <row r="127" spans="1:43" x14ac:dyDescent="0.45">
      <c r="A127" s="17"/>
      <c r="B127" s="18"/>
      <c r="C127" s="18"/>
      <c r="D127" s="25"/>
      <c r="E127" s="26"/>
      <c r="F127" s="26"/>
      <c r="G127" s="20"/>
      <c r="H127" s="20"/>
      <c r="I127" s="18"/>
      <c r="J127" s="18"/>
      <c r="K127" s="18"/>
      <c r="L127" s="18"/>
      <c r="M127" s="18"/>
      <c r="N127" s="18"/>
      <c r="O127" s="18"/>
      <c r="P127" s="18"/>
      <c r="Q127" s="18"/>
      <c r="R127" s="18"/>
      <c r="S127" s="18"/>
      <c r="T127" s="16" t="str">
        <f>IF($A127="","",COUNTIFS('LỆNH ĐIỀU XE'!$B$5:$B$604,$A127,'LỆNH ĐIỀU XE'!$C$5:$C$604,$B127))</f>
        <v/>
      </c>
      <c r="U127" s="27" t="str">
        <f>IF($A127="","",SUMIFS('LỆNH ĐIỀU XE'!$J$5:$J$604,'LỆNH ĐIỀU XE'!$B$5:$B$604,$A127,'LỆNH ĐIỀU XE'!$C$5:$C$604,$B127))</f>
        <v/>
      </c>
      <c r="V127" s="22" t="str">
        <f t="shared" si="10"/>
        <v/>
      </c>
      <c r="W127" s="28" t="str">
        <f t="shared" si="11"/>
        <v/>
      </c>
      <c r="X127" s="28" t="str">
        <f t="shared" si="12"/>
        <v/>
      </c>
      <c r="Y127" s="28" t="str">
        <f t="shared" si="13"/>
        <v/>
      </c>
      <c r="Z127" s="22" t="str">
        <f t="shared" si="14"/>
        <v/>
      </c>
      <c r="AA127" s="28" t="str">
        <f t="shared" si="15"/>
        <v/>
      </c>
      <c r="AB127" s="28" t="str">
        <f t="shared" si="16"/>
        <v/>
      </c>
      <c r="AC127" s="28" t="str">
        <f>IF($A127="","",SUMIFS('CHẶNG TĂNG CA'!$E$5:$E$304,'CHẶNG TĂNG CA'!$A$5:$A$304,$A127,'CHẶNG TĂNG CA'!$B$5:$B$304,$B127))</f>
        <v/>
      </c>
      <c r="AD127" s="28" t="str">
        <f>IF($A127="","",SUMIFS('CHẶNG TĂNG CA'!$F$5:$F$304,'CHẶNG TĂNG CA'!$A$5:$A$304,$A127,'CHẶNG TĂNG CA'!$B$5:$B$304,$B127))</f>
        <v/>
      </c>
      <c r="AE127" s="28" t="str">
        <f>IF($A127="","",SUMIFS('CHẶNG TĂNG CA'!$G$5:$G$304,'CHẶNG TĂNG CA'!$A$5:$A$304,$A127,'CHẶNG TĂNG CA'!$B$5:$B$304,$B127))</f>
        <v/>
      </c>
      <c r="AF127" s="28" t="str">
        <f>IF($A127="","",SUMIFS('CHẶNG TĂNG CA'!$H$5:$H$304,'CHẶNG TĂNG CA'!$A$5:$A$304,$A127,'CHẶNG TĂNG CA'!$B$5:$B$304,$B127))</f>
        <v/>
      </c>
      <c r="AG127" s="28" t="str">
        <f t="shared" si="17"/>
        <v/>
      </c>
      <c r="AH127" s="16" t="str">
        <f>IF($A127="","",IF(COUNTIFS('LỆNH ĐIỀU XE'!$B$5:$B$604,$A127,'LỆNH ĐIỀU XE'!$C$5:$C$604,$B127,'LỆNH ĐIỀU XE'!$N$5:$N$604,"Có")&gt;0,"Có","Không"))</f>
        <v/>
      </c>
      <c r="AI127" s="16" t="str">
        <f>IF(OR($A127="",H127="",N(T127)=0),"",IF(_xlfn.MAXIFS('LỆNH ĐIỀU XE'!$U$5:$U$604,'LỆNH ĐIỀU XE'!$B$5:$B$604,$A127,'LỆNH ĐIỀU XE'!$C$5:$C$604,$B127)=0,"",ROUND((H127+(H127&lt;4/24)-_xlfn.MAXIFS('LỆNH ĐIỀU XE'!$U$5:$U$604,'LỆNH ĐIỀU XE'!$B$5:$B$604,$A127,'LỆNH ĐIỀU XE'!$C$5:$C$604,$B127))*1440,0)))</f>
        <v/>
      </c>
      <c r="AJ127" s="16" t="str">
        <f>IF($A127="","",IF(OR(AI127="",V127=""),"Thiếu dữ liệu",IF(AND(AI127&lt;='THAM SỐ'!$B$29,ABS(V127)&lt;='THAM SỐ'!$B$28),"Đạt","Không đạt")))</f>
        <v/>
      </c>
      <c r="AK127" s="16" t="str">
        <f t="shared" si="18"/>
        <v/>
      </c>
      <c r="AL127" s="16" t="str">
        <f>IF($A127="","",TRIM(IF(T127=0,"Không có lệnh; ","")&amp;IF(N(N127)&gt;0,"Dừng ngoài lệnh; ","")&amp;IF(N(J127)&gt;0,"Quá tốc độ; ","")&amp;IF(N(K127)&gt;0,"Lái quá 4h; ","")&amp;IF(N(L127)&gt;0,"Không tắt máy; ","")&amp;IF(OR(P127&lt;&gt;"Đủ",Q127&lt;&gt;"Đủ",R127&lt;&gt;"Đủ"),"Thiếu ảnh; ","")&amp;IF(S127&lt;&gt;"Đạt","Lốp chưa đạt; ","")&amp;IF(N(W127)&gt;'THAM SỐ'!$B$27,"Có mặt quá giờ; ","")&amp;IF(N(X127)&gt;'THAM SỐ'!$B$25,"Lái quá giờ ngày; ","")&amp;IF(ISNUMBER(V127),IF(ABS(V127)&gt;'THAM SỐ'!$B$28,"Lệch km; ",""),"")))</f>
        <v/>
      </c>
      <c r="AM127" s="29"/>
      <c r="AN127" s="30"/>
      <c r="AO127" s="28" t="str">
        <f t="shared" si="19"/>
        <v/>
      </c>
      <c r="AP127" s="21" t="str">
        <f>IF(OR($A127="",AO127=""),"",IF(AG127=0,0,ROUND((AC127*'THAM SỐ'!$B$18+AD127*'THAM SỐ'!$B$19+AE127*'THAM SỐ'!$B$20+AF127*'THAM SỐ'!$B$21)*MIN(1,AO127/AG127),0)))</f>
        <v/>
      </c>
      <c r="AQ127" s="18"/>
    </row>
    <row r="128" spans="1:43" x14ac:dyDescent="0.45">
      <c r="A128" s="17"/>
      <c r="B128" s="18"/>
      <c r="C128" s="18"/>
      <c r="D128" s="25"/>
      <c r="E128" s="26"/>
      <c r="F128" s="26"/>
      <c r="G128" s="20"/>
      <c r="H128" s="20"/>
      <c r="I128" s="18"/>
      <c r="J128" s="18"/>
      <c r="K128" s="18"/>
      <c r="L128" s="18"/>
      <c r="M128" s="18"/>
      <c r="N128" s="18"/>
      <c r="O128" s="18"/>
      <c r="P128" s="18"/>
      <c r="Q128" s="18"/>
      <c r="R128" s="18"/>
      <c r="S128" s="18"/>
      <c r="T128" s="16" t="str">
        <f>IF($A128="","",COUNTIFS('LỆNH ĐIỀU XE'!$B$5:$B$604,$A128,'LỆNH ĐIỀU XE'!$C$5:$C$604,$B128))</f>
        <v/>
      </c>
      <c r="U128" s="27" t="str">
        <f>IF($A128="","",SUMIFS('LỆNH ĐIỀU XE'!$J$5:$J$604,'LỆNH ĐIỀU XE'!$B$5:$B$604,$A128,'LỆNH ĐIỀU XE'!$C$5:$C$604,$B128))</f>
        <v/>
      </c>
      <c r="V128" s="22" t="str">
        <f t="shared" si="10"/>
        <v/>
      </c>
      <c r="W128" s="28" t="str">
        <f t="shared" si="11"/>
        <v/>
      </c>
      <c r="X128" s="28" t="str">
        <f t="shared" si="12"/>
        <v/>
      </c>
      <c r="Y128" s="28" t="str">
        <f t="shared" si="13"/>
        <v/>
      </c>
      <c r="Z128" s="22" t="str">
        <f t="shared" si="14"/>
        <v/>
      </c>
      <c r="AA128" s="28" t="str">
        <f t="shared" si="15"/>
        <v/>
      </c>
      <c r="AB128" s="28" t="str">
        <f t="shared" si="16"/>
        <v/>
      </c>
      <c r="AC128" s="28" t="str">
        <f>IF($A128="","",SUMIFS('CHẶNG TĂNG CA'!$E$5:$E$304,'CHẶNG TĂNG CA'!$A$5:$A$304,$A128,'CHẶNG TĂNG CA'!$B$5:$B$304,$B128))</f>
        <v/>
      </c>
      <c r="AD128" s="28" t="str">
        <f>IF($A128="","",SUMIFS('CHẶNG TĂNG CA'!$F$5:$F$304,'CHẶNG TĂNG CA'!$A$5:$A$304,$A128,'CHẶNG TĂNG CA'!$B$5:$B$304,$B128))</f>
        <v/>
      </c>
      <c r="AE128" s="28" t="str">
        <f>IF($A128="","",SUMIFS('CHẶNG TĂNG CA'!$G$5:$G$304,'CHẶNG TĂNG CA'!$A$5:$A$304,$A128,'CHẶNG TĂNG CA'!$B$5:$B$304,$B128))</f>
        <v/>
      </c>
      <c r="AF128" s="28" t="str">
        <f>IF($A128="","",SUMIFS('CHẶNG TĂNG CA'!$H$5:$H$304,'CHẶNG TĂNG CA'!$A$5:$A$304,$A128,'CHẶNG TĂNG CA'!$B$5:$B$304,$B128))</f>
        <v/>
      </c>
      <c r="AG128" s="28" t="str">
        <f t="shared" si="17"/>
        <v/>
      </c>
      <c r="AH128" s="16" t="str">
        <f>IF($A128="","",IF(COUNTIFS('LỆNH ĐIỀU XE'!$B$5:$B$604,$A128,'LỆNH ĐIỀU XE'!$C$5:$C$604,$B128,'LỆNH ĐIỀU XE'!$N$5:$N$604,"Có")&gt;0,"Có","Không"))</f>
        <v/>
      </c>
      <c r="AI128" s="16" t="str">
        <f>IF(OR($A128="",H128="",N(T128)=0),"",IF(_xlfn.MAXIFS('LỆNH ĐIỀU XE'!$U$5:$U$604,'LỆNH ĐIỀU XE'!$B$5:$B$604,$A128,'LỆNH ĐIỀU XE'!$C$5:$C$604,$B128)=0,"",ROUND((H128+(H128&lt;4/24)-_xlfn.MAXIFS('LỆNH ĐIỀU XE'!$U$5:$U$604,'LỆNH ĐIỀU XE'!$B$5:$B$604,$A128,'LỆNH ĐIỀU XE'!$C$5:$C$604,$B128))*1440,0)))</f>
        <v/>
      </c>
      <c r="AJ128" s="16" t="str">
        <f>IF($A128="","",IF(OR(AI128="",V128=""),"Thiếu dữ liệu",IF(AND(AI128&lt;='THAM SỐ'!$B$29,ABS(V128)&lt;='THAM SỐ'!$B$28),"Đạt","Không đạt")))</f>
        <v/>
      </c>
      <c r="AK128" s="16" t="str">
        <f t="shared" si="18"/>
        <v/>
      </c>
      <c r="AL128" s="16" t="str">
        <f>IF($A128="","",TRIM(IF(T128=0,"Không có lệnh; ","")&amp;IF(N(N128)&gt;0,"Dừng ngoài lệnh; ","")&amp;IF(N(J128)&gt;0,"Quá tốc độ; ","")&amp;IF(N(K128)&gt;0,"Lái quá 4h; ","")&amp;IF(N(L128)&gt;0,"Không tắt máy; ","")&amp;IF(OR(P128&lt;&gt;"Đủ",Q128&lt;&gt;"Đủ",R128&lt;&gt;"Đủ"),"Thiếu ảnh; ","")&amp;IF(S128&lt;&gt;"Đạt","Lốp chưa đạt; ","")&amp;IF(N(W128)&gt;'THAM SỐ'!$B$27,"Có mặt quá giờ; ","")&amp;IF(N(X128)&gt;'THAM SỐ'!$B$25,"Lái quá giờ ngày; ","")&amp;IF(ISNUMBER(V128),IF(ABS(V128)&gt;'THAM SỐ'!$B$28,"Lệch km; ",""),"")))</f>
        <v/>
      </c>
      <c r="AM128" s="29"/>
      <c r="AN128" s="30"/>
      <c r="AO128" s="28" t="str">
        <f t="shared" si="19"/>
        <v/>
      </c>
      <c r="AP128" s="21" t="str">
        <f>IF(OR($A128="",AO128=""),"",IF(AG128=0,0,ROUND((AC128*'THAM SỐ'!$B$18+AD128*'THAM SỐ'!$B$19+AE128*'THAM SỐ'!$B$20+AF128*'THAM SỐ'!$B$21)*MIN(1,AO128/AG128),0)))</f>
        <v/>
      </c>
      <c r="AQ128" s="18"/>
    </row>
    <row r="129" spans="1:43" x14ac:dyDescent="0.45">
      <c r="A129" s="17"/>
      <c r="B129" s="18"/>
      <c r="C129" s="18"/>
      <c r="D129" s="25"/>
      <c r="E129" s="26"/>
      <c r="F129" s="26"/>
      <c r="G129" s="20"/>
      <c r="H129" s="20"/>
      <c r="I129" s="18"/>
      <c r="J129" s="18"/>
      <c r="K129" s="18"/>
      <c r="L129" s="18"/>
      <c r="M129" s="18"/>
      <c r="N129" s="18"/>
      <c r="O129" s="18"/>
      <c r="P129" s="18"/>
      <c r="Q129" s="18"/>
      <c r="R129" s="18"/>
      <c r="S129" s="18"/>
      <c r="T129" s="16" t="str">
        <f>IF($A129="","",COUNTIFS('LỆNH ĐIỀU XE'!$B$5:$B$604,$A129,'LỆNH ĐIỀU XE'!$C$5:$C$604,$B129))</f>
        <v/>
      </c>
      <c r="U129" s="27" t="str">
        <f>IF($A129="","",SUMIFS('LỆNH ĐIỀU XE'!$J$5:$J$604,'LỆNH ĐIỀU XE'!$B$5:$B$604,$A129,'LỆNH ĐIỀU XE'!$C$5:$C$604,$B129))</f>
        <v/>
      </c>
      <c r="V129" s="22" t="str">
        <f t="shared" si="10"/>
        <v/>
      </c>
      <c r="W129" s="28" t="str">
        <f t="shared" si="11"/>
        <v/>
      </c>
      <c r="X129" s="28" t="str">
        <f t="shared" si="12"/>
        <v/>
      </c>
      <c r="Y129" s="28" t="str">
        <f t="shared" si="13"/>
        <v/>
      </c>
      <c r="Z129" s="22" t="str">
        <f t="shared" si="14"/>
        <v/>
      </c>
      <c r="AA129" s="28" t="str">
        <f t="shared" si="15"/>
        <v/>
      </c>
      <c r="AB129" s="28" t="str">
        <f t="shared" si="16"/>
        <v/>
      </c>
      <c r="AC129" s="28" t="str">
        <f>IF($A129="","",SUMIFS('CHẶNG TĂNG CA'!$E$5:$E$304,'CHẶNG TĂNG CA'!$A$5:$A$304,$A129,'CHẶNG TĂNG CA'!$B$5:$B$304,$B129))</f>
        <v/>
      </c>
      <c r="AD129" s="28" t="str">
        <f>IF($A129="","",SUMIFS('CHẶNG TĂNG CA'!$F$5:$F$304,'CHẶNG TĂNG CA'!$A$5:$A$304,$A129,'CHẶNG TĂNG CA'!$B$5:$B$304,$B129))</f>
        <v/>
      </c>
      <c r="AE129" s="28" t="str">
        <f>IF($A129="","",SUMIFS('CHẶNG TĂNG CA'!$G$5:$G$304,'CHẶNG TĂNG CA'!$A$5:$A$304,$A129,'CHẶNG TĂNG CA'!$B$5:$B$304,$B129))</f>
        <v/>
      </c>
      <c r="AF129" s="28" t="str">
        <f>IF($A129="","",SUMIFS('CHẶNG TĂNG CA'!$H$5:$H$304,'CHẶNG TĂNG CA'!$A$5:$A$304,$A129,'CHẶNG TĂNG CA'!$B$5:$B$304,$B129))</f>
        <v/>
      </c>
      <c r="AG129" s="28" t="str">
        <f t="shared" si="17"/>
        <v/>
      </c>
      <c r="AH129" s="16" t="str">
        <f>IF($A129="","",IF(COUNTIFS('LỆNH ĐIỀU XE'!$B$5:$B$604,$A129,'LỆNH ĐIỀU XE'!$C$5:$C$604,$B129,'LỆNH ĐIỀU XE'!$N$5:$N$604,"Có")&gt;0,"Có","Không"))</f>
        <v/>
      </c>
      <c r="AI129" s="16" t="str">
        <f>IF(OR($A129="",H129="",N(T129)=0),"",IF(_xlfn.MAXIFS('LỆNH ĐIỀU XE'!$U$5:$U$604,'LỆNH ĐIỀU XE'!$B$5:$B$604,$A129,'LỆNH ĐIỀU XE'!$C$5:$C$604,$B129)=0,"",ROUND((H129+(H129&lt;4/24)-_xlfn.MAXIFS('LỆNH ĐIỀU XE'!$U$5:$U$604,'LỆNH ĐIỀU XE'!$B$5:$B$604,$A129,'LỆNH ĐIỀU XE'!$C$5:$C$604,$B129))*1440,0)))</f>
        <v/>
      </c>
      <c r="AJ129" s="16" t="str">
        <f>IF($A129="","",IF(OR(AI129="",V129=""),"Thiếu dữ liệu",IF(AND(AI129&lt;='THAM SỐ'!$B$29,ABS(V129)&lt;='THAM SỐ'!$B$28),"Đạt","Không đạt")))</f>
        <v/>
      </c>
      <c r="AK129" s="16" t="str">
        <f t="shared" si="18"/>
        <v/>
      </c>
      <c r="AL129" s="16" t="str">
        <f>IF($A129="","",TRIM(IF(T129=0,"Không có lệnh; ","")&amp;IF(N(N129)&gt;0,"Dừng ngoài lệnh; ","")&amp;IF(N(J129)&gt;0,"Quá tốc độ; ","")&amp;IF(N(K129)&gt;0,"Lái quá 4h; ","")&amp;IF(N(L129)&gt;0,"Không tắt máy; ","")&amp;IF(OR(P129&lt;&gt;"Đủ",Q129&lt;&gt;"Đủ",R129&lt;&gt;"Đủ"),"Thiếu ảnh; ","")&amp;IF(S129&lt;&gt;"Đạt","Lốp chưa đạt; ","")&amp;IF(N(W129)&gt;'THAM SỐ'!$B$27,"Có mặt quá giờ; ","")&amp;IF(N(X129)&gt;'THAM SỐ'!$B$25,"Lái quá giờ ngày; ","")&amp;IF(ISNUMBER(V129),IF(ABS(V129)&gt;'THAM SỐ'!$B$28,"Lệch km; ",""),"")))</f>
        <v/>
      </c>
      <c r="AM129" s="29"/>
      <c r="AN129" s="30"/>
      <c r="AO129" s="28" t="str">
        <f t="shared" si="19"/>
        <v/>
      </c>
      <c r="AP129" s="21" t="str">
        <f>IF(OR($A129="",AO129=""),"",IF(AG129=0,0,ROUND((AC129*'THAM SỐ'!$B$18+AD129*'THAM SỐ'!$B$19+AE129*'THAM SỐ'!$B$20+AF129*'THAM SỐ'!$B$21)*MIN(1,AO129/AG129),0)))</f>
        <v/>
      </c>
      <c r="AQ129" s="18"/>
    </row>
    <row r="130" spans="1:43" x14ac:dyDescent="0.45">
      <c r="A130" s="17"/>
      <c r="B130" s="18"/>
      <c r="C130" s="18"/>
      <c r="D130" s="25"/>
      <c r="E130" s="26"/>
      <c r="F130" s="26"/>
      <c r="G130" s="20"/>
      <c r="H130" s="20"/>
      <c r="I130" s="18"/>
      <c r="J130" s="18"/>
      <c r="K130" s="18"/>
      <c r="L130" s="18"/>
      <c r="M130" s="18"/>
      <c r="N130" s="18"/>
      <c r="O130" s="18"/>
      <c r="P130" s="18"/>
      <c r="Q130" s="18"/>
      <c r="R130" s="18"/>
      <c r="S130" s="18"/>
      <c r="T130" s="16" t="str">
        <f>IF($A130="","",COUNTIFS('LỆNH ĐIỀU XE'!$B$5:$B$604,$A130,'LỆNH ĐIỀU XE'!$C$5:$C$604,$B130))</f>
        <v/>
      </c>
      <c r="U130" s="27" t="str">
        <f>IF($A130="","",SUMIFS('LỆNH ĐIỀU XE'!$J$5:$J$604,'LỆNH ĐIỀU XE'!$B$5:$B$604,$A130,'LỆNH ĐIỀU XE'!$C$5:$C$604,$B130))</f>
        <v/>
      </c>
      <c r="V130" s="22" t="str">
        <f t="shared" si="10"/>
        <v/>
      </c>
      <c r="W130" s="28" t="str">
        <f t="shared" si="11"/>
        <v/>
      </c>
      <c r="X130" s="28" t="str">
        <f t="shared" si="12"/>
        <v/>
      </c>
      <c r="Y130" s="28" t="str">
        <f t="shared" si="13"/>
        <v/>
      </c>
      <c r="Z130" s="22" t="str">
        <f t="shared" si="14"/>
        <v/>
      </c>
      <c r="AA130" s="28" t="str">
        <f t="shared" si="15"/>
        <v/>
      </c>
      <c r="AB130" s="28" t="str">
        <f t="shared" si="16"/>
        <v/>
      </c>
      <c r="AC130" s="28" t="str">
        <f>IF($A130="","",SUMIFS('CHẶNG TĂNG CA'!$E$5:$E$304,'CHẶNG TĂNG CA'!$A$5:$A$304,$A130,'CHẶNG TĂNG CA'!$B$5:$B$304,$B130))</f>
        <v/>
      </c>
      <c r="AD130" s="28" t="str">
        <f>IF($A130="","",SUMIFS('CHẶNG TĂNG CA'!$F$5:$F$304,'CHẶNG TĂNG CA'!$A$5:$A$304,$A130,'CHẶNG TĂNG CA'!$B$5:$B$304,$B130))</f>
        <v/>
      </c>
      <c r="AE130" s="28" t="str">
        <f>IF($A130="","",SUMIFS('CHẶNG TĂNG CA'!$G$5:$G$304,'CHẶNG TĂNG CA'!$A$5:$A$304,$A130,'CHẶNG TĂNG CA'!$B$5:$B$304,$B130))</f>
        <v/>
      </c>
      <c r="AF130" s="28" t="str">
        <f>IF($A130="","",SUMIFS('CHẶNG TĂNG CA'!$H$5:$H$304,'CHẶNG TĂNG CA'!$A$5:$A$304,$A130,'CHẶNG TĂNG CA'!$B$5:$B$304,$B130))</f>
        <v/>
      </c>
      <c r="AG130" s="28" t="str">
        <f t="shared" si="17"/>
        <v/>
      </c>
      <c r="AH130" s="16" t="str">
        <f>IF($A130="","",IF(COUNTIFS('LỆNH ĐIỀU XE'!$B$5:$B$604,$A130,'LỆNH ĐIỀU XE'!$C$5:$C$604,$B130,'LỆNH ĐIỀU XE'!$N$5:$N$604,"Có")&gt;0,"Có","Không"))</f>
        <v/>
      </c>
      <c r="AI130" s="16" t="str">
        <f>IF(OR($A130="",H130="",N(T130)=0),"",IF(_xlfn.MAXIFS('LỆNH ĐIỀU XE'!$U$5:$U$604,'LỆNH ĐIỀU XE'!$B$5:$B$604,$A130,'LỆNH ĐIỀU XE'!$C$5:$C$604,$B130)=0,"",ROUND((H130+(H130&lt;4/24)-_xlfn.MAXIFS('LỆNH ĐIỀU XE'!$U$5:$U$604,'LỆNH ĐIỀU XE'!$B$5:$B$604,$A130,'LỆNH ĐIỀU XE'!$C$5:$C$604,$B130))*1440,0)))</f>
        <v/>
      </c>
      <c r="AJ130" s="16" t="str">
        <f>IF($A130="","",IF(OR(AI130="",V130=""),"Thiếu dữ liệu",IF(AND(AI130&lt;='THAM SỐ'!$B$29,ABS(V130)&lt;='THAM SỐ'!$B$28),"Đạt","Không đạt")))</f>
        <v/>
      </c>
      <c r="AK130" s="16" t="str">
        <f t="shared" si="18"/>
        <v/>
      </c>
      <c r="AL130" s="16" t="str">
        <f>IF($A130="","",TRIM(IF(T130=0,"Không có lệnh; ","")&amp;IF(N(N130)&gt;0,"Dừng ngoài lệnh; ","")&amp;IF(N(J130)&gt;0,"Quá tốc độ; ","")&amp;IF(N(K130)&gt;0,"Lái quá 4h; ","")&amp;IF(N(L130)&gt;0,"Không tắt máy; ","")&amp;IF(OR(P130&lt;&gt;"Đủ",Q130&lt;&gt;"Đủ",R130&lt;&gt;"Đủ"),"Thiếu ảnh; ","")&amp;IF(S130&lt;&gt;"Đạt","Lốp chưa đạt; ","")&amp;IF(N(W130)&gt;'THAM SỐ'!$B$27,"Có mặt quá giờ; ","")&amp;IF(N(X130)&gt;'THAM SỐ'!$B$25,"Lái quá giờ ngày; ","")&amp;IF(ISNUMBER(V130),IF(ABS(V130)&gt;'THAM SỐ'!$B$28,"Lệch km; ",""),"")))</f>
        <v/>
      </c>
      <c r="AM130" s="29"/>
      <c r="AN130" s="30"/>
      <c r="AO130" s="28" t="str">
        <f t="shared" si="19"/>
        <v/>
      </c>
      <c r="AP130" s="21" t="str">
        <f>IF(OR($A130="",AO130=""),"",IF(AG130=0,0,ROUND((AC130*'THAM SỐ'!$B$18+AD130*'THAM SỐ'!$B$19+AE130*'THAM SỐ'!$B$20+AF130*'THAM SỐ'!$B$21)*MIN(1,AO130/AG130),0)))</f>
        <v/>
      </c>
      <c r="AQ130" s="18"/>
    </row>
    <row r="131" spans="1:43" x14ac:dyDescent="0.45">
      <c r="A131" s="17"/>
      <c r="B131" s="18"/>
      <c r="C131" s="18"/>
      <c r="D131" s="25"/>
      <c r="E131" s="26"/>
      <c r="F131" s="26"/>
      <c r="G131" s="20"/>
      <c r="H131" s="20"/>
      <c r="I131" s="18"/>
      <c r="J131" s="18"/>
      <c r="K131" s="18"/>
      <c r="L131" s="18"/>
      <c r="M131" s="18"/>
      <c r="N131" s="18"/>
      <c r="O131" s="18"/>
      <c r="P131" s="18"/>
      <c r="Q131" s="18"/>
      <c r="R131" s="18"/>
      <c r="S131" s="18"/>
      <c r="T131" s="16" t="str">
        <f>IF($A131="","",COUNTIFS('LỆNH ĐIỀU XE'!$B$5:$B$604,$A131,'LỆNH ĐIỀU XE'!$C$5:$C$604,$B131))</f>
        <v/>
      </c>
      <c r="U131" s="27" t="str">
        <f>IF($A131="","",SUMIFS('LỆNH ĐIỀU XE'!$J$5:$J$604,'LỆNH ĐIỀU XE'!$B$5:$B$604,$A131,'LỆNH ĐIỀU XE'!$C$5:$C$604,$B131))</f>
        <v/>
      </c>
      <c r="V131" s="22" t="str">
        <f t="shared" si="10"/>
        <v/>
      </c>
      <c r="W131" s="28" t="str">
        <f t="shared" si="11"/>
        <v/>
      </c>
      <c r="X131" s="28" t="str">
        <f t="shared" si="12"/>
        <v/>
      </c>
      <c r="Y131" s="28" t="str">
        <f t="shared" si="13"/>
        <v/>
      </c>
      <c r="Z131" s="22" t="str">
        <f t="shared" si="14"/>
        <v/>
      </c>
      <c r="AA131" s="28" t="str">
        <f t="shared" si="15"/>
        <v/>
      </c>
      <c r="AB131" s="28" t="str">
        <f t="shared" si="16"/>
        <v/>
      </c>
      <c r="AC131" s="28" t="str">
        <f>IF($A131="","",SUMIFS('CHẶNG TĂNG CA'!$E$5:$E$304,'CHẶNG TĂNG CA'!$A$5:$A$304,$A131,'CHẶNG TĂNG CA'!$B$5:$B$304,$B131))</f>
        <v/>
      </c>
      <c r="AD131" s="28" t="str">
        <f>IF($A131="","",SUMIFS('CHẶNG TĂNG CA'!$F$5:$F$304,'CHẶNG TĂNG CA'!$A$5:$A$304,$A131,'CHẶNG TĂNG CA'!$B$5:$B$304,$B131))</f>
        <v/>
      </c>
      <c r="AE131" s="28" t="str">
        <f>IF($A131="","",SUMIFS('CHẶNG TĂNG CA'!$G$5:$G$304,'CHẶNG TĂNG CA'!$A$5:$A$304,$A131,'CHẶNG TĂNG CA'!$B$5:$B$304,$B131))</f>
        <v/>
      </c>
      <c r="AF131" s="28" t="str">
        <f>IF($A131="","",SUMIFS('CHẶNG TĂNG CA'!$H$5:$H$304,'CHẶNG TĂNG CA'!$A$5:$A$304,$A131,'CHẶNG TĂNG CA'!$B$5:$B$304,$B131))</f>
        <v/>
      </c>
      <c r="AG131" s="28" t="str">
        <f t="shared" si="17"/>
        <v/>
      </c>
      <c r="AH131" s="16" t="str">
        <f>IF($A131="","",IF(COUNTIFS('LỆNH ĐIỀU XE'!$B$5:$B$604,$A131,'LỆNH ĐIỀU XE'!$C$5:$C$604,$B131,'LỆNH ĐIỀU XE'!$N$5:$N$604,"Có")&gt;0,"Có","Không"))</f>
        <v/>
      </c>
      <c r="AI131" s="16" t="str">
        <f>IF(OR($A131="",H131="",N(T131)=0),"",IF(_xlfn.MAXIFS('LỆNH ĐIỀU XE'!$U$5:$U$604,'LỆNH ĐIỀU XE'!$B$5:$B$604,$A131,'LỆNH ĐIỀU XE'!$C$5:$C$604,$B131)=0,"",ROUND((H131+(H131&lt;4/24)-_xlfn.MAXIFS('LỆNH ĐIỀU XE'!$U$5:$U$604,'LỆNH ĐIỀU XE'!$B$5:$B$604,$A131,'LỆNH ĐIỀU XE'!$C$5:$C$604,$B131))*1440,0)))</f>
        <v/>
      </c>
      <c r="AJ131" s="16" t="str">
        <f>IF($A131="","",IF(OR(AI131="",V131=""),"Thiếu dữ liệu",IF(AND(AI131&lt;='THAM SỐ'!$B$29,ABS(V131)&lt;='THAM SỐ'!$B$28),"Đạt","Không đạt")))</f>
        <v/>
      </c>
      <c r="AK131" s="16" t="str">
        <f t="shared" si="18"/>
        <v/>
      </c>
      <c r="AL131" s="16" t="str">
        <f>IF($A131="","",TRIM(IF(T131=0,"Không có lệnh; ","")&amp;IF(N(N131)&gt;0,"Dừng ngoài lệnh; ","")&amp;IF(N(J131)&gt;0,"Quá tốc độ; ","")&amp;IF(N(K131)&gt;0,"Lái quá 4h; ","")&amp;IF(N(L131)&gt;0,"Không tắt máy; ","")&amp;IF(OR(P131&lt;&gt;"Đủ",Q131&lt;&gt;"Đủ",R131&lt;&gt;"Đủ"),"Thiếu ảnh; ","")&amp;IF(S131&lt;&gt;"Đạt","Lốp chưa đạt; ","")&amp;IF(N(W131)&gt;'THAM SỐ'!$B$27,"Có mặt quá giờ; ","")&amp;IF(N(X131)&gt;'THAM SỐ'!$B$25,"Lái quá giờ ngày; ","")&amp;IF(ISNUMBER(V131),IF(ABS(V131)&gt;'THAM SỐ'!$B$28,"Lệch km; ",""),"")))</f>
        <v/>
      </c>
      <c r="AM131" s="29"/>
      <c r="AN131" s="30"/>
      <c r="AO131" s="28" t="str">
        <f t="shared" si="19"/>
        <v/>
      </c>
      <c r="AP131" s="21" t="str">
        <f>IF(OR($A131="",AO131=""),"",IF(AG131=0,0,ROUND((AC131*'THAM SỐ'!$B$18+AD131*'THAM SỐ'!$B$19+AE131*'THAM SỐ'!$B$20+AF131*'THAM SỐ'!$B$21)*MIN(1,AO131/AG131),0)))</f>
        <v/>
      </c>
      <c r="AQ131" s="18"/>
    </row>
    <row r="132" spans="1:43" x14ac:dyDescent="0.45">
      <c r="A132" s="17"/>
      <c r="B132" s="18"/>
      <c r="C132" s="18"/>
      <c r="D132" s="25"/>
      <c r="E132" s="26"/>
      <c r="F132" s="26"/>
      <c r="G132" s="20"/>
      <c r="H132" s="20"/>
      <c r="I132" s="18"/>
      <c r="J132" s="18"/>
      <c r="K132" s="18"/>
      <c r="L132" s="18"/>
      <c r="M132" s="18"/>
      <c r="N132" s="18"/>
      <c r="O132" s="18"/>
      <c r="P132" s="18"/>
      <c r="Q132" s="18"/>
      <c r="R132" s="18"/>
      <c r="S132" s="18"/>
      <c r="T132" s="16" t="str">
        <f>IF($A132="","",COUNTIFS('LỆNH ĐIỀU XE'!$B$5:$B$604,$A132,'LỆNH ĐIỀU XE'!$C$5:$C$604,$B132))</f>
        <v/>
      </c>
      <c r="U132" s="27" t="str">
        <f>IF($A132="","",SUMIFS('LỆNH ĐIỀU XE'!$J$5:$J$604,'LỆNH ĐIỀU XE'!$B$5:$B$604,$A132,'LỆNH ĐIỀU XE'!$C$5:$C$604,$B132))</f>
        <v/>
      </c>
      <c r="V132" s="22" t="str">
        <f t="shared" si="10"/>
        <v/>
      </c>
      <c r="W132" s="28" t="str">
        <f t="shared" si="11"/>
        <v/>
      </c>
      <c r="X132" s="28" t="str">
        <f t="shared" si="12"/>
        <v/>
      </c>
      <c r="Y132" s="28" t="str">
        <f t="shared" si="13"/>
        <v/>
      </c>
      <c r="Z132" s="22" t="str">
        <f t="shared" si="14"/>
        <v/>
      </c>
      <c r="AA132" s="28" t="str">
        <f t="shared" si="15"/>
        <v/>
      </c>
      <c r="AB132" s="28" t="str">
        <f t="shared" si="16"/>
        <v/>
      </c>
      <c r="AC132" s="28" t="str">
        <f>IF($A132="","",SUMIFS('CHẶNG TĂNG CA'!$E$5:$E$304,'CHẶNG TĂNG CA'!$A$5:$A$304,$A132,'CHẶNG TĂNG CA'!$B$5:$B$304,$B132))</f>
        <v/>
      </c>
      <c r="AD132" s="28" t="str">
        <f>IF($A132="","",SUMIFS('CHẶNG TĂNG CA'!$F$5:$F$304,'CHẶNG TĂNG CA'!$A$5:$A$304,$A132,'CHẶNG TĂNG CA'!$B$5:$B$304,$B132))</f>
        <v/>
      </c>
      <c r="AE132" s="28" t="str">
        <f>IF($A132="","",SUMIFS('CHẶNG TĂNG CA'!$G$5:$G$304,'CHẶNG TĂNG CA'!$A$5:$A$304,$A132,'CHẶNG TĂNG CA'!$B$5:$B$304,$B132))</f>
        <v/>
      </c>
      <c r="AF132" s="28" t="str">
        <f>IF($A132="","",SUMIFS('CHẶNG TĂNG CA'!$H$5:$H$304,'CHẶNG TĂNG CA'!$A$5:$A$304,$A132,'CHẶNG TĂNG CA'!$B$5:$B$304,$B132))</f>
        <v/>
      </c>
      <c r="AG132" s="28" t="str">
        <f t="shared" si="17"/>
        <v/>
      </c>
      <c r="AH132" s="16" t="str">
        <f>IF($A132="","",IF(COUNTIFS('LỆNH ĐIỀU XE'!$B$5:$B$604,$A132,'LỆNH ĐIỀU XE'!$C$5:$C$604,$B132,'LỆNH ĐIỀU XE'!$N$5:$N$604,"Có")&gt;0,"Có","Không"))</f>
        <v/>
      </c>
      <c r="AI132" s="16" t="str">
        <f>IF(OR($A132="",H132="",N(T132)=0),"",IF(_xlfn.MAXIFS('LỆNH ĐIỀU XE'!$U$5:$U$604,'LỆNH ĐIỀU XE'!$B$5:$B$604,$A132,'LỆNH ĐIỀU XE'!$C$5:$C$604,$B132)=0,"",ROUND((H132+(H132&lt;4/24)-_xlfn.MAXIFS('LỆNH ĐIỀU XE'!$U$5:$U$604,'LỆNH ĐIỀU XE'!$B$5:$B$604,$A132,'LỆNH ĐIỀU XE'!$C$5:$C$604,$B132))*1440,0)))</f>
        <v/>
      </c>
      <c r="AJ132" s="16" t="str">
        <f>IF($A132="","",IF(OR(AI132="",V132=""),"Thiếu dữ liệu",IF(AND(AI132&lt;='THAM SỐ'!$B$29,ABS(V132)&lt;='THAM SỐ'!$B$28),"Đạt","Không đạt")))</f>
        <v/>
      </c>
      <c r="AK132" s="16" t="str">
        <f t="shared" si="18"/>
        <v/>
      </c>
      <c r="AL132" s="16" t="str">
        <f>IF($A132="","",TRIM(IF(T132=0,"Không có lệnh; ","")&amp;IF(N(N132)&gt;0,"Dừng ngoài lệnh; ","")&amp;IF(N(J132)&gt;0,"Quá tốc độ; ","")&amp;IF(N(K132)&gt;0,"Lái quá 4h; ","")&amp;IF(N(L132)&gt;0,"Không tắt máy; ","")&amp;IF(OR(P132&lt;&gt;"Đủ",Q132&lt;&gt;"Đủ",R132&lt;&gt;"Đủ"),"Thiếu ảnh; ","")&amp;IF(S132&lt;&gt;"Đạt","Lốp chưa đạt; ","")&amp;IF(N(W132)&gt;'THAM SỐ'!$B$27,"Có mặt quá giờ; ","")&amp;IF(N(X132)&gt;'THAM SỐ'!$B$25,"Lái quá giờ ngày; ","")&amp;IF(ISNUMBER(V132),IF(ABS(V132)&gt;'THAM SỐ'!$B$28,"Lệch km; ",""),"")))</f>
        <v/>
      </c>
      <c r="AM132" s="29"/>
      <c r="AN132" s="30"/>
      <c r="AO132" s="28" t="str">
        <f t="shared" si="19"/>
        <v/>
      </c>
      <c r="AP132" s="21" t="str">
        <f>IF(OR($A132="",AO132=""),"",IF(AG132=0,0,ROUND((AC132*'THAM SỐ'!$B$18+AD132*'THAM SỐ'!$B$19+AE132*'THAM SỐ'!$B$20+AF132*'THAM SỐ'!$B$21)*MIN(1,AO132/AG132),0)))</f>
        <v/>
      </c>
      <c r="AQ132" s="18"/>
    </row>
    <row r="133" spans="1:43" x14ac:dyDescent="0.45">
      <c r="A133" s="17"/>
      <c r="B133" s="18"/>
      <c r="C133" s="18"/>
      <c r="D133" s="25"/>
      <c r="E133" s="26"/>
      <c r="F133" s="26"/>
      <c r="G133" s="20"/>
      <c r="H133" s="20"/>
      <c r="I133" s="18"/>
      <c r="J133" s="18"/>
      <c r="K133" s="18"/>
      <c r="L133" s="18"/>
      <c r="M133" s="18"/>
      <c r="N133" s="18"/>
      <c r="O133" s="18"/>
      <c r="P133" s="18"/>
      <c r="Q133" s="18"/>
      <c r="R133" s="18"/>
      <c r="S133" s="18"/>
      <c r="T133" s="16" t="str">
        <f>IF($A133="","",COUNTIFS('LỆNH ĐIỀU XE'!$B$5:$B$604,$A133,'LỆNH ĐIỀU XE'!$C$5:$C$604,$B133))</f>
        <v/>
      </c>
      <c r="U133" s="27" t="str">
        <f>IF($A133="","",SUMIFS('LỆNH ĐIỀU XE'!$J$5:$J$604,'LỆNH ĐIỀU XE'!$B$5:$B$604,$A133,'LỆNH ĐIỀU XE'!$C$5:$C$604,$B133))</f>
        <v/>
      </c>
      <c r="V133" s="22" t="str">
        <f t="shared" ref="V133:V196" si="20">IF(OR($A133="",D133="",N(U133)=0),"",(D133-U133)/U133)</f>
        <v/>
      </c>
      <c r="W133" s="28" t="str">
        <f t="shared" ref="W133:W196" si="21">IF(OR($A133="",G133="",H133=""),"",ROUND((H133+(H133&lt;G133)-G133)*24,2))</f>
        <v/>
      </c>
      <c r="X133" s="28" t="str">
        <f t="shared" ref="X133:X196" si="22">IF(OR($A133="",E133=""),"",ROUND(E133*24,2))</f>
        <v/>
      </c>
      <c r="Y133" s="28" t="str">
        <f t="shared" ref="Y133:Y196" si="23">IF(OR(W133="",X133=""),"",MAX(0,W133-X133))</f>
        <v/>
      </c>
      <c r="Z133" s="22" t="str">
        <f t="shared" ref="Z133:Z196" si="24">IF(OR(W133="",X133="",N(W133)=0),"",X133/W133)</f>
        <v/>
      </c>
      <c r="AA133" s="28" t="str">
        <f t="shared" ref="AA133:AA196" si="25">IF(OR($A133="",F133="",X133=""),"",MAX(0,ROUND(F133*24-X133,2)))</f>
        <v/>
      </c>
      <c r="AB133" s="28" t="str">
        <f t="shared" ref="AB133:AB196" si="26">IF(OR($A133="",M133="",N(D133)=0),"",M133/D133*100)</f>
        <v/>
      </c>
      <c r="AC133" s="28" t="str">
        <f>IF($A133="","",SUMIFS('CHẶNG TĂNG CA'!$E$5:$E$304,'CHẶNG TĂNG CA'!$A$5:$A$304,$A133,'CHẶNG TĂNG CA'!$B$5:$B$304,$B133))</f>
        <v/>
      </c>
      <c r="AD133" s="28" t="str">
        <f>IF($A133="","",SUMIFS('CHẶNG TĂNG CA'!$F$5:$F$304,'CHẶNG TĂNG CA'!$A$5:$A$304,$A133,'CHẶNG TĂNG CA'!$B$5:$B$304,$B133))</f>
        <v/>
      </c>
      <c r="AE133" s="28" t="str">
        <f>IF($A133="","",SUMIFS('CHẶNG TĂNG CA'!$G$5:$G$304,'CHẶNG TĂNG CA'!$A$5:$A$304,$A133,'CHẶNG TĂNG CA'!$B$5:$B$304,$B133))</f>
        <v/>
      </c>
      <c r="AF133" s="28" t="str">
        <f>IF($A133="","",SUMIFS('CHẶNG TĂNG CA'!$H$5:$H$304,'CHẶNG TĂNG CA'!$A$5:$A$304,$A133,'CHẶNG TĂNG CA'!$B$5:$B$304,$B133))</f>
        <v/>
      </c>
      <c r="AG133" s="28" t="str">
        <f t="shared" ref="AG133:AG196" si="27">IF($A133="","",SUM(AC133:AF133))</f>
        <v/>
      </c>
      <c r="AH133" s="16" t="str">
        <f>IF($A133="","",IF(COUNTIFS('LỆNH ĐIỀU XE'!$B$5:$B$604,$A133,'LỆNH ĐIỀU XE'!$C$5:$C$604,$B133,'LỆNH ĐIỀU XE'!$N$5:$N$604,"Có")&gt;0,"Có","Không"))</f>
        <v/>
      </c>
      <c r="AI133" s="16" t="str">
        <f>IF(OR($A133="",H133="",N(T133)=0),"",IF(_xlfn.MAXIFS('LỆNH ĐIỀU XE'!$U$5:$U$604,'LỆNH ĐIỀU XE'!$B$5:$B$604,$A133,'LỆNH ĐIỀU XE'!$C$5:$C$604,$B133)=0,"",ROUND((H133+(H133&lt;4/24)-_xlfn.MAXIFS('LỆNH ĐIỀU XE'!$U$5:$U$604,'LỆNH ĐIỀU XE'!$B$5:$B$604,$A133,'LỆNH ĐIỀU XE'!$C$5:$C$604,$B133))*1440,0)))</f>
        <v/>
      </c>
      <c r="AJ133" s="16" t="str">
        <f>IF($A133="","",IF(OR(AI133="",V133=""),"Thiếu dữ liệu",IF(AND(AI133&lt;='THAM SỐ'!$B$29,ABS(V133)&lt;='THAM SỐ'!$B$28),"Đạt","Không đạt")))</f>
        <v/>
      </c>
      <c r="AK133" s="16" t="str">
        <f t="shared" ref="AK133:AK196" si="28">IF($A133="","",IF(AG133=0,"Không có OT",IF(AND(AH133="Có",AJ133="Đạt"),"Đủ điều kiện","Cần giải trình")))</f>
        <v/>
      </c>
      <c r="AL133" s="16" t="str">
        <f>IF($A133="","",TRIM(IF(T133=0,"Không có lệnh; ","")&amp;IF(N(N133)&gt;0,"Dừng ngoài lệnh; ","")&amp;IF(N(J133)&gt;0,"Quá tốc độ; ","")&amp;IF(N(K133)&gt;0,"Lái quá 4h; ","")&amp;IF(N(L133)&gt;0,"Không tắt máy; ","")&amp;IF(OR(P133&lt;&gt;"Đủ",Q133&lt;&gt;"Đủ",R133&lt;&gt;"Đủ"),"Thiếu ảnh; ","")&amp;IF(S133&lt;&gt;"Đạt","Lốp chưa đạt; ","")&amp;IF(N(W133)&gt;'THAM SỐ'!$B$27,"Có mặt quá giờ; ","")&amp;IF(N(X133)&gt;'THAM SỐ'!$B$25,"Lái quá giờ ngày; ","")&amp;IF(ISNUMBER(V133),IF(ABS(V133)&gt;'THAM SỐ'!$B$28,"Lệch km; ",""),"")))</f>
        <v/>
      </c>
      <c r="AM133" s="29"/>
      <c r="AN133" s="30"/>
      <c r="AO133" s="28" t="str">
        <f t="shared" ref="AO133:AO196" si="29">IF($A133="","",IF(AM133="Duyệt đủ",AG133,IF(AM133="Duyệt một phần",N(AN133),IF(AM133="Không duyệt",0,""))))</f>
        <v/>
      </c>
      <c r="AP133" s="21" t="str">
        <f>IF(OR($A133="",AO133=""),"",IF(AG133=0,0,ROUND((AC133*'THAM SỐ'!$B$18+AD133*'THAM SỐ'!$B$19+AE133*'THAM SỐ'!$B$20+AF133*'THAM SỐ'!$B$21)*MIN(1,AO133/AG133),0)))</f>
        <v/>
      </c>
      <c r="AQ133" s="18"/>
    </row>
    <row r="134" spans="1:43" x14ac:dyDescent="0.45">
      <c r="A134" s="17"/>
      <c r="B134" s="18"/>
      <c r="C134" s="18"/>
      <c r="D134" s="25"/>
      <c r="E134" s="26"/>
      <c r="F134" s="26"/>
      <c r="G134" s="20"/>
      <c r="H134" s="20"/>
      <c r="I134" s="18"/>
      <c r="J134" s="18"/>
      <c r="K134" s="18"/>
      <c r="L134" s="18"/>
      <c r="M134" s="18"/>
      <c r="N134" s="18"/>
      <c r="O134" s="18"/>
      <c r="P134" s="18"/>
      <c r="Q134" s="18"/>
      <c r="R134" s="18"/>
      <c r="S134" s="18"/>
      <c r="T134" s="16" t="str">
        <f>IF($A134="","",COUNTIFS('LỆNH ĐIỀU XE'!$B$5:$B$604,$A134,'LỆNH ĐIỀU XE'!$C$5:$C$604,$B134))</f>
        <v/>
      </c>
      <c r="U134" s="27" t="str">
        <f>IF($A134="","",SUMIFS('LỆNH ĐIỀU XE'!$J$5:$J$604,'LỆNH ĐIỀU XE'!$B$5:$B$604,$A134,'LỆNH ĐIỀU XE'!$C$5:$C$604,$B134))</f>
        <v/>
      </c>
      <c r="V134" s="22" t="str">
        <f t="shared" si="20"/>
        <v/>
      </c>
      <c r="W134" s="28" t="str">
        <f t="shared" si="21"/>
        <v/>
      </c>
      <c r="X134" s="28" t="str">
        <f t="shared" si="22"/>
        <v/>
      </c>
      <c r="Y134" s="28" t="str">
        <f t="shared" si="23"/>
        <v/>
      </c>
      <c r="Z134" s="22" t="str">
        <f t="shared" si="24"/>
        <v/>
      </c>
      <c r="AA134" s="28" t="str">
        <f t="shared" si="25"/>
        <v/>
      </c>
      <c r="AB134" s="28" t="str">
        <f t="shared" si="26"/>
        <v/>
      </c>
      <c r="AC134" s="28" t="str">
        <f>IF($A134="","",SUMIFS('CHẶNG TĂNG CA'!$E$5:$E$304,'CHẶNG TĂNG CA'!$A$5:$A$304,$A134,'CHẶNG TĂNG CA'!$B$5:$B$304,$B134))</f>
        <v/>
      </c>
      <c r="AD134" s="28" t="str">
        <f>IF($A134="","",SUMIFS('CHẶNG TĂNG CA'!$F$5:$F$304,'CHẶNG TĂNG CA'!$A$5:$A$304,$A134,'CHẶNG TĂNG CA'!$B$5:$B$304,$B134))</f>
        <v/>
      </c>
      <c r="AE134" s="28" t="str">
        <f>IF($A134="","",SUMIFS('CHẶNG TĂNG CA'!$G$5:$G$304,'CHẶNG TĂNG CA'!$A$5:$A$304,$A134,'CHẶNG TĂNG CA'!$B$5:$B$304,$B134))</f>
        <v/>
      </c>
      <c r="AF134" s="28" t="str">
        <f>IF($A134="","",SUMIFS('CHẶNG TĂNG CA'!$H$5:$H$304,'CHẶNG TĂNG CA'!$A$5:$A$304,$A134,'CHẶNG TĂNG CA'!$B$5:$B$304,$B134))</f>
        <v/>
      </c>
      <c r="AG134" s="28" t="str">
        <f t="shared" si="27"/>
        <v/>
      </c>
      <c r="AH134" s="16" t="str">
        <f>IF($A134="","",IF(COUNTIFS('LỆNH ĐIỀU XE'!$B$5:$B$604,$A134,'LỆNH ĐIỀU XE'!$C$5:$C$604,$B134,'LỆNH ĐIỀU XE'!$N$5:$N$604,"Có")&gt;0,"Có","Không"))</f>
        <v/>
      </c>
      <c r="AI134" s="16" t="str">
        <f>IF(OR($A134="",H134="",N(T134)=0),"",IF(_xlfn.MAXIFS('LỆNH ĐIỀU XE'!$U$5:$U$604,'LỆNH ĐIỀU XE'!$B$5:$B$604,$A134,'LỆNH ĐIỀU XE'!$C$5:$C$604,$B134)=0,"",ROUND((H134+(H134&lt;4/24)-_xlfn.MAXIFS('LỆNH ĐIỀU XE'!$U$5:$U$604,'LỆNH ĐIỀU XE'!$B$5:$B$604,$A134,'LỆNH ĐIỀU XE'!$C$5:$C$604,$B134))*1440,0)))</f>
        <v/>
      </c>
      <c r="AJ134" s="16" t="str">
        <f>IF($A134="","",IF(OR(AI134="",V134=""),"Thiếu dữ liệu",IF(AND(AI134&lt;='THAM SỐ'!$B$29,ABS(V134)&lt;='THAM SỐ'!$B$28),"Đạt","Không đạt")))</f>
        <v/>
      </c>
      <c r="AK134" s="16" t="str">
        <f t="shared" si="28"/>
        <v/>
      </c>
      <c r="AL134" s="16" t="str">
        <f>IF($A134="","",TRIM(IF(T134=0,"Không có lệnh; ","")&amp;IF(N(N134)&gt;0,"Dừng ngoài lệnh; ","")&amp;IF(N(J134)&gt;0,"Quá tốc độ; ","")&amp;IF(N(K134)&gt;0,"Lái quá 4h; ","")&amp;IF(N(L134)&gt;0,"Không tắt máy; ","")&amp;IF(OR(P134&lt;&gt;"Đủ",Q134&lt;&gt;"Đủ",R134&lt;&gt;"Đủ"),"Thiếu ảnh; ","")&amp;IF(S134&lt;&gt;"Đạt","Lốp chưa đạt; ","")&amp;IF(N(W134)&gt;'THAM SỐ'!$B$27,"Có mặt quá giờ; ","")&amp;IF(N(X134)&gt;'THAM SỐ'!$B$25,"Lái quá giờ ngày; ","")&amp;IF(ISNUMBER(V134),IF(ABS(V134)&gt;'THAM SỐ'!$B$28,"Lệch km; ",""),"")))</f>
        <v/>
      </c>
      <c r="AM134" s="29"/>
      <c r="AN134" s="30"/>
      <c r="AO134" s="28" t="str">
        <f t="shared" si="29"/>
        <v/>
      </c>
      <c r="AP134" s="21" t="str">
        <f>IF(OR($A134="",AO134=""),"",IF(AG134=0,0,ROUND((AC134*'THAM SỐ'!$B$18+AD134*'THAM SỐ'!$B$19+AE134*'THAM SỐ'!$B$20+AF134*'THAM SỐ'!$B$21)*MIN(1,AO134/AG134),0)))</f>
        <v/>
      </c>
      <c r="AQ134" s="18"/>
    </row>
    <row r="135" spans="1:43" x14ac:dyDescent="0.45">
      <c r="A135" s="17"/>
      <c r="B135" s="18"/>
      <c r="C135" s="18"/>
      <c r="D135" s="25"/>
      <c r="E135" s="26"/>
      <c r="F135" s="26"/>
      <c r="G135" s="20"/>
      <c r="H135" s="20"/>
      <c r="I135" s="18"/>
      <c r="J135" s="18"/>
      <c r="K135" s="18"/>
      <c r="L135" s="18"/>
      <c r="M135" s="18"/>
      <c r="N135" s="18"/>
      <c r="O135" s="18"/>
      <c r="P135" s="18"/>
      <c r="Q135" s="18"/>
      <c r="R135" s="18"/>
      <c r="S135" s="18"/>
      <c r="T135" s="16" t="str">
        <f>IF($A135="","",COUNTIFS('LỆNH ĐIỀU XE'!$B$5:$B$604,$A135,'LỆNH ĐIỀU XE'!$C$5:$C$604,$B135))</f>
        <v/>
      </c>
      <c r="U135" s="27" t="str">
        <f>IF($A135="","",SUMIFS('LỆNH ĐIỀU XE'!$J$5:$J$604,'LỆNH ĐIỀU XE'!$B$5:$B$604,$A135,'LỆNH ĐIỀU XE'!$C$5:$C$604,$B135))</f>
        <v/>
      </c>
      <c r="V135" s="22" t="str">
        <f t="shared" si="20"/>
        <v/>
      </c>
      <c r="W135" s="28" t="str">
        <f t="shared" si="21"/>
        <v/>
      </c>
      <c r="X135" s="28" t="str">
        <f t="shared" si="22"/>
        <v/>
      </c>
      <c r="Y135" s="28" t="str">
        <f t="shared" si="23"/>
        <v/>
      </c>
      <c r="Z135" s="22" t="str">
        <f t="shared" si="24"/>
        <v/>
      </c>
      <c r="AA135" s="28" t="str">
        <f t="shared" si="25"/>
        <v/>
      </c>
      <c r="AB135" s="28" t="str">
        <f t="shared" si="26"/>
        <v/>
      </c>
      <c r="AC135" s="28" t="str">
        <f>IF($A135="","",SUMIFS('CHẶNG TĂNG CA'!$E$5:$E$304,'CHẶNG TĂNG CA'!$A$5:$A$304,$A135,'CHẶNG TĂNG CA'!$B$5:$B$304,$B135))</f>
        <v/>
      </c>
      <c r="AD135" s="28" t="str">
        <f>IF($A135="","",SUMIFS('CHẶNG TĂNG CA'!$F$5:$F$304,'CHẶNG TĂNG CA'!$A$5:$A$304,$A135,'CHẶNG TĂNG CA'!$B$5:$B$304,$B135))</f>
        <v/>
      </c>
      <c r="AE135" s="28" t="str">
        <f>IF($A135="","",SUMIFS('CHẶNG TĂNG CA'!$G$5:$G$304,'CHẶNG TĂNG CA'!$A$5:$A$304,$A135,'CHẶNG TĂNG CA'!$B$5:$B$304,$B135))</f>
        <v/>
      </c>
      <c r="AF135" s="28" t="str">
        <f>IF($A135="","",SUMIFS('CHẶNG TĂNG CA'!$H$5:$H$304,'CHẶNG TĂNG CA'!$A$5:$A$304,$A135,'CHẶNG TĂNG CA'!$B$5:$B$304,$B135))</f>
        <v/>
      </c>
      <c r="AG135" s="28" t="str">
        <f t="shared" si="27"/>
        <v/>
      </c>
      <c r="AH135" s="16" t="str">
        <f>IF($A135="","",IF(COUNTIFS('LỆNH ĐIỀU XE'!$B$5:$B$604,$A135,'LỆNH ĐIỀU XE'!$C$5:$C$604,$B135,'LỆNH ĐIỀU XE'!$N$5:$N$604,"Có")&gt;0,"Có","Không"))</f>
        <v/>
      </c>
      <c r="AI135" s="16" t="str">
        <f>IF(OR($A135="",H135="",N(T135)=0),"",IF(_xlfn.MAXIFS('LỆNH ĐIỀU XE'!$U$5:$U$604,'LỆNH ĐIỀU XE'!$B$5:$B$604,$A135,'LỆNH ĐIỀU XE'!$C$5:$C$604,$B135)=0,"",ROUND((H135+(H135&lt;4/24)-_xlfn.MAXIFS('LỆNH ĐIỀU XE'!$U$5:$U$604,'LỆNH ĐIỀU XE'!$B$5:$B$604,$A135,'LỆNH ĐIỀU XE'!$C$5:$C$604,$B135))*1440,0)))</f>
        <v/>
      </c>
      <c r="AJ135" s="16" t="str">
        <f>IF($A135="","",IF(OR(AI135="",V135=""),"Thiếu dữ liệu",IF(AND(AI135&lt;='THAM SỐ'!$B$29,ABS(V135)&lt;='THAM SỐ'!$B$28),"Đạt","Không đạt")))</f>
        <v/>
      </c>
      <c r="AK135" s="16" t="str">
        <f t="shared" si="28"/>
        <v/>
      </c>
      <c r="AL135" s="16" t="str">
        <f>IF($A135="","",TRIM(IF(T135=0,"Không có lệnh; ","")&amp;IF(N(N135)&gt;0,"Dừng ngoài lệnh; ","")&amp;IF(N(J135)&gt;0,"Quá tốc độ; ","")&amp;IF(N(K135)&gt;0,"Lái quá 4h; ","")&amp;IF(N(L135)&gt;0,"Không tắt máy; ","")&amp;IF(OR(P135&lt;&gt;"Đủ",Q135&lt;&gt;"Đủ",R135&lt;&gt;"Đủ"),"Thiếu ảnh; ","")&amp;IF(S135&lt;&gt;"Đạt","Lốp chưa đạt; ","")&amp;IF(N(W135)&gt;'THAM SỐ'!$B$27,"Có mặt quá giờ; ","")&amp;IF(N(X135)&gt;'THAM SỐ'!$B$25,"Lái quá giờ ngày; ","")&amp;IF(ISNUMBER(V135),IF(ABS(V135)&gt;'THAM SỐ'!$B$28,"Lệch km; ",""),"")))</f>
        <v/>
      </c>
      <c r="AM135" s="29"/>
      <c r="AN135" s="30"/>
      <c r="AO135" s="28" t="str">
        <f t="shared" si="29"/>
        <v/>
      </c>
      <c r="AP135" s="21" t="str">
        <f>IF(OR($A135="",AO135=""),"",IF(AG135=0,0,ROUND((AC135*'THAM SỐ'!$B$18+AD135*'THAM SỐ'!$B$19+AE135*'THAM SỐ'!$B$20+AF135*'THAM SỐ'!$B$21)*MIN(1,AO135/AG135),0)))</f>
        <v/>
      </c>
      <c r="AQ135" s="18"/>
    </row>
    <row r="136" spans="1:43" x14ac:dyDescent="0.45">
      <c r="A136" s="17"/>
      <c r="B136" s="18"/>
      <c r="C136" s="18"/>
      <c r="D136" s="25"/>
      <c r="E136" s="26"/>
      <c r="F136" s="26"/>
      <c r="G136" s="20"/>
      <c r="H136" s="20"/>
      <c r="I136" s="18"/>
      <c r="J136" s="18"/>
      <c r="K136" s="18"/>
      <c r="L136" s="18"/>
      <c r="M136" s="18"/>
      <c r="N136" s="18"/>
      <c r="O136" s="18"/>
      <c r="P136" s="18"/>
      <c r="Q136" s="18"/>
      <c r="R136" s="18"/>
      <c r="S136" s="18"/>
      <c r="T136" s="16" t="str">
        <f>IF($A136="","",COUNTIFS('LỆNH ĐIỀU XE'!$B$5:$B$604,$A136,'LỆNH ĐIỀU XE'!$C$5:$C$604,$B136))</f>
        <v/>
      </c>
      <c r="U136" s="27" t="str">
        <f>IF($A136="","",SUMIFS('LỆNH ĐIỀU XE'!$J$5:$J$604,'LỆNH ĐIỀU XE'!$B$5:$B$604,$A136,'LỆNH ĐIỀU XE'!$C$5:$C$604,$B136))</f>
        <v/>
      </c>
      <c r="V136" s="22" t="str">
        <f t="shared" si="20"/>
        <v/>
      </c>
      <c r="W136" s="28" t="str">
        <f t="shared" si="21"/>
        <v/>
      </c>
      <c r="X136" s="28" t="str">
        <f t="shared" si="22"/>
        <v/>
      </c>
      <c r="Y136" s="28" t="str">
        <f t="shared" si="23"/>
        <v/>
      </c>
      <c r="Z136" s="22" t="str">
        <f t="shared" si="24"/>
        <v/>
      </c>
      <c r="AA136" s="28" t="str">
        <f t="shared" si="25"/>
        <v/>
      </c>
      <c r="AB136" s="28" t="str">
        <f t="shared" si="26"/>
        <v/>
      </c>
      <c r="AC136" s="28" t="str">
        <f>IF($A136="","",SUMIFS('CHẶNG TĂNG CA'!$E$5:$E$304,'CHẶNG TĂNG CA'!$A$5:$A$304,$A136,'CHẶNG TĂNG CA'!$B$5:$B$304,$B136))</f>
        <v/>
      </c>
      <c r="AD136" s="28" t="str">
        <f>IF($A136="","",SUMIFS('CHẶNG TĂNG CA'!$F$5:$F$304,'CHẶNG TĂNG CA'!$A$5:$A$304,$A136,'CHẶNG TĂNG CA'!$B$5:$B$304,$B136))</f>
        <v/>
      </c>
      <c r="AE136" s="28" t="str">
        <f>IF($A136="","",SUMIFS('CHẶNG TĂNG CA'!$G$5:$G$304,'CHẶNG TĂNG CA'!$A$5:$A$304,$A136,'CHẶNG TĂNG CA'!$B$5:$B$304,$B136))</f>
        <v/>
      </c>
      <c r="AF136" s="28" t="str">
        <f>IF($A136="","",SUMIFS('CHẶNG TĂNG CA'!$H$5:$H$304,'CHẶNG TĂNG CA'!$A$5:$A$304,$A136,'CHẶNG TĂNG CA'!$B$5:$B$304,$B136))</f>
        <v/>
      </c>
      <c r="AG136" s="28" t="str">
        <f t="shared" si="27"/>
        <v/>
      </c>
      <c r="AH136" s="16" t="str">
        <f>IF($A136="","",IF(COUNTIFS('LỆNH ĐIỀU XE'!$B$5:$B$604,$A136,'LỆNH ĐIỀU XE'!$C$5:$C$604,$B136,'LỆNH ĐIỀU XE'!$N$5:$N$604,"Có")&gt;0,"Có","Không"))</f>
        <v/>
      </c>
      <c r="AI136" s="16" t="str">
        <f>IF(OR($A136="",H136="",N(T136)=0),"",IF(_xlfn.MAXIFS('LỆNH ĐIỀU XE'!$U$5:$U$604,'LỆNH ĐIỀU XE'!$B$5:$B$604,$A136,'LỆNH ĐIỀU XE'!$C$5:$C$604,$B136)=0,"",ROUND((H136+(H136&lt;4/24)-_xlfn.MAXIFS('LỆNH ĐIỀU XE'!$U$5:$U$604,'LỆNH ĐIỀU XE'!$B$5:$B$604,$A136,'LỆNH ĐIỀU XE'!$C$5:$C$604,$B136))*1440,0)))</f>
        <v/>
      </c>
      <c r="AJ136" s="16" t="str">
        <f>IF($A136="","",IF(OR(AI136="",V136=""),"Thiếu dữ liệu",IF(AND(AI136&lt;='THAM SỐ'!$B$29,ABS(V136)&lt;='THAM SỐ'!$B$28),"Đạt","Không đạt")))</f>
        <v/>
      </c>
      <c r="AK136" s="16" t="str">
        <f t="shared" si="28"/>
        <v/>
      </c>
      <c r="AL136" s="16" t="str">
        <f>IF($A136="","",TRIM(IF(T136=0,"Không có lệnh; ","")&amp;IF(N(N136)&gt;0,"Dừng ngoài lệnh; ","")&amp;IF(N(J136)&gt;0,"Quá tốc độ; ","")&amp;IF(N(K136)&gt;0,"Lái quá 4h; ","")&amp;IF(N(L136)&gt;0,"Không tắt máy; ","")&amp;IF(OR(P136&lt;&gt;"Đủ",Q136&lt;&gt;"Đủ",R136&lt;&gt;"Đủ"),"Thiếu ảnh; ","")&amp;IF(S136&lt;&gt;"Đạt","Lốp chưa đạt; ","")&amp;IF(N(W136)&gt;'THAM SỐ'!$B$27,"Có mặt quá giờ; ","")&amp;IF(N(X136)&gt;'THAM SỐ'!$B$25,"Lái quá giờ ngày; ","")&amp;IF(ISNUMBER(V136),IF(ABS(V136)&gt;'THAM SỐ'!$B$28,"Lệch km; ",""),"")))</f>
        <v/>
      </c>
      <c r="AM136" s="29"/>
      <c r="AN136" s="30"/>
      <c r="AO136" s="28" t="str">
        <f t="shared" si="29"/>
        <v/>
      </c>
      <c r="AP136" s="21" t="str">
        <f>IF(OR($A136="",AO136=""),"",IF(AG136=0,0,ROUND((AC136*'THAM SỐ'!$B$18+AD136*'THAM SỐ'!$B$19+AE136*'THAM SỐ'!$B$20+AF136*'THAM SỐ'!$B$21)*MIN(1,AO136/AG136),0)))</f>
        <v/>
      </c>
      <c r="AQ136" s="18"/>
    </row>
    <row r="137" spans="1:43" x14ac:dyDescent="0.45">
      <c r="A137" s="17"/>
      <c r="B137" s="18"/>
      <c r="C137" s="18"/>
      <c r="D137" s="25"/>
      <c r="E137" s="26"/>
      <c r="F137" s="26"/>
      <c r="G137" s="20"/>
      <c r="H137" s="20"/>
      <c r="I137" s="18"/>
      <c r="J137" s="18"/>
      <c r="K137" s="18"/>
      <c r="L137" s="18"/>
      <c r="M137" s="18"/>
      <c r="N137" s="18"/>
      <c r="O137" s="18"/>
      <c r="P137" s="18"/>
      <c r="Q137" s="18"/>
      <c r="R137" s="18"/>
      <c r="S137" s="18"/>
      <c r="T137" s="16" t="str">
        <f>IF($A137="","",COUNTIFS('LỆNH ĐIỀU XE'!$B$5:$B$604,$A137,'LỆNH ĐIỀU XE'!$C$5:$C$604,$B137))</f>
        <v/>
      </c>
      <c r="U137" s="27" t="str">
        <f>IF($A137="","",SUMIFS('LỆNH ĐIỀU XE'!$J$5:$J$604,'LỆNH ĐIỀU XE'!$B$5:$B$604,$A137,'LỆNH ĐIỀU XE'!$C$5:$C$604,$B137))</f>
        <v/>
      </c>
      <c r="V137" s="22" t="str">
        <f t="shared" si="20"/>
        <v/>
      </c>
      <c r="W137" s="28" t="str">
        <f t="shared" si="21"/>
        <v/>
      </c>
      <c r="X137" s="28" t="str">
        <f t="shared" si="22"/>
        <v/>
      </c>
      <c r="Y137" s="28" t="str">
        <f t="shared" si="23"/>
        <v/>
      </c>
      <c r="Z137" s="22" t="str">
        <f t="shared" si="24"/>
        <v/>
      </c>
      <c r="AA137" s="28" t="str">
        <f t="shared" si="25"/>
        <v/>
      </c>
      <c r="AB137" s="28" t="str">
        <f t="shared" si="26"/>
        <v/>
      </c>
      <c r="AC137" s="28" t="str">
        <f>IF($A137="","",SUMIFS('CHẶNG TĂNG CA'!$E$5:$E$304,'CHẶNG TĂNG CA'!$A$5:$A$304,$A137,'CHẶNG TĂNG CA'!$B$5:$B$304,$B137))</f>
        <v/>
      </c>
      <c r="AD137" s="28" t="str">
        <f>IF($A137="","",SUMIFS('CHẶNG TĂNG CA'!$F$5:$F$304,'CHẶNG TĂNG CA'!$A$5:$A$304,$A137,'CHẶNG TĂNG CA'!$B$5:$B$304,$B137))</f>
        <v/>
      </c>
      <c r="AE137" s="28" t="str">
        <f>IF($A137="","",SUMIFS('CHẶNG TĂNG CA'!$G$5:$G$304,'CHẶNG TĂNG CA'!$A$5:$A$304,$A137,'CHẶNG TĂNG CA'!$B$5:$B$304,$B137))</f>
        <v/>
      </c>
      <c r="AF137" s="28" t="str">
        <f>IF($A137="","",SUMIFS('CHẶNG TĂNG CA'!$H$5:$H$304,'CHẶNG TĂNG CA'!$A$5:$A$304,$A137,'CHẶNG TĂNG CA'!$B$5:$B$304,$B137))</f>
        <v/>
      </c>
      <c r="AG137" s="28" t="str">
        <f t="shared" si="27"/>
        <v/>
      </c>
      <c r="AH137" s="16" t="str">
        <f>IF($A137="","",IF(COUNTIFS('LỆNH ĐIỀU XE'!$B$5:$B$604,$A137,'LỆNH ĐIỀU XE'!$C$5:$C$604,$B137,'LỆNH ĐIỀU XE'!$N$5:$N$604,"Có")&gt;0,"Có","Không"))</f>
        <v/>
      </c>
      <c r="AI137" s="16" t="str">
        <f>IF(OR($A137="",H137="",N(T137)=0),"",IF(_xlfn.MAXIFS('LỆNH ĐIỀU XE'!$U$5:$U$604,'LỆNH ĐIỀU XE'!$B$5:$B$604,$A137,'LỆNH ĐIỀU XE'!$C$5:$C$604,$B137)=0,"",ROUND((H137+(H137&lt;4/24)-_xlfn.MAXIFS('LỆNH ĐIỀU XE'!$U$5:$U$604,'LỆNH ĐIỀU XE'!$B$5:$B$604,$A137,'LỆNH ĐIỀU XE'!$C$5:$C$604,$B137))*1440,0)))</f>
        <v/>
      </c>
      <c r="AJ137" s="16" t="str">
        <f>IF($A137="","",IF(OR(AI137="",V137=""),"Thiếu dữ liệu",IF(AND(AI137&lt;='THAM SỐ'!$B$29,ABS(V137)&lt;='THAM SỐ'!$B$28),"Đạt","Không đạt")))</f>
        <v/>
      </c>
      <c r="AK137" s="16" t="str">
        <f t="shared" si="28"/>
        <v/>
      </c>
      <c r="AL137" s="16" t="str">
        <f>IF($A137="","",TRIM(IF(T137=0,"Không có lệnh; ","")&amp;IF(N(N137)&gt;0,"Dừng ngoài lệnh; ","")&amp;IF(N(J137)&gt;0,"Quá tốc độ; ","")&amp;IF(N(K137)&gt;0,"Lái quá 4h; ","")&amp;IF(N(L137)&gt;0,"Không tắt máy; ","")&amp;IF(OR(P137&lt;&gt;"Đủ",Q137&lt;&gt;"Đủ",R137&lt;&gt;"Đủ"),"Thiếu ảnh; ","")&amp;IF(S137&lt;&gt;"Đạt","Lốp chưa đạt; ","")&amp;IF(N(W137)&gt;'THAM SỐ'!$B$27,"Có mặt quá giờ; ","")&amp;IF(N(X137)&gt;'THAM SỐ'!$B$25,"Lái quá giờ ngày; ","")&amp;IF(ISNUMBER(V137),IF(ABS(V137)&gt;'THAM SỐ'!$B$28,"Lệch km; ",""),"")))</f>
        <v/>
      </c>
      <c r="AM137" s="29"/>
      <c r="AN137" s="30"/>
      <c r="AO137" s="28" t="str">
        <f t="shared" si="29"/>
        <v/>
      </c>
      <c r="AP137" s="21" t="str">
        <f>IF(OR($A137="",AO137=""),"",IF(AG137=0,0,ROUND((AC137*'THAM SỐ'!$B$18+AD137*'THAM SỐ'!$B$19+AE137*'THAM SỐ'!$B$20+AF137*'THAM SỐ'!$B$21)*MIN(1,AO137/AG137),0)))</f>
        <v/>
      </c>
      <c r="AQ137" s="18"/>
    </row>
    <row r="138" spans="1:43" x14ac:dyDescent="0.45">
      <c r="A138" s="17"/>
      <c r="B138" s="18"/>
      <c r="C138" s="18"/>
      <c r="D138" s="25"/>
      <c r="E138" s="26"/>
      <c r="F138" s="26"/>
      <c r="G138" s="20"/>
      <c r="H138" s="20"/>
      <c r="I138" s="18"/>
      <c r="J138" s="18"/>
      <c r="K138" s="18"/>
      <c r="L138" s="18"/>
      <c r="M138" s="18"/>
      <c r="N138" s="18"/>
      <c r="O138" s="18"/>
      <c r="P138" s="18"/>
      <c r="Q138" s="18"/>
      <c r="R138" s="18"/>
      <c r="S138" s="18"/>
      <c r="T138" s="16" t="str">
        <f>IF($A138="","",COUNTIFS('LỆNH ĐIỀU XE'!$B$5:$B$604,$A138,'LỆNH ĐIỀU XE'!$C$5:$C$604,$B138))</f>
        <v/>
      </c>
      <c r="U138" s="27" t="str">
        <f>IF($A138="","",SUMIFS('LỆNH ĐIỀU XE'!$J$5:$J$604,'LỆNH ĐIỀU XE'!$B$5:$B$604,$A138,'LỆNH ĐIỀU XE'!$C$5:$C$604,$B138))</f>
        <v/>
      </c>
      <c r="V138" s="22" t="str">
        <f t="shared" si="20"/>
        <v/>
      </c>
      <c r="W138" s="28" t="str">
        <f t="shared" si="21"/>
        <v/>
      </c>
      <c r="X138" s="28" t="str">
        <f t="shared" si="22"/>
        <v/>
      </c>
      <c r="Y138" s="28" t="str">
        <f t="shared" si="23"/>
        <v/>
      </c>
      <c r="Z138" s="22" t="str">
        <f t="shared" si="24"/>
        <v/>
      </c>
      <c r="AA138" s="28" t="str">
        <f t="shared" si="25"/>
        <v/>
      </c>
      <c r="AB138" s="28" t="str">
        <f t="shared" si="26"/>
        <v/>
      </c>
      <c r="AC138" s="28" t="str">
        <f>IF($A138="","",SUMIFS('CHẶNG TĂNG CA'!$E$5:$E$304,'CHẶNG TĂNG CA'!$A$5:$A$304,$A138,'CHẶNG TĂNG CA'!$B$5:$B$304,$B138))</f>
        <v/>
      </c>
      <c r="AD138" s="28" t="str">
        <f>IF($A138="","",SUMIFS('CHẶNG TĂNG CA'!$F$5:$F$304,'CHẶNG TĂNG CA'!$A$5:$A$304,$A138,'CHẶNG TĂNG CA'!$B$5:$B$304,$B138))</f>
        <v/>
      </c>
      <c r="AE138" s="28" t="str">
        <f>IF($A138="","",SUMIFS('CHẶNG TĂNG CA'!$G$5:$G$304,'CHẶNG TĂNG CA'!$A$5:$A$304,$A138,'CHẶNG TĂNG CA'!$B$5:$B$304,$B138))</f>
        <v/>
      </c>
      <c r="AF138" s="28" t="str">
        <f>IF($A138="","",SUMIFS('CHẶNG TĂNG CA'!$H$5:$H$304,'CHẶNG TĂNG CA'!$A$5:$A$304,$A138,'CHẶNG TĂNG CA'!$B$5:$B$304,$B138))</f>
        <v/>
      </c>
      <c r="AG138" s="28" t="str">
        <f t="shared" si="27"/>
        <v/>
      </c>
      <c r="AH138" s="16" t="str">
        <f>IF($A138="","",IF(COUNTIFS('LỆNH ĐIỀU XE'!$B$5:$B$604,$A138,'LỆNH ĐIỀU XE'!$C$5:$C$604,$B138,'LỆNH ĐIỀU XE'!$N$5:$N$604,"Có")&gt;0,"Có","Không"))</f>
        <v/>
      </c>
      <c r="AI138" s="16" t="str">
        <f>IF(OR($A138="",H138="",N(T138)=0),"",IF(_xlfn.MAXIFS('LỆNH ĐIỀU XE'!$U$5:$U$604,'LỆNH ĐIỀU XE'!$B$5:$B$604,$A138,'LỆNH ĐIỀU XE'!$C$5:$C$604,$B138)=0,"",ROUND((H138+(H138&lt;4/24)-_xlfn.MAXIFS('LỆNH ĐIỀU XE'!$U$5:$U$604,'LỆNH ĐIỀU XE'!$B$5:$B$604,$A138,'LỆNH ĐIỀU XE'!$C$5:$C$604,$B138))*1440,0)))</f>
        <v/>
      </c>
      <c r="AJ138" s="16" t="str">
        <f>IF($A138="","",IF(OR(AI138="",V138=""),"Thiếu dữ liệu",IF(AND(AI138&lt;='THAM SỐ'!$B$29,ABS(V138)&lt;='THAM SỐ'!$B$28),"Đạt","Không đạt")))</f>
        <v/>
      </c>
      <c r="AK138" s="16" t="str">
        <f t="shared" si="28"/>
        <v/>
      </c>
      <c r="AL138" s="16" t="str">
        <f>IF($A138="","",TRIM(IF(T138=0,"Không có lệnh; ","")&amp;IF(N(N138)&gt;0,"Dừng ngoài lệnh; ","")&amp;IF(N(J138)&gt;0,"Quá tốc độ; ","")&amp;IF(N(K138)&gt;0,"Lái quá 4h; ","")&amp;IF(N(L138)&gt;0,"Không tắt máy; ","")&amp;IF(OR(P138&lt;&gt;"Đủ",Q138&lt;&gt;"Đủ",R138&lt;&gt;"Đủ"),"Thiếu ảnh; ","")&amp;IF(S138&lt;&gt;"Đạt","Lốp chưa đạt; ","")&amp;IF(N(W138)&gt;'THAM SỐ'!$B$27,"Có mặt quá giờ; ","")&amp;IF(N(X138)&gt;'THAM SỐ'!$B$25,"Lái quá giờ ngày; ","")&amp;IF(ISNUMBER(V138),IF(ABS(V138)&gt;'THAM SỐ'!$B$28,"Lệch km; ",""),"")))</f>
        <v/>
      </c>
      <c r="AM138" s="29"/>
      <c r="AN138" s="30"/>
      <c r="AO138" s="28" t="str">
        <f t="shared" si="29"/>
        <v/>
      </c>
      <c r="AP138" s="21" t="str">
        <f>IF(OR($A138="",AO138=""),"",IF(AG138=0,0,ROUND((AC138*'THAM SỐ'!$B$18+AD138*'THAM SỐ'!$B$19+AE138*'THAM SỐ'!$B$20+AF138*'THAM SỐ'!$B$21)*MIN(1,AO138/AG138),0)))</f>
        <v/>
      </c>
      <c r="AQ138" s="18"/>
    </row>
    <row r="139" spans="1:43" x14ac:dyDescent="0.45">
      <c r="A139" s="17"/>
      <c r="B139" s="18"/>
      <c r="C139" s="18"/>
      <c r="D139" s="25"/>
      <c r="E139" s="26"/>
      <c r="F139" s="26"/>
      <c r="G139" s="20"/>
      <c r="H139" s="20"/>
      <c r="I139" s="18"/>
      <c r="J139" s="18"/>
      <c r="K139" s="18"/>
      <c r="L139" s="18"/>
      <c r="M139" s="18"/>
      <c r="N139" s="18"/>
      <c r="O139" s="18"/>
      <c r="P139" s="18"/>
      <c r="Q139" s="18"/>
      <c r="R139" s="18"/>
      <c r="S139" s="18"/>
      <c r="T139" s="16" t="str">
        <f>IF($A139="","",COUNTIFS('LỆNH ĐIỀU XE'!$B$5:$B$604,$A139,'LỆNH ĐIỀU XE'!$C$5:$C$604,$B139))</f>
        <v/>
      </c>
      <c r="U139" s="27" t="str">
        <f>IF($A139="","",SUMIFS('LỆNH ĐIỀU XE'!$J$5:$J$604,'LỆNH ĐIỀU XE'!$B$5:$B$604,$A139,'LỆNH ĐIỀU XE'!$C$5:$C$604,$B139))</f>
        <v/>
      </c>
      <c r="V139" s="22" t="str">
        <f t="shared" si="20"/>
        <v/>
      </c>
      <c r="W139" s="28" t="str">
        <f t="shared" si="21"/>
        <v/>
      </c>
      <c r="X139" s="28" t="str">
        <f t="shared" si="22"/>
        <v/>
      </c>
      <c r="Y139" s="28" t="str">
        <f t="shared" si="23"/>
        <v/>
      </c>
      <c r="Z139" s="22" t="str">
        <f t="shared" si="24"/>
        <v/>
      </c>
      <c r="AA139" s="28" t="str">
        <f t="shared" si="25"/>
        <v/>
      </c>
      <c r="AB139" s="28" t="str">
        <f t="shared" si="26"/>
        <v/>
      </c>
      <c r="AC139" s="28" t="str">
        <f>IF($A139="","",SUMIFS('CHẶNG TĂNG CA'!$E$5:$E$304,'CHẶNG TĂNG CA'!$A$5:$A$304,$A139,'CHẶNG TĂNG CA'!$B$5:$B$304,$B139))</f>
        <v/>
      </c>
      <c r="AD139" s="28" t="str">
        <f>IF($A139="","",SUMIFS('CHẶNG TĂNG CA'!$F$5:$F$304,'CHẶNG TĂNG CA'!$A$5:$A$304,$A139,'CHẶNG TĂNG CA'!$B$5:$B$304,$B139))</f>
        <v/>
      </c>
      <c r="AE139" s="28" t="str">
        <f>IF($A139="","",SUMIFS('CHẶNG TĂNG CA'!$G$5:$G$304,'CHẶNG TĂNG CA'!$A$5:$A$304,$A139,'CHẶNG TĂNG CA'!$B$5:$B$304,$B139))</f>
        <v/>
      </c>
      <c r="AF139" s="28" t="str">
        <f>IF($A139="","",SUMIFS('CHẶNG TĂNG CA'!$H$5:$H$304,'CHẶNG TĂNG CA'!$A$5:$A$304,$A139,'CHẶNG TĂNG CA'!$B$5:$B$304,$B139))</f>
        <v/>
      </c>
      <c r="AG139" s="28" t="str">
        <f t="shared" si="27"/>
        <v/>
      </c>
      <c r="AH139" s="16" t="str">
        <f>IF($A139="","",IF(COUNTIFS('LỆNH ĐIỀU XE'!$B$5:$B$604,$A139,'LỆNH ĐIỀU XE'!$C$5:$C$604,$B139,'LỆNH ĐIỀU XE'!$N$5:$N$604,"Có")&gt;0,"Có","Không"))</f>
        <v/>
      </c>
      <c r="AI139" s="16" t="str">
        <f>IF(OR($A139="",H139="",N(T139)=0),"",IF(_xlfn.MAXIFS('LỆNH ĐIỀU XE'!$U$5:$U$604,'LỆNH ĐIỀU XE'!$B$5:$B$604,$A139,'LỆNH ĐIỀU XE'!$C$5:$C$604,$B139)=0,"",ROUND((H139+(H139&lt;4/24)-_xlfn.MAXIFS('LỆNH ĐIỀU XE'!$U$5:$U$604,'LỆNH ĐIỀU XE'!$B$5:$B$604,$A139,'LỆNH ĐIỀU XE'!$C$5:$C$604,$B139))*1440,0)))</f>
        <v/>
      </c>
      <c r="AJ139" s="16" t="str">
        <f>IF($A139="","",IF(OR(AI139="",V139=""),"Thiếu dữ liệu",IF(AND(AI139&lt;='THAM SỐ'!$B$29,ABS(V139)&lt;='THAM SỐ'!$B$28),"Đạt","Không đạt")))</f>
        <v/>
      </c>
      <c r="AK139" s="16" t="str">
        <f t="shared" si="28"/>
        <v/>
      </c>
      <c r="AL139" s="16" t="str">
        <f>IF($A139="","",TRIM(IF(T139=0,"Không có lệnh; ","")&amp;IF(N(N139)&gt;0,"Dừng ngoài lệnh; ","")&amp;IF(N(J139)&gt;0,"Quá tốc độ; ","")&amp;IF(N(K139)&gt;0,"Lái quá 4h; ","")&amp;IF(N(L139)&gt;0,"Không tắt máy; ","")&amp;IF(OR(P139&lt;&gt;"Đủ",Q139&lt;&gt;"Đủ",R139&lt;&gt;"Đủ"),"Thiếu ảnh; ","")&amp;IF(S139&lt;&gt;"Đạt","Lốp chưa đạt; ","")&amp;IF(N(W139)&gt;'THAM SỐ'!$B$27,"Có mặt quá giờ; ","")&amp;IF(N(X139)&gt;'THAM SỐ'!$B$25,"Lái quá giờ ngày; ","")&amp;IF(ISNUMBER(V139),IF(ABS(V139)&gt;'THAM SỐ'!$B$28,"Lệch km; ",""),"")))</f>
        <v/>
      </c>
      <c r="AM139" s="29"/>
      <c r="AN139" s="30"/>
      <c r="AO139" s="28" t="str">
        <f t="shared" si="29"/>
        <v/>
      </c>
      <c r="AP139" s="21" t="str">
        <f>IF(OR($A139="",AO139=""),"",IF(AG139=0,0,ROUND((AC139*'THAM SỐ'!$B$18+AD139*'THAM SỐ'!$B$19+AE139*'THAM SỐ'!$B$20+AF139*'THAM SỐ'!$B$21)*MIN(1,AO139/AG139),0)))</f>
        <v/>
      </c>
      <c r="AQ139" s="18"/>
    </row>
    <row r="140" spans="1:43" x14ac:dyDescent="0.45">
      <c r="A140" s="17"/>
      <c r="B140" s="18"/>
      <c r="C140" s="18"/>
      <c r="D140" s="25"/>
      <c r="E140" s="26"/>
      <c r="F140" s="26"/>
      <c r="G140" s="20"/>
      <c r="H140" s="20"/>
      <c r="I140" s="18"/>
      <c r="J140" s="18"/>
      <c r="K140" s="18"/>
      <c r="L140" s="18"/>
      <c r="M140" s="18"/>
      <c r="N140" s="18"/>
      <c r="O140" s="18"/>
      <c r="P140" s="18"/>
      <c r="Q140" s="18"/>
      <c r="R140" s="18"/>
      <c r="S140" s="18"/>
      <c r="T140" s="16" t="str">
        <f>IF($A140="","",COUNTIFS('LỆNH ĐIỀU XE'!$B$5:$B$604,$A140,'LỆNH ĐIỀU XE'!$C$5:$C$604,$B140))</f>
        <v/>
      </c>
      <c r="U140" s="27" t="str">
        <f>IF($A140="","",SUMIFS('LỆNH ĐIỀU XE'!$J$5:$J$604,'LỆNH ĐIỀU XE'!$B$5:$B$604,$A140,'LỆNH ĐIỀU XE'!$C$5:$C$604,$B140))</f>
        <v/>
      </c>
      <c r="V140" s="22" t="str">
        <f t="shared" si="20"/>
        <v/>
      </c>
      <c r="W140" s="28" t="str">
        <f t="shared" si="21"/>
        <v/>
      </c>
      <c r="X140" s="28" t="str">
        <f t="shared" si="22"/>
        <v/>
      </c>
      <c r="Y140" s="28" t="str">
        <f t="shared" si="23"/>
        <v/>
      </c>
      <c r="Z140" s="22" t="str">
        <f t="shared" si="24"/>
        <v/>
      </c>
      <c r="AA140" s="28" t="str">
        <f t="shared" si="25"/>
        <v/>
      </c>
      <c r="AB140" s="28" t="str">
        <f t="shared" si="26"/>
        <v/>
      </c>
      <c r="AC140" s="28" t="str">
        <f>IF($A140="","",SUMIFS('CHẶNG TĂNG CA'!$E$5:$E$304,'CHẶNG TĂNG CA'!$A$5:$A$304,$A140,'CHẶNG TĂNG CA'!$B$5:$B$304,$B140))</f>
        <v/>
      </c>
      <c r="AD140" s="28" t="str">
        <f>IF($A140="","",SUMIFS('CHẶNG TĂNG CA'!$F$5:$F$304,'CHẶNG TĂNG CA'!$A$5:$A$304,$A140,'CHẶNG TĂNG CA'!$B$5:$B$304,$B140))</f>
        <v/>
      </c>
      <c r="AE140" s="28" t="str">
        <f>IF($A140="","",SUMIFS('CHẶNG TĂNG CA'!$G$5:$G$304,'CHẶNG TĂNG CA'!$A$5:$A$304,$A140,'CHẶNG TĂNG CA'!$B$5:$B$304,$B140))</f>
        <v/>
      </c>
      <c r="AF140" s="28" t="str">
        <f>IF($A140="","",SUMIFS('CHẶNG TĂNG CA'!$H$5:$H$304,'CHẶNG TĂNG CA'!$A$5:$A$304,$A140,'CHẶNG TĂNG CA'!$B$5:$B$304,$B140))</f>
        <v/>
      </c>
      <c r="AG140" s="28" t="str">
        <f t="shared" si="27"/>
        <v/>
      </c>
      <c r="AH140" s="16" t="str">
        <f>IF($A140="","",IF(COUNTIFS('LỆNH ĐIỀU XE'!$B$5:$B$604,$A140,'LỆNH ĐIỀU XE'!$C$5:$C$604,$B140,'LỆNH ĐIỀU XE'!$N$5:$N$604,"Có")&gt;0,"Có","Không"))</f>
        <v/>
      </c>
      <c r="AI140" s="16" t="str">
        <f>IF(OR($A140="",H140="",N(T140)=0),"",IF(_xlfn.MAXIFS('LỆNH ĐIỀU XE'!$U$5:$U$604,'LỆNH ĐIỀU XE'!$B$5:$B$604,$A140,'LỆNH ĐIỀU XE'!$C$5:$C$604,$B140)=0,"",ROUND((H140+(H140&lt;4/24)-_xlfn.MAXIFS('LỆNH ĐIỀU XE'!$U$5:$U$604,'LỆNH ĐIỀU XE'!$B$5:$B$604,$A140,'LỆNH ĐIỀU XE'!$C$5:$C$604,$B140))*1440,0)))</f>
        <v/>
      </c>
      <c r="AJ140" s="16" t="str">
        <f>IF($A140="","",IF(OR(AI140="",V140=""),"Thiếu dữ liệu",IF(AND(AI140&lt;='THAM SỐ'!$B$29,ABS(V140)&lt;='THAM SỐ'!$B$28),"Đạt","Không đạt")))</f>
        <v/>
      </c>
      <c r="AK140" s="16" t="str">
        <f t="shared" si="28"/>
        <v/>
      </c>
      <c r="AL140" s="16" t="str">
        <f>IF($A140="","",TRIM(IF(T140=0,"Không có lệnh; ","")&amp;IF(N(N140)&gt;0,"Dừng ngoài lệnh; ","")&amp;IF(N(J140)&gt;0,"Quá tốc độ; ","")&amp;IF(N(K140)&gt;0,"Lái quá 4h; ","")&amp;IF(N(L140)&gt;0,"Không tắt máy; ","")&amp;IF(OR(P140&lt;&gt;"Đủ",Q140&lt;&gt;"Đủ",R140&lt;&gt;"Đủ"),"Thiếu ảnh; ","")&amp;IF(S140&lt;&gt;"Đạt","Lốp chưa đạt; ","")&amp;IF(N(W140)&gt;'THAM SỐ'!$B$27,"Có mặt quá giờ; ","")&amp;IF(N(X140)&gt;'THAM SỐ'!$B$25,"Lái quá giờ ngày; ","")&amp;IF(ISNUMBER(V140),IF(ABS(V140)&gt;'THAM SỐ'!$B$28,"Lệch km; ",""),"")))</f>
        <v/>
      </c>
      <c r="AM140" s="29"/>
      <c r="AN140" s="30"/>
      <c r="AO140" s="28" t="str">
        <f t="shared" si="29"/>
        <v/>
      </c>
      <c r="AP140" s="21" t="str">
        <f>IF(OR($A140="",AO140=""),"",IF(AG140=0,0,ROUND((AC140*'THAM SỐ'!$B$18+AD140*'THAM SỐ'!$B$19+AE140*'THAM SỐ'!$B$20+AF140*'THAM SỐ'!$B$21)*MIN(1,AO140/AG140),0)))</f>
        <v/>
      </c>
      <c r="AQ140" s="18"/>
    </row>
    <row r="141" spans="1:43" x14ac:dyDescent="0.45">
      <c r="A141" s="17"/>
      <c r="B141" s="18"/>
      <c r="C141" s="18"/>
      <c r="D141" s="25"/>
      <c r="E141" s="26"/>
      <c r="F141" s="26"/>
      <c r="G141" s="20"/>
      <c r="H141" s="20"/>
      <c r="I141" s="18"/>
      <c r="J141" s="18"/>
      <c r="K141" s="18"/>
      <c r="L141" s="18"/>
      <c r="M141" s="18"/>
      <c r="N141" s="18"/>
      <c r="O141" s="18"/>
      <c r="P141" s="18"/>
      <c r="Q141" s="18"/>
      <c r="R141" s="18"/>
      <c r="S141" s="18"/>
      <c r="T141" s="16" t="str">
        <f>IF($A141="","",COUNTIFS('LỆNH ĐIỀU XE'!$B$5:$B$604,$A141,'LỆNH ĐIỀU XE'!$C$5:$C$604,$B141))</f>
        <v/>
      </c>
      <c r="U141" s="27" t="str">
        <f>IF($A141="","",SUMIFS('LỆNH ĐIỀU XE'!$J$5:$J$604,'LỆNH ĐIỀU XE'!$B$5:$B$604,$A141,'LỆNH ĐIỀU XE'!$C$5:$C$604,$B141))</f>
        <v/>
      </c>
      <c r="V141" s="22" t="str">
        <f t="shared" si="20"/>
        <v/>
      </c>
      <c r="W141" s="28" t="str">
        <f t="shared" si="21"/>
        <v/>
      </c>
      <c r="X141" s="28" t="str">
        <f t="shared" si="22"/>
        <v/>
      </c>
      <c r="Y141" s="28" t="str">
        <f t="shared" si="23"/>
        <v/>
      </c>
      <c r="Z141" s="22" t="str">
        <f t="shared" si="24"/>
        <v/>
      </c>
      <c r="AA141" s="28" t="str">
        <f t="shared" si="25"/>
        <v/>
      </c>
      <c r="AB141" s="28" t="str">
        <f t="shared" si="26"/>
        <v/>
      </c>
      <c r="AC141" s="28" t="str">
        <f>IF($A141="","",SUMIFS('CHẶNG TĂNG CA'!$E$5:$E$304,'CHẶNG TĂNG CA'!$A$5:$A$304,$A141,'CHẶNG TĂNG CA'!$B$5:$B$304,$B141))</f>
        <v/>
      </c>
      <c r="AD141" s="28" t="str">
        <f>IF($A141="","",SUMIFS('CHẶNG TĂNG CA'!$F$5:$F$304,'CHẶNG TĂNG CA'!$A$5:$A$304,$A141,'CHẶNG TĂNG CA'!$B$5:$B$304,$B141))</f>
        <v/>
      </c>
      <c r="AE141" s="28" t="str">
        <f>IF($A141="","",SUMIFS('CHẶNG TĂNG CA'!$G$5:$G$304,'CHẶNG TĂNG CA'!$A$5:$A$304,$A141,'CHẶNG TĂNG CA'!$B$5:$B$304,$B141))</f>
        <v/>
      </c>
      <c r="AF141" s="28" t="str">
        <f>IF($A141="","",SUMIFS('CHẶNG TĂNG CA'!$H$5:$H$304,'CHẶNG TĂNG CA'!$A$5:$A$304,$A141,'CHẶNG TĂNG CA'!$B$5:$B$304,$B141))</f>
        <v/>
      </c>
      <c r="AG141" s="28" t="str">
        <f t="shared" si="27"/>
        <v/>
      </c>
      <c r="AH141" s="16" t="str">
        <f>IF($A141="","",IF(COUNTIFS('LỆNH ĐIỀU XE'!$B$5:$B$604,$A141,'LỆNH ĐIỀU XE'!$C$5:$C$604,$B141,'LỆNH ĐIỀU XE'!$N$5:$N$604,"Có")&gt;0,"Có","Không"))</f>
        <v/>
      </c>
      <c r="AI141" s="16" t="str">
        <f>IF(OR($A141="",H141="",N(T141)=0),"",IF(_xlfn.MAXIFS('LỆNH ĐIỀU XE'!$U$5:$U$604,'LỆNH ĐIỀU XE'!$B$5:$B$604,$A141,'LỆNH ĐIỀU XE'!$C$5:$C$604,$B141)=0,"",ROUND((H141+(H141&lt;4/24)-_xlfn.MAXIFS('LỆNH ĐIỀU XE'!$U$5:$U$604,'LỆNH ĐIỀU XE'!$B$5:$B$604,$A141,'LỆNH ĐIỀU XE'!$C$5:$C$604,$B141))*1440,0)))</f>
        <v/>
      </c>
      <c r="AJ141" s="16" t="str">
        <f>IF($A141="","",IF(OR(AI141="",V141=""),"Thiếu dữ liệu",IF(AND(AI141&lt;='THAM SỐ'!$B$29,ABS(V141)&lt;='THAM SỐ'!$B$28),"Đạt","Không đạt")))</f>
        <v/>
      </c>
      <c r="AK141" s="16" t="str">
        <f t="shared" si="28"/>
        <v/>
      </c>
      <c r="AL141" s="16" t="str">
        <f>IF($A141="","",TRIM(IF(T141=0,"Không có lệnh; ","")&amp;IF(N(N141)&gt;0,"Dừng ngoài lệnh; ","")&amp;IF(N(J141)&gt;0,"Quá tốc độ; ","")&amp;IF(N(K141)&gt;0,"Lái quá 4h; ","")&amp;IF(N(L141)&gt;0,"Không tắt máy; ","")&amp;IF(OR(P141&lt;&gt;"Đủ",Q141&lt;&gt;"Đủ",R141&lt;&gt;"Đủ"),"Thiếu ảnh; ","")&amp;IF(S141&lt;&gt;"Đạt","Lốp chưa đạt; ","")&amp;IF(N(W141)&gt;'THAM SỐ'!$B$27,"Có mặt quá giờ; ","")&amp;IF(N(X141)&gt;'THAM SỐ'!$B$25,"Lái quá giờ ngày; ","")&amp;IF(ISNUMBER(V141),IF(ABS(V141)&gt;'THAM SỐ'!$B$28,"Lệch km; ",""),"")))</f>
        <v/>
      </c>
      <c r="AM141" s="29"/>
      <c r="AN141" s="30"/>
      <c r="AO141" s="28" t="str">
        <f t="shared" si="29"/>
        <v/>
      </c>
      <c r="AP141" s="21" t="str">
        <f>IF(OR($A141="",AO141=""),"",IF(AG141=0,0,ROUND((AC141*'THAM SỐ'!$B$18+AD141*'THAM SỐ'!$B$19+AE141*'THAM SỐ'!$B$20+AF141*'THAM SỐ'!$B$21)*MIN(1,AO141/AG141),0)))</f>
        <v/>
      </c>
      <c r="AQ141" s="18"/>
    </row>
    <row r="142" spans="1:43" x14ac:dyDescent="0.45">
      <c r="A142" s="17"/>
      <c r="B142" s="18"/>
      <c r="C142" s="18"/>
      <c r="D142" s="25"/>
      <c r="E142" s="26"/>
      <c r="F142" s="26"/>
      <c r="G142" s="20"/>
      <c r="H142" s="20"/>
      <c r="I142" s="18"/>
      <c r="J142" s="18"/>
      <c r="K142" s="18"/>
      <c r="L142" s="18"/>
      <c r="M142" s="18"/>
      <c r="N142" s="18"/>
      <c r="O142" s="18"/>
      <c r="P142" s="18"/>
      <c r="Q142" s="18"/>
      <c r="R142" s="18"/>
      <c r="S142" s="18"/>
      <c r="T142" s="16" t="str">
        <f>IF($A142="","",COUNTIFS('LỆNH ĐIỀU XE'!$B$5:$B$604,$A142,'LỆNH ĐIỀU XE'!$C$5:$C$604,$B142))</f>
        <v/>
      </c>
      <c r="U142" s="27" t="str">
        <f>IF($A142="","",SUMIFS('LỆNH ĐIỀU XE'!$J$5:$J$604,'LỆNH ĐIỀU XE'!$B$5:$B$604,$A142,'LỆNH ĐIỀU XE'!$C$5:$C$604,$B142))</f>
        <v/>
      </c>
      <c r="V142" s="22" t="str">
        <f t="shared" si="20"/>
        <v/>
      </c>
      <c r="W142" s="28" t="str">
        <f t="shared" si="21"/>
        <v/>
      </c>
      <c r="X142" s="28" t="str">
        <f t="shared" si="22"/>
        <v/>
      </c>
      <c r="Y142" s="28" t="str">
        <f t="shared" si="23"/>
        <v/>
      </c>
      <c r="Z142" s="22" t="str">
        <f t="shared" si="24"/>
        <v/>
      </c>
      <c r="AA142" s="28" t="str">
        <f t="shared" si="25"/>
        <v/>
      </c>
      <c r="AB142" s="28" t="str">
        <f t="shared" si="26"/>
        <v/>
      </c>
      <c r="AC142" s="28" t="str">
        <f>IF($A142="","",SUMIFS('CHẶNG TĂNG CA'!$E$5:$E$304,'CHẶNG TĂNG CA'!$A$5:$A$304,$A142,'CHẶNG TĂNG CA'!$B$5:$B$304,$B142))</f>
        <v/>
      </c>
      <c r="AD142" s="28" t="str">
        <f>IF($A142="","",SUMIFS('CHẶNG TĂNG CA'!$F$5:$F$304,'CHẶNG TĂNG CA'!$A$5:$A$304,$A142,'CHẶNG TĂNG CA'!$B$5:$B$304,$B142))</f>
        <v/>
      </c>
      <c r="AE142" s="28" t="str">
        <f>IF($A142="","",SUMIFS('CHẶNG TĂNG CA'!$G$5:$G$304,'CHẶNG TĂNG CA'!$A$5:$A$304,$A142,'CHẶNG TĂNG CA'!$B$5:$B$304,$B142))</f>
        <v/>
      </c>
      <c r="AF142" s="28" t="str">
        <f>IF($A142="","",SUMIFS('CHẶNG TĂNG CA'!$H$5:$H$304,'CHẶNG TĂNG CA'!$A$5:$A$304,$A142,'CHẶNG TĂNG CA'!$B$5:$B$304,$B142))</f>
        <v/>
      </c>
      <c r="AG142" s="28" t="str">
        <f t="shared" si="27"/>
        <v/>
      </c>
      <c r="AH142" s="16" t="str">
        <f>IF($A142="","",IF(COUNTIFS('LỆNH ĐIỀU XE'!$B$5:$B$604,$A142,'LỆNH ĐIỀU XE'!$C$5:$C$604,$B142,'LỆNH ĐIỀU XE'!$N$5:$N$604,"Có")&gt;0,"Có","Không"))</f>
        <v/>
      </c>
      <c r="AI142" s="16" t="str">
        <f>IF(OR($A142="",H142="",N(T142)=0),"",IF(_xlfn.MAXIFS('LỆNH ĐIỀU XE'!$U$5:$U$604,'LỆNH ĐIỀU XE'!$B$5:$B$604,$A142,'LỆNH ĐIỀU XE'!$C$5:$C$604,$B142)=0,"",ROUND((H142+(H142&lt;4/24)-_xlfn.MAXIFS('LỆNH ĐIỀU XE'!$U$5:$U$604,'LỆNH ĐIỀU XE'!$B$5:$B$604,$A142,'LỆNH ĐIỀU XE'!$C$5:$C$604,$B142))*1440,0)))</f>
        <v/>
      </c>
      <c r="AJ142" s="16" t="str">
        <f>IF($A142="","",IF(OR(AI142="",V142=""),"Thiếu dữ liệu",IF(AND(AI142&lt;='THAM SỐ'!$B$29,ABS(V142)&lt;='THAM SỐ'!$B$28),"Đạt","Không đạt")))</f>
        <v/>
      </c>
      <c r="AK142" s="16" t="str">
        <f t="shared" si="28"/>
        <v/>
      </c>
      <c r="AL142" s="16" t="str">
        <f>IF($A142="","",TRIM(IF(T142=0,"Không có lệnh; ","")&amp;IF(N(N142)&gt;0,"Dừng ngoài lệnh; ","")&amp;IF(N(J142)&gt;0,"Quá tốc độ; ","")&amp;IF(N(K142)&gt;0,"Lái quá 4h; ","")&amp;IF(N(L142)&gt;0,"Không tắt máy; ","")&amp;IF(OR(P142&lt;&gt;"Đủ",Q142&lt;&gt;"Đủ",R142&lt;&gt;"Đủ"),"Thiếu ảnh; ","")&amp;IF(S142&lt;&gt;"Đạt","Lốp chưa đạt; ","")&amp;IF(N(W142)&gt;'THAM SỐ'!$B$27,"Có mặt quá giờ; ","")&amp;IF(N(X142)&gt;'THAM SỐ'!$B$25,"Lái quá giờ ngày; ","")&amp;IF(ISNUMBER(V142),IF(ABS(V142)&gt;'THAM SỐ'!$B$28,"Lệch km; ",""),"")))</f>
        <v/>
      </c>
      <c r="AM142" s="29"/>
      <c r="AN142" s="30"/>
      <c r="AO142" s="28" t="str">
        <f t="shared" si="29"/>
        <v/>
      </c>
      <c r="AP142" s="21" t="str">
        <f>IF(OR($A142="",AO142=""),"",IF(AG142=0,0,ROUND((AC142*'THAM SỐ'!$B$18+AD142*'THAM SỐ'!$B$19+AE142*'THAM SỐ'!$B$20+AF142*'THAM SỐ'!$B$21)*MIN(1,AO142/AG142),0)))</f>
        <v/>
      </c>
      <c r="AQ142" s="18"/>
    </row>
    <row r="143" spans="1:43" x14ac:dyDescent="0.45">
      <c r="A143" s="17"/>
      <c r="B143" s="18"/>
      <c r="C143" s="18"/>
      <c r="D143" s="25"/>
      <c r="E143" s="26"/>
      <c r="F143" s="26"/>
      <c r="G143" s="20"/>
      <c r="H143" s="20"/>
      <c r="I143" s="18"/>
      <c r="J143" s="18"/>
      <c r="K143" s="18"/>
      <c r="L143" s="18"/>
      <c r="M143" s="18"/>
      <c r="N143" s="18"/>
      <c r="O143" s="18"/>
      <c r="P143" s="18"/>
      <c r="Q143" s="18"/>
      <c r="R143" s="18"/>
      <c r="S143" s="18"/>
      <c r="T143" s="16" t="str">
        <f>IF($A143="","",COUNTIFS('LỆNH ĐIỀU XE'!$B$5:$B$604,$A143,'LỆNH ĐIỀU XE'!$C$5:$C$604,$B143))</f>
        <v/>
      </c>
      <c r="U143" s="27" t="str">
        <f>IF($A143="","",SUMIFS('LỆNH ĐIỀU XE'!$J$5:$J$604,'LỆNH ĐIỀU XE'!$B$5:$B$604,$A143,'LỆNH ĐIỀU XE'!$C$5:$C$604,$B143))</f>
        <v/>
      </c>
      <c r="V143" s="22" t="str">
        <f t="shared" si="20"/>
        <v/>
      </c>
      <c r="W143" s="28" t="str">
        <f t="shared" si="21"/>
        <v/>
      </c>
      <c r="X143" s="28" t="str">
        <f t="shared" si="22"/>
        <v/>
      </c>
      <c r="Y143" s="28" t="str">
        <f t="shared" si="23"/>
        <v/>
      </c>
      <c r="Z143" s="22" t="str">
        <f t="shared" si="24"/>
        <v/>
      </c>
      <c r="AA143" s="28" t="str">
        <f t="shared" si="25"/>
        <v/>
      </c>
      <c r="AB143" s="28" t="str">
        <f t="shared" si="26"/>
        <v/>
      </c>
      <c r="AC143" s="28" t="str">
        <f>IF($A143="","",SUMIFS('CHẶNG TĂNG CA'!$E$5:$E$304,'CHẶNG TĂNG CA'!$A$5:$A$304,$A143,'CHẶNG TĂNG CA'!$B$5:$B$304,$B143))</f>
        <v/>
      </c>
      <c r="AD143" s="28" t="str">
        <f>IF($A143="","",SUMIFS('CHẶNG TĂNG CA'!$F$5:$F$304,'CHẶNG TĂNG CA'!$A$5:$A$304,$A143,'CHẶNG TĂNG CA'!$B$5:$B$304,$B143))</f>
        <v/>
      </c>
      <c r="AE143" s="28" t="str">
        <f>IF($A143="","",SUMIFS('CHẶNG TĂNG CA'!$G$5:$G$304,'CHẶNG TĂNG CA'!$A$5:$A$304,$A143,'CHẶNG TĂNG CA'!$B$5:$B$304,$B143))</f>
        <v/>
      </c>
      <c r="AF143" s="28" t="str">
        <f>IF($A143="","",SUMIFS('CHẶNG TĂNG CA'!$H$5:$H$304,'CHẶNG TĂNG CA'!$A$5:$A$304,$A143,'CHẶNG TĂNG CA'!$B$5:$B$304,$B143))</f>
        <v/>
      </c>
      <c r="AG143" s="28" t="str">
        <f t="shared" si="27"/>
        <v/>
      </c>
      <c r="AH143" s="16" t="str">
        <f>IF($A143="","",IF(COUNTIFS('LỆNH ĐIỀU XE'!$B$5:$B$604,$A143,'LỆNH ĐIỀU XE'!$C$5:$C$604,$B143,'LỆNH ĐIỀU XE'!$N$5:$N$604,"Có")&gt;0,"Có","Không"))</f>
        <v/>
      </c>
      <c r="AI143" s="16" t="str">
        <f>IF(OR($A143="",H143="",N(T143)=0),"",IF(_xlfn.MAXIFS('LỆNH ĐIỀU XE'!$U$5:$U$604,'LỆNH ĐIỀU XE'!$B$5:$B$604,$A143,'LỆNH ĐIỀU XE'!$C$5:$C$604,$B143)=0,"",ROUND((H143+(H143&lt;4/24)-_xlfn.MAXIFS('LỆNH ĐIỀU XE'!$U$5:$U$604,'LỆNH ĐIỀU XE'!$B$5:$B$604,$A143,'LỆNH ĐIỀU XE'!$C$5:$C$604,$B143))*1440,0)))</f>
        <v/>
      </c>
      <c r="AJ143" s="16" t="str">
        <f>IF($A143="","",IF(OR(AI143="",V143=""),"Thiếu dữ liệu",IF(AND(AI143&lt;='THAM SỐ'!$B$29,ABS(V143)&lt;='THAM SỐ'!$B$28),"Đạt","Không đạt")))</f>
        <v/>
      </c>
      <c r="AK143" s="16" t="str">
        <f t="shared" si="28"/>
        <v/>
      </c>
      <c r="AL143" s="16" t="str">
        <f>IF($A143="","",TRIM(IF(T143=0,"Không có lệnh; ","")&amp;IF(N(N143)&gt;0,"Dừng ngoài lệnh; ","")&amp;IF(N(J143)&gt;0,"Quá tốc độ; ","")&amp;IF(N(K143)&gt;0,"Lái quá 4h; ","")&amp;IF(N(L143)&gt;0,"Không tắt máy; ","")&amp;IF(OR(P143&lt;&gt;"Đủ",Q143&lt;&gt;"Đủ",R143&lt;&gt;"Đủ"),"Thiếu ảnh; ","")&amp;IF(S143&lt;&gt;"Đạt","Lốp chưa đạt; ","")&amp;IF(N(W143)&gt;'THAM SỐ'!$B$27,"Có mặt quá giờ; ","")&amp;IF(N(X143)&gt;'THAM SỐ'!$B$25,"Lái quá giờ ngày; ","")&amp;IF(ISNUMBER(V143),IF(ABS(V143)&gt;'THAM SỐ'!$B$28,"Lệch km; ",""),"")))</f>
        <v/>
      </c>
      <c r="AM143" s="29"/>
      <c r="AN143" s="30"/>
      <c r="AO143" s="28" t="str">
        <f t="shared" si="29"/>
        <v/>
      </c>
      <c r="AP143" s="21" t="str">
        <f>IF(OR($A143="",AO143=""),"",IF(AG143=0,0,ROUND((AC143*'THAM SỐ'!$B$18+AD143*'THAM SỐ'!$B$19+AE143*'THAM SỐ'!$B$20+AF143*'THAM SỐ'!$B$21)*MIN(1,AO143/AG143),0)))</f>
        <v/>
      </c>
      <c r="AQ143" s="18"/>
    </row>
    <row r="144" spans="1:43" x14ac:dyDescent="0.45">
      <c r="A144" s="17"/>
      <c r="B144" s="18"/>
      <c r="C144" s="18"/>
      <c r="D144" s="25"/>
      <c r="E144" s="26"/>
      <c r="F144" s="26"/>
      <c r="G144" s="20"/>
      <c r="H144" s="20"/>
      <c r="I144" s="18"/>
      <c r="J144" s="18"/>
      <c r="K144" s="18"/>
      <c r="L144" s="18"/>
      <c r="M144" s="18"/>
      <c r="N144" s="18"/>
      <c r="O144" s="18"/>
      <c r="P144" s="18"/>
      <c r="Q144" s="18"/>
      <c r="R144" s="18"/>
      <c r="S144" s="18"/>
      <c r="T144" s="16" t="str">
        <f>IF($A144="","",COUNTIFS('LỆNH ĐIỀU XE'!$B$5:$B$604,$A144,'LỆNH ĐIỀU XE'!$C$5:$C$604,$B144))</f>
        <v/>
      </c>
      <c r="U144" s="27" t="str">
        <f>IF($A144="","",SUMIFS('LỆNH ĐIỀU XE'!$J$5:$J$604,'LỆNH ĐIỀU XE'!$B$5:$B$604,$A144,'LỆNH ĐIỀU XE'!$C$5:$C$604,$B144))</f>
        <v/>
      </c>
      <c r="V144" s="22" t="str">
        <f t="shared" si="20"/>
        <v/>
      </c>
      <c r="W144" s="28" t="str">
        <f t="shared" si="21"/>
        <v/>
      </c>
      <c r="X144" s="28" t="str">
        <f t="shared" si="22"/>
        <v/>
      </c>
      <c r="Y144" s="28" t="str">
        <f t="shared" si="23"/>
        <v/>
      </c>
      <c r="Z144" s="22" t="str">
        <f t="shared" si="24"/>
        <v/>
      </c>
      <c r="AA144" s="28" t="str">
        <f t="shared" si="25"/>
        <v/>
      </c>
      <c r="AB144" s="28" t="str">
        <f t="shared" si="26"/>
        <v/>
      </c>
      <c r="AC144" s="28" t="str">
        <f>IF($A144="","",SUMIFS('CHẶNG TĂNG CA'!$E$5:$E$304,'CHẶNG TĂNG CA'!$A$5:$A$304,$A144,'CHẶNG TĂNG CA'!$B$5:$B$304,$B144))</f>
        <v/>
      </c>
      <c r="AD144" s="28" t="str">
        <f>IF($A144="","",SUMIFS('CHẶNG TĂNG CA'!$F$5:$F$304,'CHẶNG TĂNG CA'!$A$5:$A$304,$A144,'CHẶNG TĂNG CA'!$B$5:$B$304,$B144))</f>
        <v/>
      </c>
      <c r="AE144" s="28" t="str">
        <f>IF($A144="","",SUMIFS('CHẶNG TĂNG CA'!$G$5:$G$304,'CHẶNG TĂNG CA'!$A$5:$A$304,$A144,'CHẶNG TĂNG CA'!$B$5:$B$304,$B144))</f>
        <v/>
      </c>
      <c r="AF144" s="28" t="str">
        <f>IF($A144="","",SUMIFS('CHẶNG TĂNG CA'!$H$5:$H$304,'CHẶNG TĂNG CA'!$A$5:$A$304,$A144,'CHẶNG TĂNG CA'!$B$5:$B$304,$B144))</f>
        <v/>
      </c>
      <c r="AG144" s="28" t="str">
        <f t="shared" si="27"/>
        <v/>
      </c>
      <c r="AH144" s="16" t="str">
        <f>IF($A144="","",IF(COUNTIFS('LỆNH ĐIỀU XE'!$B$5:$B$604,$A144,'LỆNH ĐIỀU XE'!$C$5:$C$604,$B144,'LỆNH ĐIỀU XE'!$N$5:$N$604,"Có")&gt;0,"Có","Không"))</f>
        <v/>
      </c>
      <c r="AI144" s="16" t="str">
        <f>IF(OR($A144="",H144="",N(T144)=0),"",IF(_xlfn.MAXIFS('LỆNH ĐIỀU XE'!$U$5:$U$604,'LỆNH ĐIỀU XE'!$B$5:$B$604,$A144,'LỆNH ĐIỀU XE'!$C$5:$C$604,$B144)=0,"",ROUND((H144+(H144&lt;4/24)-_xlfn.MAXIFS('LỆNH ĐIỀU XE'!$U$5:$U$604,'LỆNH ĐIỀU XE'!$B$5:$B$604,$A144,'LỆNH ĐIỀU XE'!$C$5:$C$604,$B144))*1440,0)))</f>
        <v/>
      </c>
      <c r="AJ144" s="16" t="str">
        <f>IF($A144="","",IF(OR(AI144="",V144=""),"Thiếu dữ liệu",IF(AND(AI144&lt;='THAM SỐ'!$B$29,ABS(V144)&lt;='THAM SỐ'!$B$28),"Đạt","Không đạt")))</f>
        <v/>
      </c>
      <c r="AK144" s="16" t="str">
        <f t="shared" si="28"/>
        <v/>
      </c>
      <c r="AL144" s="16" t="str">
        <f>IF($A144="","",TRIM(IF(T144=0,"Không có lệnh; ","")&amp;IF(N(N144)&gt;0,"Dừng ngoài lệnh; ","")&amp;IF(N(J144)&gt;0,"Quá tốc độ; ","")&amp;IF(N(K144)&gt;0,"Lái quá 4h; ","")&amp;IF(N(L144)&gt;0,"Không tắt máy; ","")&amp;IF(OR(P144&lt;&gt;"Đủ",Q144&lt;&gt;"Đủ",R144&lt;&gt;"Đủ"),"Thiếu ảnh; ","")&amp;IF(S144&lt;&gt;"Đạt","Lốp chưa đạt; ","")&amp;IF(N(W144)&gt;'THAM SỐ'!$B$27,"Có mặt quá giờ; ","")&amp;IF(N(X144)&gt;'THAM SỐ'!$B$25,"Lái quá giờ ngày; ","")&amp;IF(ISNUMBER(V144),IF(ABS(V144)&gt;'THAM SỐ'!$B$28,"Lệch km; ",""),"")))</f>
        <v/>
      </c>
      <c r="AM144" s="29"/>
      <c r="AN144" s="30"/>
      <c r="AO144" s="28" t="str">
        <f t="shared" si="29"/>
        <v/>
      </c>
      <c r="AP144" s="21" t="str">
        <f>IF(OR($A144="",AO144=""),"",IF(AG144=0,0,ROUND((AC144*'THAM SỐ'!$B$18+AD144*'THAM SỐ'!$B$19+AE144*'THAM SỐ'!$B$20+AF144*'THAM SỐ'!$B$21)*MIN(1,AO144/AG144),0)))</f>
        <v/>
      </c>
      <c r="AQ144" s="18"/>
    </row>
    <row r="145" spans="1:43" x14ac:dyDescent="0.45">
      <c r="A145" s="17"/>
      <c r="B145" s="18"/>
      <c r="C145" s="18"/>
      <c r="D145" s="25"/>
      <c r="E145" s="26"/>
      <c r="F145" s="26"/>
      <c r="G145" s="20"/>
      <c r="H145" s="20"/>
      <c r="I145" s="18"/>
      <c r="J145" s="18"/>
      <c r="K145" s="18"/>
      <c r="L145" s="18"/>
      <c r="M145" s="18"/>
      <c r="N145" s="18"/>
      <c r="O145" s="18"/>
      <c r="P145" s="18"/>
      <c r="Q145" s="18"/>
      <c r="R145" s="18"/>
      <c r="S145" s="18"/>
      <c r="T145" s="16" t="str">
        <f>IF($A145="","",COUNTIFS('LỆNH ĐIỀU XE'!$B$5:$B$604,$A145,'LỆNH ĐIỀU XE'!$C$5:$C$604,$B145))</f>
        <v/>
      </c>
      <c r="U145" s="27" t="str">
        <f>IF($A145="","",SUMIFS('LỆNH ĐIỀU XE'!$J$5:$J$604,'LỆNH ĐIỀU XE'!$B$5:$B$604,$A145,'LỆNH ĐIỀU XE'!$C$5:$C$604,$B145))</f>
        <v/>
      </c>
      <c r="V145" s="22" t="str">
        <f t="shared" si="20"/>
        <v/>
      </c>
      <c r="W145" s="28" t="str">
        <f t="shared" si="21"/>
        <v/>
      </c>
      <c r="X145" s="28" t="str">
        <f t="shared" si="22"/>
        <v/>
      </c>
      <c r="Y145" s="28" t="str">
        <f t="shared" si="23"/>
        <v/>
      </c>
      <c r="Z145" s="22" t="str">
        <f t="shared" si="24"/>
        <v/>
      </c>
      <c r="AA145" s="28" t="str">
        <f t="shared" si="25"/>
        <v/>
      </c>
      <c r="AB145" s="28" t="str">
        <f t="shared" si="26"/>
        <v/>
      </c>
      <c r="AC145" s="28" t="str">
        <f>IF($A145="","",SUMIFS('CHẶNG TĂNG CA'!$E$5:$E$304,'CHẶNG TĂNG CA'!$A$5:$A$304,$A145,'CHẶNG TĂNG CA'!$B$5:$B$304,$B145))</f>
        <v/>
      </c>
      <c r="AD145" s="28" t="str">
        <f>IF($A145="","",SUMIFS('CHẶNG TĂNG CA'!$F$5:$F$304,'CHẶNG TĂNG CA'!$A$5:$A$304,$A145,'CHẶNG TĂNG CA'!$B$5:$B$304,$B145))</f>
        <v/>
      </c>
      <c r="AE145" s="28" t="str">
        <f>IF($A145="","",SUMIFS('CHẶNG TĂNG CA'!$G$5:$G$304,'CHẶNG TĂNG CA'!$A$5:$A$304,$A145,'CHẶNG TĂNG CA'!$B$5:$B$304,$B145))</f>
        <v/>
      </c>
      <c r="AF145" s="28" t="str">
        <f>IF($A145="","",SUMIFS('CHẶNG TĂNG CA'!$H$5:$H$304,'CHẶNG TĂNG CA'!$A$5:$A$304,$A145,'CHẶNG TĂNG CA'!$B$5:$B$304,$B145))</f>
        <v/>
      </c>
      <c r="AG145" s="28" t="str">
        <f t="shared" si="27"/>
        <v/>
      </c>
      <c r="AH145" s="16" t="str">
        <f>IF($A145="","",IF(COUNTIFS('LỆNH ĐIỀU XE'!$B$5:$B$604,$A145,'LỆNH ĐIỀU XE'!$C$5:$C$604,$B145,'LỆNH ĐIỀU XE'!$N$5:$N$604,"Có")&gt;0,"Có","Không"))</f>
        <v/>
      </c>
      <c r="AI145" s="16" t="str">
        <f>IF(OR($A145="",H145="",N(T145)=0),"",IF(_xlfn.MAXIFS('LỆNH ĐIỀU XE'!$U$5:$U$604,'LỆNH ĐIỀU XE'!$B$5:$B$604,$A145,'LỆNH ĐIỀU XE'!$C$5:$C$604,$B145)=0,"",ROUND((H145+(H145&lt;4/24)-_xlfn.MAXIFS('LỆNH ĐIỀU XE'!$U$5:$U$604,'LỆNH ĐIỀU XE'!$B$5:$B$604,$A145,'LỆNH ĐIỀU XE'!$C$5:$C$604,$B145))*1440,0)))</f>
        <v/>
      </c>
      <c r="AJ145" s="16" t="str">
        <f>IF($A145="","",IF(OR(AI145="",V145=""),"Thiếu dữ liệu",IF(AND(AI145&lt;='THAM SỐ'!$B$29,ABS(V145)&lt;='THAM SỐ'!$B$28),"Đạt","Không đạt")))</f>
        <v/>
      </c>
      <c r="AK145" s="16" t="str">
        <f t="shared" si="28"/>
        <v/>
      </c>
      <c r="AL145" s="16" t="str">
        <f>IF($A145="","",TRIM(IF(T145=0,"Không có lệnh; ","")&amp;IF(N(N145)&gt;0,"Dừng ngoài lệnh; ","")&amp;IF(N(J145)&gt;0,"Quá tốc độ; ","")&amp;IF(N(K145)&gt;0,"Lái quá 4h; ","")&amp;IF(N(L145)&gt;0,"Không tắt máy; ","")&amp;IF(OR(P145&lt;&gt;"Đủ",Q145&lt;&gt;"Đủ",R145&lt;&gt;"Đủ"),"Thiếu ảnh; ","")&amp;IF(S145&lt;&gt;"Đạt","Lốp chưa đạt; ","")&amp;IF(N(W145)&gt;'THAM SỐ'!$B$27,"Có mặt quá giờ; ","")&amp;IF(N(X145)&gt;'THAM SỐ'!$B$25,"Lái quá giờ ngày; ","")&amp;IF(ISNUMBER(V145),IF(ABS(V145)&gt;'THAM SỐ'!$B$28,"Lệch km; ",""),"")))</f>
        <v/>
      </c>
      <c r="AM145" s="29"/>
      <c r="AN145" s="30"/>
      <c r="AO145" s="28" t="str">
        <f t="shared" si="29"/>
        <v/>
      </c>
      <c r="AP145" s="21" t="str">
        <f>IF(OR($A145="",AO145=""),"",IF(AG145=0,0,ROUND((AC145*'THAM SỐ'!$B$18+AD145*'THAM SỐ'!$B$19+AE145*'THAM SỐ'!$B$20+AF145*'THAM SỐ'!$B$21)*MIN(1,AO145/AG145),0)))</f>
        <v/>
      </c>
      <c r="AQ145" s="18"/>
    </row>
    <row r="146" spans="1:43" x14ac:dyDescent="0.45">
      <c r="A146" s="17"/>
      <c r="B146" s="18"/>
      <c r="C146" s="18"/>
      <c r="D146" s="25"/>
      <c r="E146" s="26"/>
      <c r="F146" s="26"/>
      <c r="G146" s="20"/>
      <c r="H146" s="20"/>
      <c r="I146" s="18"/>
      <c r="J146" s="18"/>
      <c r="K146" s="18"/>
      <c r="L146" s="18"/>
      <c r="M146" s="18"/>
      <c r="N146" s="18"/>
      <c r="O146" s="18"/>
      <c r="P146" s="18"/>
      <c r="Q146" s="18"/>
      <c r="R146" s="18"/>
      <c r="S146" s="18"/>
      <c r="T146" s="16" t="str">
        <f>IF($A146="","",COUNTIFS('LỆNH ĐIỀU XE'!$B$5:$B$604,$A146,'LỆNH ĐIỀU XE'!$C$5:$C$604,$B146))</f>
        <v/>
      </c>
      <c r="U146" s="27" t="str">
        <f>IF($A146="","",SUMIFS('LỆNH ĐIỀU XE'!$J$5:$J$604,'LỆNH ĐIỀU XE'!$B$5:$B$604,$A146,'LỆNH ĐIỀU XE'!$C$5:$C$604,$B146))</f>
        <v/>
      </c>
      <c r="V146" s="22" t="str">
        <f t="shared" si="20"/>
        <v/>
      </c>
      <c r="W146" s="28" t="str">
        <f t="shared" si="21"/>
        <v/>
      </c>
      <c r="X146" s="28" t="str">
        <f t="shared" si="22"/>
        <v/>
      </c>
      <c r="Y146" s="28" t="str">
        <f t="shared" si="23"/>
        <v/>
      </c>
      <c r="Z146" s="22" t="str">
        <f t="shared" si="24"/>
        <v/>
      </c>
      <c r="AA146" s="28" t="str">
        <f t="shared" si="25"/>
        <v/>
      </c>
      <c r="AB146" s="28" t="str">
        <f t="shared" si="26"/>
        <v/>
      </c>
      <c r="AC146" s="28" t="str">
        <f>IF($A146="","",SUMIFS('CHẶNG TĂNG CA'!$E$5:$E$304,'CHẶNG TĂNG CA'!$A$5:$A$304,$A146,'CHẶNG TĂNG CA'!$B$5:$B$304,$B146))</f>
        <v/>
      </c>
      <c r="AD146" s="28" t="str">
        <f>IF($A146="","",SUMIFS('CHẶNG TĂNG CA'!$F$5:$F$304,'CHẶNG TĂNG CA'!$A$5:$A$304,$A146,'CHẶNG TĂNG CA'!$B$5:$B$304,$B146))</f>
        <v/>
      </c>
      <c r="AE146" s="28" t="str">
        <f>IF($A146="","",SUMIFS('CHẶNG TĂNG CA'!$G$5:$G$304,'CHẶNG TĂNG CA'!$A$5:$A$304,$A146,'CHẶNG TĂNG CA'!$B$5:$B$304,$B146))</f>
        <v/>
      </c>
      <c r="AF146" s="28" t="str">
        <f>IF($A146="","",SUMIFS('CHẶNG TĂNG CA'!$H$5:$H$304,'CHẶNG TĂNG CA'!$A$5:$A$304,$A146,'CHẶNG TĂNG CA'!$B$5:$B$304,$B146))</f>
        <v/>
      </c>
      <c r="AG146" s="28" t="str">
        <f t="shared" si="27"/>
        <v/>
      </c>
      <c r="AH146" s="16" t="str">
        <f>IF($A146="","",IF(COUNTIFS('LỆNH ĐIỀU XE'!$B$5:$B$604,$A146,'LỆNH ĐIỀU XE'!$C$5:$C$604,$B146,'LỆNH ĐIỀU XE'!$N$5:$N$604,"Có")&gt;0,"Có","Không"))</f>
        <v/>
      </c>
      <c r="AI146" s="16" t="str">
        <f>IF(OR($A146="",H146="",N(T146)=0),"",IF(_xlfn.MAXIFS('LỆNH ĐIỀU XE'!$U$5:$U$604,'LỆNH ĐIỀU XE'!$B$5:$B$604,$A146,'LỆNH ĐIỀU XE'!$C$5:$C$604,$B146)=0,"",ROUND((H146+(H146&lt;4/24)-_xlfn.MAXIFS('LỆNH ĐIỀU XE'!$U$5:$U$604,'LỆNH ĐIỀU XE'!$B$5:$B$604,$A146,'LỆNH ĐIỀU XE'!$C$5:$C$604,$B146))*1440,0)))</f>
        <v/>
      </c>
      <c r="AJ146" s="16" t="str">
        <f>IF($A146="","",IF(OR(AI146="",V146=""),"Thiếu dữ liệu",IF(AND(AI146&lt;='THAM SỐ'!$B$29,ABS(V146)&lt;='THAM SỐ'!$B$28),"Đạt","Không đạt")))</f>
        <v/>
      </c>
      <c r="AK146" s="16" t="str">
        <f t="shared" si="28"/>
        <v/>
      </c>
      <c r="AL146" s="16" t="str">
        <f>IF($A146="","",TRIM(IF(T146=0,"Không có lệnh; ","")&amp;IF(N(N146)&gt;0,"Dừng ngoài lệnh; ","")&amp;IF(N(J146)&gt;0,"Quá tốc độ; ","")&amp;IF(N(K146)&gt;0,"Lái quá 4h; ","")&amp;IF(N(L146)&gt;0,"Không tắt máy; ","")&amp;IF(OR(P146&lt;&gt;"Đủ",Q146&lt;&gt;"Đủ",R146&lt;&gt;"Đủ"),"Thiếu ảnh; ","")&amp;IF(S146&lt;&gt;"Đạt","Lốp chưa đạt; ","")&amp;IF(N(W146)&gt;'THAM SỐ'!$B$27,"Có mặt quá giờ; ","")&amp;IF(N(X146)&gt;'THAM SỐ'!$B$25,"Lái quá giờ ngày; ","")&amp;IF(ISNUMBER(V146),IF(ABS(V146)&gt;'THAM SỐ'!$B$28,"Lệch km; ",""),"")))</f>
        <v/>
      </c>
      <c r="AM146" s="29"/>
      <c r="AN146" s="30"/>
      <c r="AO146" s="28" t="str">
        <f t="shared" si="29"/>
        <v/>
      </c>
      <c r="AP146" s="21" t="str">
        <f>IF(OR($A146="",AO146=""),"",IF(AG146=0,0,ROUND((AC146*'THAM SỐ'!$B$18+AD146*'THAM SỐ'!$B$19+AE146*'THAM SỐ'!$B$20+AF146*'THAM SỐ'!$B$21)*MIN(1,AO146/AG146),0)))</f>
        <v/>
      </c>
      <c r="AQ146" s="18"/>
    </row>
    <row r="147" spans="1:43" x14ac:dyDescent="0.45">
      <c r="A147" s="17"/>
      <c r="B147" s="18"/>
      <c r="C147" s="18"/>
      <c r="D147" s="25"/>
      <c r="E147" s="26"/>
      <c r="F147" s="26"/>
      <c r="G147" s="20"/>
      <c r="H147" s="20"/>
      <c r="I147" s="18"/>
      <c r="J147" s="18"/>
      <c r="K147" s="18"/>
      <c r="L147" s="18"/>
      <c r="M147" s="18"/>
      <c r="N147" s="18"/>
      <c r="O147" s="18"/>
      <c r="P147" s="18"/>
      <c r="Q147" s="18"/>
      <c r="R147" s="18"/>
      <c r="S147" s="18"/>
      <c r="T147" s="16" t="str">
        <f>IF($A147="","",COUNTIFS('LỆNH ĐIỀU XE'!$B$5:$B$604,$A147,'LỆNH ĐIỀU XE'!$C$5:$C$604,$B147))</f>
        <v/>
      </c>
      <c r="U147" s="27" t="str">
        <f>IF($A147="","",SUMIFS('LỆNH ĐIỀU XE'!$J$5:$J$604,'LỆNH ĐIỀU XE'!$B$5:$B$604,$A147,'LỆNH ĐIỀU XE'!$C$5:$C$604,$B147))</f>
        <v/>
      </c>
      <c r="V147" s="22" t="str">
        <f t="shared" si="20"/>
        <v/>
      </c>
      <c r="W147" s="28" t="str">
        <f t="shared" si="21"/>
        <v/>
      </c>
      <c r="X147" s="28" t="str">
        <f t="shared" si="22"/>
        <v/>
      </c>
      <c r="Y147" s="28" t="str">
        <f t="shared" si="23"/>
        <v/>
      </c>
      <c r="Z147" s="22" t="str">
        <f t="shared" si="24"/>
        <v/>
      </c>
      <c r="AA147" s="28" t="str">
        <f t="shared" si="25"/>
        <v/>
      </c>
      <c r="AB147" s="28" t="str">
        <f t="shared" si="26"/>
        <v/>
      </c>
      <c r="AC147" s="28" t="str">
        <f>IF($A147="","",SUMIFS('CHẶNG TĂNG CA'!$E$5:$E$304,'CHẶNG TĂNG CA'!$A$5:$A$304,$A147,'CHẶNG TĂNG CA'!$B$5:$B$304,$B147))</f>
        <v/>
      </c>
      <c r="AD147" s="28" t="str">
        <f>IF($A147="","",SUMIFS('CHẶNG TĂNG CA'!$F$5:$F$304,'CHẶNG TĂNG CA'!$A$5:$A$304,$A147,'CHẶNG TĂNG CA'!$B$5:$B$304,$B147))</f>
        <v/>
      </c>
      <c r="AE147" s="28" t="str">
        <f>IF($A147="","",SUMIFS('CHẶNG TĂNG CA'!$G$5:$G$304,'CHẶNG TĂNG CA'!$A$5:$A$304,$A147,'CHẶNG TĂNG CA'!$B$5:$B$304,$B147))</f>
        <v/>
      </c>
      <c r="AF147" s="28" t="str">
        <f>IF($A147="","",SUMIFS('CHẶNG TĂNG CA'!$H$5:$H$304,'CHẶNG TĂNG CA'!$A$5:$A$304,$A147,'CHẶNG TĂNG CA'!$B$5:$B$304,$B147))</f>
        <v/>
      </c>
      <c r="AG147" s="28" t="str">
        <f t="shared" si="27"/>
        <v/>
      </c>
      <c r="AH147" s="16" t="str">
        <f>IF($A147="","",IF(COUNTIFS('LỆNH ĐIỀU XE'!$B$5:$B$604,$A147,'LỆNH ĐIỀU XE'!$C$5:$C$604,$B147,'LỆNH ĐIỀU XE'!$N$5:$N$604,"Có")&gt;0,"Có","Không"))</f>
        <v/>
      </c>
      <c r="AI147" s="16" t="str">
        <f>IF(OR($A147="",H147="",N(T147)=0),"",IF(_xlfn.MAXIFS('LỆNH ĐIỀU XE'!$U$5:$U$604,'LỆNH ĐIỀU XE'!$B$5:$B$604,$A147,'LỆNH ĐIỀU XE'!$C$5:$C$604,$B147)=0,"",ROUND((H147+(H147&lt;4/24)-_xlfn.MAXIFS('LỆNH ĐIỀU XE'!$U$5:$U$604,'LỆNH ĐIỀU XE'!$B$5:$B$604,$A147,'LỆNH ĐIỀU XE'!$C$5:$C$604,$B147))*1440,0)))</f>
        <v/>
      </c>
      <c r="AJ147" s="16" t="str">
        <f>IF($A147="","",IF(OR(AI147="",V147=""),"Thiếu dữ liệu",IF(AND(AI147&lt;='THAM SỐ'!$B$29,ABS(V147)&lt;='THAM SỐ'!$B$28),"Đạt","Không đạt")))</f>
        <v/>
      </c>
      <c r="AK147" s="16" t="str">
        <f t="shared" si="28"/>
        <v/>
      </c>
      <c r="AL147" s="16" t="str">
        <f>IF($A147="","",TRIM(IF(T147=0,"Không có lệnh; ","")&amp;IF(N(N147)&gt;0,"Dừng ngoài lệnh; ","")&amp;IF(N(J147)&gt;0,"Quá tốc độ; ","")&amp;IF(N(K147)&gt;0,"Lái quá 4h; ","")&amp;IF(N(L147)&gt;0,"Không tắt máy; ","")&amp;IF(OR(P147&lt;&gt;"Đủ",Q147&lt;&gt;"Đủ",R147&lt;&gt;"Đủ"),"Thiếu ảnh; ","")&amp;IF(S147&lt;&gt;"Đạt","Lốp chưa đạt; ","")&amp;IF(N(W147)&gt;'THAM SỐ'!$B$27,"Có mặt quá giờ; ","")&amp;IF(N(X147)&gt;'THAM SỐ'!$B$25,"Lái quá giờ ngày; ","")&amp;IF(ISNUMBER(V147),IF(ABS(V147)&gt;'THAM SỐ'!$B$28,"Lệch km; ",""),"")))</f>
        <v/>
      </c>
      <c r="AM147" s="29"/>
      <c r="AN147" s="30"/>
      <c r="AO147" s="28" t="str">
        <f t="shared" si="29"/>
        <v/>
      </c>
      <c r="AP147" s="21" t="str">
        <f>IF(OR($A147="",AO147=""),"",IF(AG147=0,0,ROUND((AC147*'THAM SỐ'!$B$18+AD147*'THAM SỐ'!$B$19+AE147*'THAM SỐ'!$B$20+AF147*'THAM SỐ'!$B$21)*MIN(1,AO147/AG147),0)))</f>
        <v/>
      </c>
      <c r="AQ147" s="18"/>
    </row>
    <row r="148" spans="1:43" x14ac:dyDescent="0.45">
      <c r="A148" s="17"/>
      <c r="B148" s="18"/>
      <c r="C148" s="18"/>
      <c r="D148" s="25"/>
      <c r="E148" s="26"/>
      <c r="F148" s="26"/>
      <c r="G148" s="20"/>
      <c r="H148" s="20"/>
      <c r="I148" s="18"/>
      <c r="J148" s="18"/>
      <c r="K148" s="18"/>
      <c r="L148" s="18"/>
      <c r="M148" s="18"/>
      <c r="N148" s="18"/>
      <c r="O148" s="18"/>
      <c r="P148" s="18"/>
      <c r="Q148" s="18"/>
      <c r="R148" s="18"/>
      <c r="S148" s="18"/>
      <c r="T148" s="16" t="str">
        <f>IF($A148="","",COUNTIFS('LỆNH ĐIỀU XE'!$B$5:$B$604,$A148,'LỆNH ĐIỀU XE'!$C$5:$C$604,$B148))</f>
        <v/>
      </c>
      <c r="U148" s="27" t="str">
        <f>IF($A148="","",SUMIFS('LỆNH ĐIỀU XE'!$J$5:$J$604,'LỆNH ĐIỀU XE'!$B$5:$B$604,$A148,'LỆNH ĐIỀU XE'!$C$5:$C$604,$B148))</f>
        <v/>
      </c>
      <c r="V148" s="22" t="str">
        <f t="shared" si="20"/>
        <v/>
      </c>
      <c r="W148" s="28" t="str">
        <f t="shared" si="21"/>
        <v/>
      </c>
      <c r="X148" s="28" t="str">
        <f t="shared" si="22"/>
        <v/>
      </c>
      <c r="Y148" s="28" t="str">
        <f t="shared" si="23"/>
        <v/>
      </c>
      <c r="Z148" s="22" t="str">
        <f t="shared" si="24"/>
        <v/>
      </c>
      <c r="AA148" s="28" t="str">
        <f t="shared" si="25"/>
        <v/>
      </c>
      <c r="AB148" s="28" t="str">
        <f t="shared" si="26"/>
        <v/>
      </c>
      <c r="AC148" s="28" t="str">
        <f>IF($A148="","",SUMIFS('CHẶNG TĂNG CA'!$E$5:$E$304,'CHẶNG TĂNG CA'!$A$5:$A$304,$A148,'CHẶNG TĂNG CA'!$B$5:$B$304,$B148))</f>
        <v/>
      </c>
      <c r="AD148" s="28" t="str">
        <f>IF($A148="","",SUMIFS('CHẶNG TĂNG CA'!$F$5:$F$304,'CHẶNG TĂNG CA'!$A$5:$A$304,$A148,'CHẶNG TĂNG CA'!$B$5:$B$304,$B148))</f>
        <v/>
      </c>
      <c r="AE148" s="28" t="str">
        <f>IF($A148="","",SUMIFS('CHẶNG TĂNG CA'!$G$5:$G$304,'CHẶNG TĂNG CA'!$A$5:$A$304,$A148,'CHẶNG TĂNG CA'!$B$5:$B$304,$B148))</f>
        <v/>
      </c>
      <c r="AF148" s="28" t="str">
        <f>IF($A148="","",SUMIFS('CHẶNG TĂNG CA'!$H$5:$H$304,'CHẶNG TĂNG CA'!$A$5:$A$304,$A148,'CHẶNG TĂNG CA'!$B$5:$B$304,$B148))</f>
        <v/>
      </c>
      <c r="AG148" s="28" t="str">
        <f t="shared" si="27"/>
        <v/>
      </c>
      <c r="AH148" s="16" t="str">
        <f>IF($A148="","",IF(COUNTIFS('LỆNH ĐIỀU XE'!$B$5:$B$604,$A148,'LỆNH ĐIỀU XE'!$C$5:$C$604,$B148,'LỆNH ĐIỀU XE'!$N$5:$N$604,"Có")&gt;0,"Có","Không"))</f>
        <v/>
      </c>
      <c r="AI148" s="16" t="str">
        <f>IF(OR($A148="",H148="",N(T148)=0),"",IF(_xlfn.MAXIFS('LỆNH ĐIỀU XE'!$U$5:$U$604,'LỆNH ĐIỀU XE'!$B$5:$B$604,$A148,'LỆNH ĐIỀU XE'!$C$5:$C$604,$B148)=0,"",ROUND((H148+(H148&lt;4/24)-_xlfn.MAXIFS('LỆNH ĐIỀU XE'!$U$5:$U$604,'LỆNH ĐIỀU XE'!$B$5:$B$604,$A148,'LỆNH ĐIỀU XE'!$C$5:$C$604,$B148))*1440,0)))</f>
        <v/>
      </c>
      <c r="AJ148" s="16" t="str">
        <f>IF($A148="","",IF(OR(AI148="",V148=""),"Thiếu dữ liệu",IF(AND(AI148&lt;='THAM SỐ'!$B$29,ABS(V148)&lt;='THAM SỐ'!$B$28),"Đạt","Không đạt")))</f>
        <v/>
      </c>
      <c r="AK148" s="16" t="str">
        <f t="shared" si="28"/>
        <v/>
      </c>
      <c r="AL148" s="16" t="str">
        <f>IF($A148="","",TRIM(IF(T148=0,"Không có lệnh; ","")&amp;IF(N(N148)&gt;0,"Dừng ngoài lệnh; ","")&amp;IF(N(J148)&gt;0,"Quá tốc độ; ","")&amp;IF(N(K148)&gt;0,"Lái quá 4h; ","")&amp;IF(N(L148)&gt;0,"Không tắt máy; ","")&amp;IF(OR(P148&lt;&gt;"Đủ",Q148&lt;&gt;"Đủ",R148&lt;&gt;"Đủ"),"Thiếu ảnh; ","")&amp;IF(S148&lt;&gt;"Đạt","Lốp chưa đạt; ","")&amp;IF(N(W148)&gt;'THAM SỐ'!$B$27,"Có mặt quá giờ; ","")&amp;IF(N(X148)&gt;'THAM SỐ'!$B$25,"Lái quá giờ ngày; ","")&amp;IF(ISNUMBER(V148),IF(ABS(V148)&gt;'THAM SỐ'!$B$28,"Lệch km; ",""),"")))</f>
        <v/>
      </c>
      <c r="AM148" s="29"/>
      <c r="AN148" s="30"/>
      <c r="AO148" s="28" t="str">
        <f t="shared" si="29"/>
        <v/>
      </c>
      <c r="AP148" s="21" t="str">
        <f>IF(OR($A148="",AO148=""),"",IF(AG148=0,0,ROUND((AC148*'THAM SỐ'!$B$18+AD148*'THAM SỐ'!$B$19+AE148*'THAM SỐ'!$B$20+AF148*'THAM SỐ'!$B$21)*MIN(1,AO148/AG148),0)))</f>
        <v/>
      </c>
      <c r="AQ148" s="18"/>
    </row>
    <row r="149" spans="1:43" x14ac:dyDescent="0.45">
      <c r="A149" s="17"/>
      <c r="B149" s="18"/>
      <c r="C149" s="18"/>
      <c r="D149" s="25"/>
      <c r="E149" s="26"/>
      <c r="F149" s="26"/>
      <c r="G149" s="20"/>
      <c r="H149" s="20"/>
      <c r="I149" s="18"/>
      <c r="J149" s="18"/>
      <c r="K149" s="18"/>
      <c r="L149" s="18"/>
      <c r="M149" s="18"/>
      <c r="N149" s="18"/>
      <c r="O149" s="18"/>
      <c r="P149" s="18"/>
      <c r="Q149" s="18"/>
      <c r="R149" s="18"/>
      <c r="S149" s="18"/>
      <c r="T149" s="16" t="str">
        <f>IF($A149="","",COUNTIFS('LỆNH ĐIỀU XE'!$B$5:$B$604,$A149,'LỆNH ĐIỀU XE'!$C$5:$C$604,$B149))</f>
        <v/>
      </c>
      <c r="U149" s="27" t="str">
        <f>IF($A149="","",SUMIFS('LỆNH ĐIỀU XE'!$J$5:$J$604,'LỆNH ĐIỀU XE'!$B$5:$B$604,$A149,'LỆNH ĐIỀU XE'!$C$5:$C$604,$B149))</f>
        <v/>
      </c>
      <c r="V149" s="22" t="str">
        <f t="shared" si="20"/>
        <v/>
      </c>
      <c r="W149" s="28" t="str">
        <f t="shared" si="21"/>
        <v/>
      </c>
      <c r="X149" s="28" t="str">
        <f t="shared" si="22"/>
        <v/>
      </c>
      <c r="Y149" s="28" t="str">
        <f t="shared" si="23"/>
        <v/>
      </c>
      <c r="Z149" s="22" t="str">
        <f t="shared" si="24"/>
        <v/>
      </c>
      <c r="AA149" s="28" t="str">
        <f t="shared" si="25"/>
        <v/>
      </c>
      <c r="AB149" s="28" t="str">
        <f t="shared" si="26"/>
        <v/>
      </c>
      <c r="AC149" s="28" t="str">
        <f>IF($A149="","",SUMIFS('CHẶNG TĂNG CA'!$E$5:$E$304,'CHẶNG TĂNG CA'!$A$5:$A$304,$A149,'CHẶNG TĂNG CA'!$B$5:$B$304,$B149))</f>
        <v/>
      </c>
      <c r="AD149" s="28" t="str">
        <f>IF($A149="","",SUMIFS('CHẶNG TĂNG CA'!$F$5:$F$304,'CHẶNG TĂNG CA'!$A$5:$A$304,$A149,'CHẶNG TĂNG CA'!$B$5:$B$304,$B149))</f>
        <v/>
      </c>
      <c r="AE149" s="28" t="str">
        <f>IF($A149="","",SUMIFS('CHẶNG TĂNG CA'!$G$5:$G$304,'CHẶNG TĂNG CA'!$A$5:$A$304,$A149,'CHẶNG TĂNG CA'!$B$5:$B$304,$B149))</f>
        <v/>
      </c>
      <c r="AF149" s="28" t="str">
        <f>IF($A149="","",SUMIFS('CHẶNG TĂNG CA'!$H$5:$H$304,'CHẶNG TĂNG CA'!$A$5:$A$304,$A149,'CHẶNG TĂNG CA'!$B$5:$B$304,$B149))</f>
        <v/>
      </c>
      <c r="AG149" s="28" t="str">
        <f t="shared" si="27"/>
        <v/>
      </c>
      <c r="AH149" s="16" t="str">
        <f>IF($A149="","",IF(COUNTIFS('LỆNH ĐIỀU XE'!$B$5:$B$604,$A149,'LỆNH ĐIỀU XE'!$C$5:$C$604,$B149,'LỆNH ĐIỀU XE'!$N$5:$N$604,"Có")&gt;0,"Có","Không"))</f>
        <v/>
      </c>
      <c r="AI149" s="16" t="str">
        <f>IF(OR($A149="",H149="",N(T149)=0),"",IF(_xlfn.MAXIFS('LỆNH ĐIỀU XE'!$U$5:$U$604,'LỆNH ĐIỀU XE'!$B$5:$B$604,$A149,'LỆNH ĐIỀU XE'!$C$5:$C$604,$B149)=0,"",ROUND((H149+(H149&lt;4/24)-_xlfn.MAXIFS('LỆNH ĐIỀU XE'!$U$5:$U$604,'LỆNH ĐIỀU XE'!$B$5:$B$604,$A149,'LỆNH ĐIỀU XE'!$C$5:$C$604,$B149))*1440,0)))</f>
        <v/>
      </c>
      <c r="AJ149" s="16" t="str">
        <f>IF($A149="","",IF(OR(AI149="",V149=""),"Thiếu dữ liệu",IF(AND(AI149&lt;='THAM SỐ'!$B$29,ABS(V149)&lt;='THAM SỐ'!$B$28),"Đạt","Không đạt")))</f>
        <v/>
      </c>
      <c r="AK149" s="16" t="str">
        <f t="shared" si="28"/>
        <v/>
      </c>
      <c r="AL149" s="16" t="str">
        <f>IF($A149="","",TRIM(IF(T149=0,"Không có lệnh; ","")&amp;IF(N(N149)&gt;0,"Dừng ngoài lệnh; ","")&amp;IF(N(J149)&gt;0,"Quá tốc độ; ","")&amp;IF(N(K149)&gt;0,"Lái quá 4h; ","")&amp;IF(N(L149)&gt;0,"Không tắt máy; ","")&amp;IF(OR(P149&lt;&gt;"Đủ",Q149&lt;&gt;"Đủ",R149&lt;&gt;"Đủ"),"Thiếu ảnh; ","")&amp;IF(S149&lt;&gt;"Đạt","Lốp chưa đạt; ","")&amp;IF(N(W149)&gt;'THAM SỐ'!$B$27,"Có mặt quá giờ; ","")&amp;IF(N(X149)&gt;'THAM SỐ'!$B$25,"Lái quá giờ ngày; ","")&amp;IF(ISNUMBER(V149),IF(ABS(V149)&gt;'THAM SỐ'!$B$28,"Lệch km; ",""),"")))</f>
        <v/>
      </c>
      <c r="AM149" s="29"/>
      <c r="AN149" s="30"/>
      <c r="AO149" s="28" t="str">
        <f t="shared" si="29"/>
        <v/>
      </c>
      <c r="AP149" s="21" t="str">
        <f>IF(OR($A149="",AO149=""),"",IF(AG149=0,0,ROUND((AC149*'THAM SỐ'!$B$18+AD149*'THAM SỐ'!$B$19+AE149*'THAM SỐ'!$B$20+AF149*'THAM SỐ'!$B$21)*MIN(1,AO149/AG149),0)))</f>
        <v/>
      </c>
      <c r="AQ149" s="18"/>
    </row>
    <row r="150" spans="1:43" x14ac:dyDescent="0.45">
      <c r="A150" s="17"/>
      <c r="B150" s="18"/>
      <c r="C150" s="18"/>
      <c r="D150" s="25"/>
      <c r="E150" s="26"/>
      <c r="F150" s="26"/>
      <c r="G150" s="20"/>
      <c r="H150" s="20"/>
      <c r="I150" s="18"/>
      <c r="J150" s="18"/>
      <c r="K150" s="18"/>
      <c r="L150" s="18"/>
      <c r="M150" s="18"/>
      <c r="N150" s="18"/>
      <c r="O150" s="18"/>
      <c r="P150" s="18"/>
      <c r="Q150" s="18"/>
      <c r="R150" s="18"/>
      <c r="S150" s="18"/>
      <c r="T150" s="16" t="str">
        <f>IF($A150="","",COUNTIFS('LỆNH ĐIỀU XE'!$B$5:$B$604,$A150,'LỆNH ĐIỀU XE'!$C$5:$C$604,$B150))</f>
        <v/>
      </c>
      <c r="U150" s="27" t="str">
        <f>IF($A150="","",SUMIFS('LỆNH ĐIỀU XE'!$J$5:$J$604,'LỆNH ĐIỀU XE'!$B$5:$B$604,$A150,'LỆNH ĐIỀU XE'!$C$5:$C$604,$B150))</f>
        <v/>
      </c>
      <c r="V150" s="22" t="str">
        <f t="shared" si="20"/>
        <v/>
      </c>
      <c r="W150" s="28" t="str">
        <f t="shared" si="21"/>
        <v/>
      </c>
      <c r="X150" s="28" t="str">
        <f t="shared" si="22"/>
        <v/>
      </c>
      <c r="Y150" s="28" t="str">
        <f t="shared" si="23"/>
        <v/>
      </c>
      <c r="Z150" s="22" t="str">
        <f t="shared" si="24"/>
        <v/>
      </c>
      <c r="AA150" s="28" t="str">
        <f t="shared" si="25"/>
        <v/>
      </c>
      <c r="AB150" s="28" t="str">
        <f t="shared" si="26"/>
        <v/>
      </c>
      <c r="AC150" s="28" t="str">
        <f>IF($A150="","",SUMIFS('CHẶNG TĂNG CA'!$E$5:$E$304,'CHẶNG TĂNG CA'!$A$5:$A$304,$A150,'CHẶNG TĂNG CA'!$B$5:$B$304,$B150))</f>
        <v/>
      </c>
      <c r="AD150" s="28" t="str">
        <f>IF($A150="","",SUMIFS('CHẶNG TĂNG CA'!$F$5:$F$304,'CHẶNG TĂNG CA'!$A$5:$A$304,$A150,'CHẶNG TĂNG CA'!$B$5:$B$304,$B150))</f>
        <v/>
      </c>
      <c r="AE150" s="28" t="str">
        <f>IF($A150="","",SUMIFS('CHẶNG TĂNG CA'!$G$5:$G$304,'CHẶNG TĂNG CA'!$A$5:$A$304,$A150,'CHẶNG TĂNG CA'!$B$5:$B$304,$B150))</f>
        <v/>
      </c>
      <c r="AF150" s="28" t="str">
        <f>IF($A150="","",SUMIFS('CHẶNG TĂNG CA'!$H$5:$H$304,'CHẶNG TĂNG CA'!$A$5:$A$304,$A150,'CHẶNG TĂNG CA'!$B$5:$B$304,$B150))</f>
        <v/>
      </c>
      <c r="AG150" s="28" t="str">
        <f t="shared" si="27"/>
        <v/>
      </c>
      <c r="AH150" s="16" t="str">
        <f>IF($A150="","",IF(COUNTIFS('LỆNH ĐIỀU XE'!$B$5:$B$604,$A150,'LỆNH ĐIỀU XE'!$C$5:$C$604,$B150,'LỆNH ĐIỀU XE'!$N$5:$N$604,"Có")&gt;0,"Có","Không"))</f>
        <v/>
      </c>
      <c r="AI150" s="16" t="str">
        <f>IF(OR($A150="",H150="",N(T150)=0),"",IF(_xlfn.MAXIFS('LỆNH ĐIỀU XE'!$U$5:$U$604,'LỆNH ĐIỀU XE'!$B$5:$B$604,$A150,'LỆNH ĐIỀU XE'!$C$5:$C$604,$B150)=0,"",ROUND((H150+(H150&lt;4/24)-_xlfn.MAXIFS('LỆNH ĐIỀU XE'!$U$5:$U$604,'LỆNH ĐIỀU XE'!$B$5:$B$604,$A150,'LỆNH ĐIỀU XE'!$C$5:$C$604,$B150))*1440,0)))</f>
        <v/>
      </c>
      <c r="AJ150" s="16" t="str">
        <f>IF($A150="","",IF(OR(AI150="",V150=""),"Thiếu dữ liệu",IF(AND(AI150&lt;='THAM SỐ'!$B$29,ABS(V150)&lt;='THAM SỐ'!$B$28),"Đạt","Không đạt")))</f>
        <v/>
      </c>
      <c r="AK150" s="16" t="str">
        <f t="shared" si="28"/>
        <v/>
      </c>
      <c r="AL150" s="16" t="str">
        <f>IF($A150="","",TRIM(IF(T150=0,"Không có lệnh; ","")&amp;IF(N(N150)&gt;0,"Dừng ngoài lệnh; ","")&amp;IF(N(J150)&gt;0,"Quá tốc độ; ","")&amp;IF(N(K150)&gt;0,"Lái quá 4h; ","")&amp;IF(N(L150)&gt;0,"Không tắt máy; ","")&amp;IF(OR(P150&lt;&gt;"Đủ",Q150&lt;&gt;"Đủ",R150&lt;&gt;"Đủ"),"Thiếu ảnh; ","")&amp;IF(S150&lt;&gt;"Đạt","Lốp chưa đạt; ","")&amp;IF(N(W150)&gt;'THAM SỐ'!$B$27,"Có mặt quá giờ; ","")&amp;IF(N(X150)&gt;'THAM SỐ'!$B$25,"Lái quá giờ ngày; ","")&amp;IF(ISNUMBER(V150),IF(ABS(V150)&gt;'THAM SỐ'!$B$28,"Lệch km; ",""),"")))</f>
        <v/>
      </c>
      <c r="AM150" s="29"/>
      <c r="AN150" s="30"/>
      <c r="AO150" s="28" t="str">
        <f t="shared" si="29"/>
        <v/>
      </c>
      <c r="AP150" s="21" t="str">
        <f>IF(OR($A150="",AO150=""),"",IF(AG150=0,0,ROUND((AC150*'THAM SỐ'!$B$18+AD150*'THAM SỐ'!$B$19+AE150*'THAM SỐ'!$B$20+AF150*'THAM SỐ'!$B$21)*MIN(1,AO150/AG150),0)))</f>
        <v/>
      </c>
      <c r="AQ150" s="18"/>
    </row>
    <row r="151" spans="1:43" x14ac:dyDescent="0.45">
      <c r="A151" s="17"/>
      <c r="B151" s="18"/>
      <c r="C151" s="18"/>
      <c r="D151" s="25"/>
      <c r="E151" s="26"/>
      <c r="F151" s="26"/>
      <c r="G151" s="20"/>
      <c r="H151" s="20"/>
      <c r="I151" s="18"/>
      <c r="J151" s="18"/>
      <c r="K151" s="18"/>
      <c r="L151" s="18"/>
      <c r="M151" s="18"/>
      <c r="N151" s="18"/>
      <c r="O151" s="18"/>
      <c r="P151" s="18"/>
      <c r="Q151" s="18"/>
      <c r="R151" s="18"/>
      <c r="S151" s="18"/>
      <c r="T151" s="16" t="str">
        <f>IF($A151="","",COUNTIFS('LỆNH ĐIỀU XE'!$B$5:$B$604,$A151,'LỆNH ĐIỀU XE'!$C$5:$C$604,$B151))</f>
        <v/>
      </c>
      <c r="U151" s="27" t="str">
        <f>IF($A151="","",SUMIFS('LỆNH ĐIỀU XE'!$J$5:$J$604,'LỆNH ĐIỀU XE'!$B$5:$B$604,$A151,'LỆNH ĐIỀU XE'!$C$5:$C$604,$B151))</f>
        <v/>
      </c>
      <c r="V151" s="22" t="str">
        <f t="shared" si="20"/>
        <v/>
      </c>
      <c r="W151" s="28" t="str">
        <f t="shared" si="21"/>
        <v/>
      </c>
      <c r="X151" s="28" t="str">
        <f t="shared" si="22"/>
        <v/>
      </c>
      <c r="Y151" s="28" t="str">
        <f t="shared" si="23"/>
        <v/>
      </c>
      <c r="Z151" s="22" t="str">
        <f t="shared" si="24"/>
        <v/>
      </c>
      <c r="AA151" s="28" t="str">
        <f t="shared" si="25"/>
        <v/>
      </c>
      <c r="AB151" s="28" t="str">
        <f t="shared" si="26"/>
        <v/>
      </c>
      <c r="AC151" s="28" t="str">
        <f>IF($A151="","",SUMIFS('CHẶNG TĂNG CA'!$E$5:$E$304,'CHẶNG TĂNG CA'!$A$5:$A$304,$A151,'CHẶNG TĂNG CA'!$B$5:$B$304,$B151))</f>
        <v/>
      </c>
      <c r="AD151" s="28" t="str">
        <f>IF($A151="","",SUMIFS('CHẶNG TĂNG CA'!$F$5:$F$304,'CHẶNG TĂNG CA'!$A$5:$A$304,$A151,'CHẶNG TĂNG CA'!$B$5:$B$304,$B151))</f>
        <v/>
      </c>
      <c r="AE151" s="28" t="str">
        <f>IF($A151="","",SUMIFS('CHẶNG TĂNG CA'!$G$5:$G$304,'CHẶNG TĂNG CA'!$A$5:$A$304,$A151,'CHẶNG TĂNG CA'!$B$5:$B$304,$B151))</f>
        <v/>
      </c>
      <c r="AF151" s="28" t="str">
        <f>IF($A151="","",SUMIFS('CHẶNG TĂNG CA'!$H$5:$H$304,'CHẶNG TĂNG CA'!$A$5:$A$304,$A151,'CHẶNG TĂNG CA'!$B$5:$B$304,$B151))</f>
        <v/>
      </c>
      <c r="AG151" s="28" t="str">
        <f t="shared" si="27"/>
        <v/>
      </c>
      <c r="AH151" s="16" t="str">
        <f>IF($A151="","",IF(COUNTIFS('LỆNH ĐIỀU XE'!$B$5:$B$604,$A151,'LỆNH ĐIỀU XE'!$C$5:$C$604,$B151,'LỆNH ĐIỀU XE'!$N$5:$N$604,"Có")&gt;0,"Có","Không"))</f>
        <v/>
      </c>
      <c r="AI151" s="16" t="str">
        <f>IF(OR($A151="",H151="",N(T151)=0),"",IF(_xlfn.MAXIFS('LỆNH ĐIỀU XE'!$U$5:$U$604,'LỆNH ĐIỀU XE'!$B$5:$B$604,$A151,'LỆNH ĐIỀU XE'!$C$5:$C$604,$B151)=0,"",ROUND((H151+(H151&lt;4/24)-_xlfn.MAXIFS('LỆNH ĐIỀU XE'!$U$5:$U$604,'LỆNH ĐIỀU XE'!$B$5:$B$604,$A151,'LỆNH ĐIỀU XE'!$C$5:$C$604,$B151))*1440,0)))</f>
        <v/>
      </c>
      <c r="AJ151" s="16" t="str">
        <f>IF($A151="","",IF(OR(AI151="",V151=""),"Thiếu dữ liệu",IF(AND(AI151&lt;='THAM SỐ'!$B$29,ABS(V151)&lt;='THAM SỐ'!$B$28),"Đạt","Không đạt")))</f>
        <v/>
      </c>
      <c r="AK151" s="16" t="str">
        <f t="shared" si="28"/>
        <v/>
      </c>
      <c r="AL151" s="16" t="str">
        <f>IF($A151="","",TRIM(IF(T151=0,"Không có lệnh; ","")&amp;IF(N(N151)&gt;0,"Dừng ngoài lệnh; ","")&amp;IF(N(J151)&gt;0,"Quá tốc độ; ","")&amp;IF(N(K151)&gt;0,"Lái quá 4h; ","")&amp;IF(N(L151)&gt;0,"Không tắt máy; ","")&amp;IF(OR(P151&lt;&gt;"Đủ",Q151&lt;&gt;"Đủ",R151&lt;&gt;"Đủ"),"Thiếu ảnh; ","")&amp;IF(S151&lt;&gt;"Đạt","Lốp chưa đạt; ","")&amp;IF(N(W151)&gt;'THAM SỐ'!$B$27,"Có mặt quá giờ; ","")&amp;IF(N(X151)&gt;'THAM SỐ'!$B$25,"Lái quá giờ ngày; ","")&amp;IF(ISNUMBER(V151),IF(ABS(V151)&gt;'THAM SỐ'!$B$28,"Lệch km; ",""),"")))</f>
        <v/>
      </c>
      <c r="AM151" s="29"/>
      <c r="AN151" s="30"/>
      <c r="AO151" s="28" t="str">
        <f t="shared" si="29"/>
        <v/>
      </c>
      <c r="AP151" s="21" t="str">
        <f>IF(OR($A151="",AO151=""),"",IF(AG151=0,0,ROUND((AC151*'THAM SỐ'!$B$18+AD151*'THAM SỐ'!$B$19+AE151*'THAM SỐ'!$B$20+AF151*'THAM SỐ'!$B$21)*MIN(1,AO151/AG151),0)))</f>
        <v/>
      </c>
      <c r="AQ151" s="18"/>
    </row>
    <row r="152" spans="1:43" x14ac:dyDescent="0.45">
      <c r="A152" s="17"/>
      <c r="B152" s="18"/>
      <c r="C152" s="18"/>
      <c r="D152" s="25"/>
      <c r="E152" s="26"/>
      <c r="F152" s="26"/>
      <c r="G152" s="20"/>
      <c r="H152" s="20"/>
      <c r="I152" s="18"/>
      <c r="J152" s="18"/>
      <c r="K152" s="18"/>
      <c r="L152" s="18"/>
      <c r="M152" s="18"/>
      <c r="N152" s="18"/>
      <c r="O152" s="18"/>
      <c r="P152" s="18"/>
      <c r="Q152" s="18"/>
      <c r="R152" s="18"/>
      <c r="S152" s="18"/>
      <c r="T152" s="16" t="str">
        <f>IF($A152="","",COUNTIFS('LỆNH ĐIỀU XE'!$B$5:$B$604,$A152,'LỆNH ĐIỀU XE'!$C$5:$C$604,$B152))</f>
        <v/>
      </c>
      <c r="U152" s="27" t="str">
        <f>IF($A152="","",SUMIFS('LỆNH ĐIỀU XE'!$J$5:$J$604,'LỆNH ĐIỀU XE'!$B$5:$B$604,$A152,'LỆNH ĐIỀU XE'!$C$5:$C$604,$B152))</f>
        <v/>
      </c>
      <c r="V152" s="22" t="str">
        <f t="shared" si="20"/>
        <v/>
      </c>
      <c r="W152" s="28" t="str">
        <f t="shared" si="21"/>
        <v/>
      </c>
      <c r="X152" s="28" t="str">
        <f t="shared" si="22"/>
        <v/>
      </c>
      <c r="Y152" s="28" t="str">
        <f t="shared" si="23"/>
        <v/>
      </c>
      <c r="Z152" s="22" t="str">
        <f t="shared" si="24"/>
        <v/>
      </c>
      <c r="AA152" s="28" t="str">
        <f t="shared" si="25"/>
        <v/>
      </c>
      <c r="AB152" s="28" t="str">
        <f t="shared" si="26"/>
        <v/>
      </c>
      <c r="AC152" s="28" t="str">
        <f>IF($A152="","",SUMIFS('CHẶNG TĂNG CA'!$E$5:$E$304,'CHẶNG TĂNG CA'!$A$5:$A$304,$A152,'CHẶNG TĂNG CA'!$B$5:$B$304,$B152))</f>
        <v/>
      </c>
      <c r="AD152" s="28" t="str">
        <f>IF($A152="","",SUMIFS('CHẶNG TĂNG CA'!$F$5:$F$304,'CHẶNG TĂNG CA'!$A$5:$A$304,$A152,'CHẶNG TĂNG CA'!$B$5:$B$304,$B152))</f>
        <v/>
      </c>
      <c r="AE152" s="28" t="str">
        <f>IF($A152="","",SUMIFS('CHẶNG TĂNG CA'!$G$5:$G$304,'CHẶNG TĂNG CA'!$A$5:$A$304,$A152,'CHẶNG TĂNG CA'!$B$5:$B$304,$B152))</f>
        <v/>
      </c>
      <c r="AF152" s="28" t="str">
        <f>IF($A152="","",SUMIFS('CHẶNG TĂNG CA'!$H$5:$H$304,'CHẶNG TĂNG CA'!$A$5:$A$304,$A152,'CHẶNG TĂNG CA'!$B$5:$B$304,$B152))</f>
        <v/>
      </c>
      <c r="AG152" s="28" t="str">
        <f t="shared" si="27"/>
        <v/>
      </c>
      <c r="AH152" s="16" t="str">
        <f>IF($A152="","",IF(COUNTIFS('LỆNH ĐIỀU XE'!$B$5:$B$604,$A152,'LỆNH ĐIỀU XE'!$C$5:$C$604,$B152,'LỆNH ĐIỀU XE'!$N$5:$N$604,"Có")&gt;0,"Có","Không"))</f>
        <v/>
      </c>
      <c r="AI152" s="16" t="str">
        <f>IF(OR($A152="",H152="",N(T152)=0),"",IF(_xlfn.MAXIFS('LỆNH ĐIỀU XE'!$U$5:$U$604,'LỆNH ĐIỀU XE'!$B$5:$B$604,$A152,'LỆNH ĐIỀU XE'!$C$5:$C$604,$B152)=0,"",ROUND((H152+(H152&lt;4/24)-_xlfn.MAXIFS('LỆNH ĐIỀU XE'!$U$5:$U$604,'LỆNH ĐIỀU XE'!$B$5:$B$604,$A152,'LỆNH ĐIỀU XE'!$C$5:$C$604,$B152))*1440,0)))</f>
        <v/>
      </c>
      <c r="AJ152" s="16" t="str">
        <f>IF($A152="","",IF(OR(AI152="",V152=""),"Thiếu dữ liệu",IF(AND(AI152&lt;='THAM SỐ'!$B$29,ABS(V152)&lt;='THAM SỐ'!$B$28),"Đạt","Không đạt")))</f>
        <v/>
      </c>
      <c r="AK152" s="16" t="str">
        <f t="shared" si="28"/>
        <v/>
      </c>
      <c r="AL152" s="16" t="str">
        <f>IF($A152="","",TRIM(IF(T152=0,"Không có lệnh; ","")&amp;IF(N(N152)&gt;0,"Dừng ngoài lệnh; ","")&amp;IF(N(J152)&gt;0,"Quá tốc độ; ","")&amp;IF(N(K152)&gt;0,"Lái quá 4h; ","")&amp;IF(N(L152)&gt;0,"Không tắt máy; ","")&amp;IF(OR(P152&lt;&gt;"Đủ",Q152&lt;&gt;"Đủ",R152&lt;&gt;"Đủ"),"Thiếu ảnh; ","")&amp;IF(S152&lt;&gt;"Đạt","Lốp chưa đạt; ","")&amp;IF(N(W152)&gt;'THAM SỐ'!$B$27,"Có mặt quá giờ; ","")&amp;IF(N(X152)&gt;'THAM SỐ'!$B$25,"Lái quá giờ ngày; ","")&amp;IF(ISNUMBER(V152),IF(ABS(V152)&gt;'THAM SỐ'!$B$28,"Lệch km; ",""),"")))</f>
        <v/>
      </c>
      <c r="AM152" s="29"/>
      <c r="AN152" s="30"/>
      <c r="AO152" s="28" t="str">
        <f t="shared" si="29"/>
        <v/>
      </c>
      <c r="AP152" s="21" t="str">
        <f>IF(OR($A152="",AO152=""),"",IF(AG152=0,0,ROUND((AC152*'THAM SỐ'!$B$18+AD152*'THAM SỐ'!$B$19+AE152*'THAM SỐ'!$B$20+AF152*'THAM SỐ'!$B$21)*MIN(1,AO152/AG152),0)))</f>
        <v/>
      </c>
      <c r="AQ152" s="18"/>
    </row>
    <row r="153" spans="1:43" x14ac:dyDescent="0.45">
      <c r="A153" s="17"/>
      <c r="B153" s="18"/>
      <c r="C153" s="18"/>
      <c r="D153" s="25"/>
      <c r="E153" s="26"/>
      <c r="F153" s="26"/>
      <c r="G153" s="20"/>
      <c r="H153" s="20"/>
      <c r="I153" s="18"/>
      <c r="J153" s="18"/>
      <c r="K153" s="18"/>
      <c r="L153" s="18"/>
      <c r="M153" s="18"/>
      <c r="N153" s="18"/>
      <c r="O153" s="18"/>
      <c r="P153" s="18"/>
      <c r="Q153" s="18"/>
      <c r="R153" s="18"/>
      <c r="S153" s="18"/>
      <c r="T153" s="16" t="str">
        <f>IF($A153="","",COUNTIFS('LỆNH ĐIỀU XE'!$B$5:$B$604,$A153,'LỆNH ĐIỀU XE'!$C$5:$C$604,$B153))</f>
        <v/>
      </c>
      <c r="U153" s="27" t="str">
        <f>IF($A153="","",SUMIFS('LỆNH ĐIỀU XE'!$J$5:$J$604,'LỆNH ĐIỀU XE'!$B$5:$B$604,$A153,'LỆNH ĐIỀU XE'!$C$5:$C$604,$B153))</f>
        <v/>
      </c>
      <c r="V153" s="22" t="str">
        <f t="shared" si="20"/>
        <v/>
      </c>
      <c r="W153" s="28" t="str">
        <f t="shared" si="21"/>
        <v/>
      </c>
      <c r="X153" s="28" t="str">
        <f t="shared" si="22"/>
        <v/>
      </c>
      <c r="Y153" s="28" t="str">
        <f t="shared" si="23"/>
        <v/>
      </c>
      <c r="Z153" s="22" t="str">
        <f t="shared" si="24"/>
        <v/>
      </c>
      <c r="AA153" s="28" t="str">
        <f t="shared" si="25"/>
        <v/>
      </c>
      <c r="AB153" s="28" t="str">
        <f t="shared" si="26"/>
        <v/>
      </c>
      <c r="AC153" s="28" t="str">
        <f>IF($A153="","",SUMIFS('CHẶNG TĂNG CA'!$E$5:$E$304,'CHẶNG TĂNG CA'!$A$5:$A$304,$A153,'CHẶNG TĂNG CA'!$B$5:$B$304,$B153))</f>
        <v/>
      </c>
      <c r="AD153" s="28" t="str">
        <f>IF($A153="","",SUMIFS('CHẶNG TĂNG CA'!$F$5:$F$304,'CHẶNG TĂNG CA'!$A$5:$A$304,$A153,'CHẶNG TĂNG CA'!$B$5:$B$304,$B153))</f>
        <v/>
      </c>
      <c r="AE153" s="28" t="str">
        <f>IF($A153="","",SUMIFS('CHẶNG TĂNG CA'!$G$5:$G$304,'CHẶNG TĂNG CA'!$A$5:$A$304,$A153,'CHẶNG TĂNG CA'!$B$5:$B$304,$B153))</f>
        <v/>
      </c>
      <c r="AF153" s="28" t="str">
        <f>IF($A153="","",SUMIFS('CHẶNG TĂNG CA'!$H$5:$H$304,'CHẶNG TĂNG CA'!$A$5:$A$304,$A153,'CHẶNG TĂNG CA'!$B$5:$B$304,$B153))</f>
        <v/>
      </c>
      <c r="AG153" s="28" t="str">
        <f t="shared" si="27"/>
        <v/>
      </c>
      <c r="AH153" s="16" t="str">
        <f>IF($A153="","",IF(COUNTIFS('LỆNH ĐIỀU XE'!$B$5:$B$604,$A153,'LỆNH ĐIỀU XE'!$C$5:$C$604,$B153,'LỆNH ĐIỀU XE'!$N$5:$N$604,"Có")&gt;0,"Có","Không"))</f>
        <v/>
      </c>
      <c r="AI153" s="16" t="str">
        <f>IF(OR($A153="",H153="",N(T153)=0),"",IF(_xlfn.MAXIFS('LỆNH ĐIỀU XE'!$U$5:$U$604,'LỆNH ĐIỀU XE'!$B$5:$B$604,$A153,'LỆNH ĐIỀU XE'!$C$5:$C$604,$B153)=0,"",ROUND((H153+(H153&lt;4/24)-_xlfn.MAXIFS('LỆNH ĐIỀU XE'!$U$5:$U$604,'LỆNH ĐIỀU XE'!$B$5:$B$604,$A153,'LỆNH ĐIỀU XE'!$C$5:$C$604,$B153))*1440,0)))</f>
        <v/>
      </c>
      <c r="AJ153" s="16" t="str">
        <f>IF($A153="","",IF(OR(AI153="",V153=""),"Thiếu dữ liệu",IF(AND(AI153&lt;='THAM SỐ'!$B$29,ABS(V153)&lt;='THAM SỐ'!$B$28),"Đạt","Không đạt")))</f>
        <v/>
      </c>
      <c r="AK153" s="16" t="str">
        <f t="shared" si="28"/>
        <v/>
      </c>
      <c r="AL153" s="16" t="str">
        <f>IF($A153="","",TRIM(IF(T153=0,"Không có lệnh; ","")&amp;IF(N(N153)&gt;0,"Dừng ngoài lệnh; ","")&amp;IF(N(J153)&gt;0,"Quá tốc độ; ","")&amp;IF(N(K153)&gt;0,"Lái quá 4h; ","")&amp;IF(N(L153)&gt;0,"Không tắt máy; ","")&amp;IF(OR(P153&lt;&gt;"Đủ",Q153&lt;&gt;"Đủ",R153&lt;&gt;"Đủ"),"Thiếu ảnh; ","")&amp;IF(S153&lt;&gt;"Đạt","Lốp chưa đạt; ","")&amp;IF(N(W153)&gt;'THAM SỐ'!$B$27,"Có mặt quá giờ; ","")&amp;IF(N(X153)&gt;'THAM SỐ'!$B$25,"Lái quá giờ ngày; ","")&amp;IF(ISNUMBER(V153),IF(ABS(V153)&gt;'THAM SỐ'!$B$28,"Lệch km; ",""),"")))</f>
        <v/>
      </c>
      <c r="AM153" s="29"/>
      <c r="AN153" s="30"/>
      <c r="AO153" s="28" t="str">
        <f t="shared" si="29"/>
        <v/>
      </c>
      <c r="AP153" s="21" t="str">
        <f>IF(OR($A153="",AO153=""),"",IF(AG153=0,0,ROUND((AC153*'THAM SỐ'!$B$18+AD153*'THAM SỐ'!$B$19+AE153*'THAM SỐ'!$B$20+AF153*'THAM SỐ'!$B$21)*MIN(1,AO153/AG153),0)))</f>
        <v/>
      </c>
      <c r="AQ153" s="18"/>
    </row>
    <row r="154" spans="1:43" x14ac:dyDescent="0.45">
      <c r="A154" s="17"/>
      <c r="B154" s="18"/>
      <c r="C154" s="18"/>
      <c r="D154" s="25"/>
      <c r="E154" s="26"/>
      <c r="F154" s="26"/>
      <c r="G154" s="20"/>
      <c r="H154" s="20"/>
      <c r="I154" s="18"/>
      <c r="J154" s="18"/>
      <c r="K154" s="18"/>
      <c r="L154" s="18"/>
      <c r="M154" s="18"/>
      <c r="N154" s="18"/>
      <c r="O154" s="18"/>
      <c r="P154" s="18"/>
      <c r="Q154" s="18"/>
      <c r="R154" s="18"/>
      <c r="S154" s="18"/>
      <c r="T154" s="16" t="str">
        <f>IF($A154="","",COUNTIFS('LỆNH ĐIỀU XE'!$B$5:$B$604,$A154,'LỆNH ĐIỀU XE'!$C$5:$C$604,$B154))</f>
        <v/>
      </c>
      <c r="U154" s="27" t="str">
        <f>IF($A154="","",SUMIFS('LỆNH ĐIỀU XE'!$J$5:$J$604,'LỆNH ĐIỀU XE'!$B$5:$B$604,$A154,'LỆNH ĐIỀU XE'!$C$5:$C$604,$B154))</f>
        <v/>
      </c>
      <c r="V154" s="22" t="str">
        <f t="shared" si="20"/>
        <v/>
      </c>
      <c r="W154" s="28" t="str">
        <f t="shared" si="21"/>
        <v/>
      </c>
      <c r="X154" s="28" t="str">
        <f t="shared" si="22"/>
        <v/>
      </c>
      <c r="Y154" s="28" t="str">
        <f t="shared" si="23"/>
        <v/>
      </c>
      <c r="Z154" s="22" t="str">
        <f t="shared" si="24"/>
        <v/>
      </c>
      <c r="AA154" s="28" t="str">
        <f t="shared" si="25"/>
        <v/>
      </c>
      <c r="AB154" s="28" t="str">
        <f t="shared" si="26"/>
        <v/>
      </c>
      <c r="AC154" s="28" t="str">
        <f>IF($A154="","",SUMIFS('CHẶNG TĂNG CA'!$E$5:$E$304,'CHẶNG TĂNG CA'!$A$5:$A$304,$A154,'CHẶNG TĂNG CA'!$B$5:$B$304,$B154))</f>
        <v/>
      </c>
      <c r="AD154" s="28" t="str">
        <f>IF($A154="","",SUMIFS('CHẶNG TĂNG CA'!$F$5:$F$304,'CHẶNG TĂNG CA'!$A$5:$A$304,$A154,'CHẶNG TĂNG CA'!$B$5:$B$304,$B154))</f>
        <v/>
      </c>
      <c r="AE154" s="28" t="str">
        <f>IF($A154="","",SUMIFS('CHẶNG TĂNG CA'!$G$5:$G$304,'CHẶNG TĂNG CA'!$A$5:$A$304,$A154,'CHẶNG TĂNG CA'!$B$5:$B$304,$B154))</f>
        <v/>
      </c>
      <c r="AF154" s="28" t="str">
        <f>IF($A154="","",SUMIFS('CHẶNG TĂNG CA'!$H$5:$H$304,'CHẶNG TĂNG CA'!$A$5:$A$304,$A154,'CHẶNG TĂNG CA'!$B$5:$B$304,$B154))</f>
        <v/>
      </c>
      <c r="AG154" s="28" t="str">
        <f t="shared" si="27"/>
        <v/>
      </c>
      <c r="AH154" s="16" t="str">
        <f>IF($A154="","",IF(COUNTIFS('LỆNH ĐIỀU XE'!$B$5:$B$604,$A154,'LỆNH ĐIỀU XE'!$C$5:$C$604,$B154,'LỆNH ĐIỀU XE'!$N$5:$N$604,"Có")&gt;0,"Có","Không"))</f>
        <v/>
      </c>
      <c r="AI154" s="16" t="str">
        <f>IF(OR($A154="",H154="",N(T154)=0),"",IF(_xlfn.MAXIFS('LỆNH ĐIỀU XE'!$U$5:$U$604,'LỆNH ĐIỀU XE'!$B$5:$B$604,$A154,'LỆNH ĐIỀU XE'!$C$5:$C$604,$B154)=0,"",ROUND((H154+(H154&lt;4/24)-_xlfn.MAXIFS('LỆNH ĐIỀU XE'!$U$5:$U$604,'LỆNH ĐIỀU XE'!$B$5:$B$604,$A154,'LỆNH ĐIỀU XE'!$C$5:$C$604,$B154))*1440,0)))</f>
        <v/>
      </c>
      <c r="AJ154" s="16" t="str">
        <f>IF($A154="","",IF(OR(AI154="",V154=""),"Thiếu dữ liệu",IF(AND(AI154&lt;='THAM SỐ'!$B$29,ABS(V154)&lt;='THAM SỐ'!$B$28),"Đạt","Không đạt")))</f>
        <v/>
      </c>
      <c r="AK154" s="16" t="str">
        <f t="shared" si="28"/>
        <v/>
      </c>
      <c r="AL154" s="16" t="str">
        <f>IF($A154="","",TRIM(IF(T154=0,"Không có lệnh; ","")&amp;IF(N(N154)&gt;0,"Dừng ngoài lệnh; ","")&amp;IF(N(J154)&gt;0,"Quá tốc độ; ","")&amp;IF(N(K154)&gt;0,"Lái quá 4h; ","")&amp;IF(N(L154)&gt;0,"Không tắt máy; ","")&amp;IF(OR(P154&lt;&gt;"Đủ",Q154&lt;&gt;"Đủ",R154&lt;&gt;"Đủ"),"Thiếu ảnh; ","")&amp;IF(S154&lt;&gt;"Đạt","Lốp chưa đạt; ","")&amp;IF(N(W154)&gt;'THAM SỐ'!$B$27,"Có mặt quá giờ; ","")&amp;IF(N(X154)&gt;'THAM SỐ'!$B$25,"Lái quá giờ ngày; ","")&amp;IF(ISNUMBER(V154),IF(ABS(V154)&gt;'THAM SỐ'!$B$28,"Lệch km; ",""),"")))</f>
        <v/>
      </c>
      <c r="AM154" s="29"/>
      <c r="AN154" s="30"/>
      <c r="AO154" s="28" t="str">
        <f t="shared" si="29"/>
        <v/>
      </c>
      <c r="AP154" s="21" t="str">
        <f>IF(OR($A154="",AO154=""),"",IF(AG154=0,0,ROUND((AC154*'THAM SỐ'!$B$18+AD154*'THAM SỐ'!$B$19+AE154*'THAM SỐ'!$B$20+AF154*'THAM SỐ'!$B$21)*MIN(1,AO154/AG154),0)))</f>
        <v/>
      </c>
      <c r="AQ154" s="18"/>
    </row>
    <row r="155" spans="1:43" x14ac:dyDescent="0.45">
      <c r="A155" s="17"/>
      <c r="B155" s="18"/>
      <c r="C155" s="18"/>
      <c r="D155" s="25"/>
      <c r="E155" s="26"/>
      <c r="F155" s="26"/>
      <c r="G155" s="20"/>
      <c r="H155" s="20"/>
      <c r="I155" s="18"/>
      <c r="J155" s="18"/>
      <c r="K155" s="18"/>
      <c r="L155" s="18"/>
      <c r="M155" s="18"/>
      <c r="N155" s="18"/>
      <c r="O155" s="18"/>
      <c r="P155" s="18"/>
      <c r="Q155" s="18"/>
      <c r="R155" s="18"/>
      <c r="S155" s="18"/>
      <c r="T155" s="16" t="str">
        <f>IF($A155="","",COUNTIFS('LỆNH ĐIỀU XE'!$B$5:$B$604,$A155,'LỆNH ĐIỀU XE'!$C$5:$C$604,$B155))</f>
        <v/>
      </c>
      <c r="U155" s="27" t="str">
        <f>IF($A155="","",SUMIFS('LỆNH ĐIỀU XE'!$J$5:$J$604,'LỆNH ĐIỀU XE'!$B$5:$B$604,$A155,'LỆNH ĐIỀU XE'!$C$5:$C$604,$B155))</f>
        <v/>
      </c>
      <c r="V155" s="22" t="str">
        <f t="shared" si="20"/>
        <v/>
      </c>
      <c r="W155" s="28" t="str">
        <f t="shared" si="21"/>
        <v/>
      </c>
      <c r="X155" s="28" t="str">
        <f t="shared" si="22"/>
        <v/>
      </c>
      <c r="Y155" s="28" t="str">
        <f t="shared" si="23"/>
        <v/>
      </c>
      <c r="Z155" s="22" t="str">
        <f t="shared" si="24"/>
        <v/>
      </c>
      <c r="AA155" s="28" t="str">
        <f t="shared" si="25"/>
        <v/>
      </c>
      <c r="AB155" s="28" t="str">
        <f t="shared" si="26"/>
        <v/>
      </c>
      <c r="AC155" s="28" t="str">
        <f>IF($A155="","",SUMIFS('CHẶNG TĂNG CA'!$E$5:$E$304,'CHẶNG TĂNG CA'!$A$5:$A$304,$A155,'CHẶNG TĂNG CA'!$B$5:$B$304,$B155))</f>
        <v/>
      </c>
      <c r="AD155" s="28" t="str">
        <f>IF($A155="","",SUMIFS('CHẶNG TĂNG CA'!$F$5:$F$304,'CHẶNG TĂNG CA'!$A$5:$A$304,$A155,'CHẶNG TĂNG CA'!$B$5:$B$304,$B155))</f>
        <v/>
      </c>
      <c r="AE155" s="28" t="str">
        <f>IF($A155="","",SUMIFS('CHẶNG TĂNG CA'!$G$5:$G$304,'CHẶNG TĂNG CA'!$A$5:$A$304,$A155,'CHẶNG TĂNG CA'!$B$5:$B$304,$B155))</f>
        <v/>
      </c>
      <c r="AF155" s="28" t="str">
        <f>IF($A155="","",SUMIFS('CHẶNG TĂNG CA'!$H$5:$H$304,'CHẶNG TĂNG CA'!$A$5:$A$304,$A155,'CHẶNG TĂNG CA'!$B$5:$B$304,$B155))</f>
        <v/>
      </c>
      <c r="AG155" s="28" t="str">
        <f t="shared" si="27"/>
        <v/>
      </c>
      <c r="AH155" s="16" t="str">
        <f>IF($A155="","",IF(COUNTIFS('LỆNH ĐIỀU XE'!$B$5:$B$604,$A155,'LỆNH ĐIỀU XE'!$C$5:$C$604,$B155,'LỆNH ĐIỀU XE'!$N$5:$N$604,"Có")&gt;0,"Có","Không"))</f>
        <v/>
      </c>
      <c r="AI155" s="16" t="str">
        <f>IF(OR($A155="",H155="",N(T155)=0),"",IF(_xlfn.MAXIFS('LỆNH ĐIỀU XE'!$U$5:$U$604,'LỆNH ĐIỀU XE'!$B$5:$B$604,$A155,'LỆNH ĐIỀU XE'!$C$5:$C$604,$B155)=0,"",ROUND((H155+(H155&lt;4/24)-_xlfn.MAXIFS('LỆNH ĐIỀU XE'!$U$5:$U$604,'LỆNH ĐIỀU XE'!$B$5:$B$604,$A155,'LỆNH ĐIỀU XE'!$C$5:$C$604,$B155))*1440,0)))</f>
        <v/>
      </c>
      <c r="AJ155" s="16" t="str">
        <f>IF($A155="","",IF(OR(AI155="",V155=""),"Thiếu dữ liệu",IF(AND(AI155&lt;='THAM SỐ'!$B$29,ABS(V155)&lt;='THAM SỐ'!$B$28),"Đạt","Không đạt")))</f>
        <v/>
      </c>
      <c r="AK155" s="16" t="str">
        <f t="shared" si="28"/>
        <v/>
      </c>
      <c r="AL155" s="16" t="str">
        <f>IF($A155="","",TRIM(IF(T155=0,"Không có lệnh; ","")&amp;IF(N(N155)&gt;0,"Dừng ngoài lệnh; ","")&amp;IF(N(J155)&gt;0,"Quá tốc độ; ","")&amp;IF(N(K155)&gt;0,"Lái quá 4h; ","")&amp;IF(N(L155)&gt;0,"Không tắt máy; ","")&amp;IF(OR(P155&lt;&gt;"Đủ",Q155&lt;&gt;"Đủ",R155&lt;&gt;"Đủ"),"Thiếu ảnh; ","")&amp;IF(S155&lt;&gt;"Đạt","Lốp chưa đạt; ","")&amp;IF(N(W155)&gt;'THAM SỐ'!$B$27,"Có mặt quá giờ; ","")&amp;IF(N(X155)&gt;'THAM SỐ'!$B$25,"Lái quá giờ ngày; ","")&amp;IF(ISNUMBER(V155),IF(ABS(V155)&gt;'THAM SỐ'!$B$28,"Lệch km; ",""),"")))</f>
        <v/>
      </c>
      <c r="AM155" s="29"/>
      <c r="AN155" s="30"/>
      <c r="AO155" s="28" t="str">
        <f t="shared" si="29"/>
        <v/>
      </c>
      <c r="AP155" s="21" t="str">
        <f>IF(OR($A155="",AO155=""),"",IF(AG155=0,0,ROUND((AC155*'THAM SỐ'!$B$18+AD155*'THAM SỐ'!$B$19+AE155*'THAM SỐ'!$B$20+AF155*'THAM SỐ'!$B$21)*MIN(1,AO155/AG155),0)))</f>
        <v/>
      </c>
      <c r="AQ155" s="18"/>
    </row>
    <row r="156" spans="1:43" x14ac:dyDescent="0.45">
      <c r="A156" s="17"/>
      <c r="B156" s="18"/>
      <c r="C156" s="18"/>
      <c r="D156" s="25"/>
      <c r="E156" s="26"/>
      <c r="F156" s="26"/>
      <c r="G156" s="20"/>
      <c r="H156" s="20"/>
      <c r="I156" s="18"/>
      <c r="J156" s="18"/>
      <c r="K156" s="18"/>
      <c r="L156" s="18"/>
      <c r="M156" s="18"/>
      <c r="N156" s="18"/>
      <c r="O156" s="18"/>
      <c r="P156" s="18"/>
      <c r="Q156" s="18"/>
      <c r="R156" s="18"/>
      <c r="S156" s="18"/>
      <c r="T156" s="16" t="str">
        <f>IF($A156="","",COUNTIFS('LỆNH ĐIỀU XE'!$B$5:$B$604,$A156,'LỆNH ĐIỀU XE'!$C$5:$C$604,$B156))</f>
        <v/>
      </c>
      <c r="U156" s="27" t="str">
        <f>IF($A156="","",SUMIFS('LỆNH ĐIỀU XE'!$J$5:$J$604,'LỆNH ĐIỀU XE'!$B$5:$B$604,$A156,'LỆNH ĐIỀU XE'!$C$5:$C$604,$B156))</f>
        <v/>
      </c>
      <c r="V156" s="22" t="str">
        <f t="shared" si="20"/>
        <v/>
      </c>
      <c r="W156" s="28" t="str">
        <f t="shared" si="21"/>
        <v/>
      </c>
      <c r="X156" s="28" t="str">
        <f t="shared" si="22"/>
        <v/>
      </c>
      <c r="Y156" s="28" t="str">
        <f t="shared" si="23"/>
        <v/>
      </c>
      <c r="Z156" s="22" t="str">
        <f t="shared" si="24"/>
        <v/>
      </c>
      <c r="AA156" s="28" t="str">
        <f t="shared" si="25"/>
        <v/>
      </c>
      <c r="AB156" s="28" t="str">
        <f t="shared" si="26"/>
        <v/>
      </c>
      <c r="AC156" s="28" t="str">
        <f>IF($A156="","",SUMIFS('CHẶNG TĂNG CA'!$E$5:$E$304,'CHẶNG TĂNG CA'!$A$5:$A$304,$A156,'CHẶNG TĂNG CA'!$B$5:$B$304,$B156))</f>
        <v/>
      </c>
      <c r="AD156" s="28" t="str">
        <f>IF($A156="","",SUMIFS('CHẶNG TĂNG CA'!$F$5:$F$304,'CHẶNG TĂNG CA'!$A$5:$A$304,$A156,'CHẶNG TĂNG CA'!$B$5:$B$304,$B156))</f>
        <v/>
      </c>
      <c r="AE156" s="28" t="str">
        <f>IF($A156="","",SUMIFS('CHẶNG TĂNG CA'!$G$5:$G$304,'CHẶNG TĂNG CA'!$A$5:$A$304,$A156,'CHẶNG TĂNG CA'!$B$5:$B$304,$B156))</f>
        <v/>
      </c>
      <c r="AF156" s="28" t="str">
        <f>IF($A156="","",SUMIFS('CHẶNG TĂNG CA'!$H$5:$H$304,'CHẶNG TĂNG CA'!$A$5:$A$304,$A156,'CHẶNG TĂNG CA'!$B$5:$B$304,$B156))</f>
        <v/>
      </c>
      <c r="AG156" s="28" t="str">
        <f t="shared" si="27"/>
        <v/>
      </c>
      <c r="AH156" s="16" t="str">
        <f>IF($A156="","",IF(COUNTIFS('LỆNH ĐIỀU XE'!$B$5:$B$604,$A156,'LỆNH ĐIỀU XE'!$C$5:$C$604,$B156,'LỆNH ĐIỀU XE'!$N$5:$N$604,"Có")&gt;0,"Có","Không"))</f>
        <v/>
      </c>
      <c r="AI156" s="16" t="str">
        <f>IF(OR($A156="",H156="",N(T156)=0),"",IF(_xlfn.MAXIFS('LỆNH ĐIỀU XE'!$U$5:$U$604,'LỆNH ĐIỀU XE'!$B$5:$B$604,$A156,'LỆNH ĐIỀU XE'!$C$5:$C$604,$B156)=0,"",ROUND((H156+(H156&lt;4/24)-_xlfn.MAXIFS('LỆNH ĐIỀU XE'!$U$5:$U$604,'LỆNH ĐIỀU XE'!$B$5:$B$604,$A156,'LỆNH ĐIỀU XE'!$C$5:$C$604,$B156))*1440,0)))</f>
        <v/>
      </c>
      <c r="AJ156" s="16" t="str">
        <f>IF($A156="","",IF(OR(AI156="",V156=""),"Thiếu dữ liệu",IF(AND(AI156&lt;='THAM SỐ'!$B$29,ABS(V156)&lt;='THAM SỐ'!$B$28),"Đạt","Không đạt")))</f>
        <v/>
      </c>
      <c r="AK156" s="16" t="str">
        <f t="shared" si="28"/>
        <v/>
      </c>
      <c r="AL156" s="16" t="str">
        <f>IF($A156="","",TRIM(IF(T156=0,"Không có lệnh; ","")&amp;IF(N(N156)&gt;0,"Dừng ngoài lệnh; ","")&amp;IF(N(J156)&gt;0,"Quá tốc độ; ","")&amp;IF(N(K156)&gt;0,"Lái quá 4h; ","")&amp;IF(N(L156)&gt;0,"Không tắt máy; ","")&amp;IF(OR(P156&lt;&gt;"Đủ",Q156&lt;&gt;"Đủ",R156&lt;&gt;"Đủ"),"Thiếu ảnh; ","")&amp;IF(S156&lt;&gt;"Đạt","Lốp chưa đạt; ","")&amp;IF(N(W156)&gt;'THAM SỐ'!$B$27,"Có mặt quá giờ; ","")&amp;IF(N(X156)&gt;'THAM SỐ'!$B$25,"Lái quá giờ ngày; ","")&amp;IF(ISNUMBER(V156),IF(ABS(V156)&gt;'THAM SỐ'!$B$28,"Lệch km; ",""),"")))</f>
        <v/>
      </c>
      <c r="AM156" s="29"/>
      <c r="AN156" s="30"/>
      <c r="AO156" s="28" t="str">
        <f t="shared" si="29"/>
        <v/>
      </c>
      <c r="AP156" s="21" t="str">
        <f>IF(OR($A156="",AO156=""),"",IF(AG156=0,0,ROUND((AC156*'THAM SỐ'!$B$18+AD156*'THAM SỐ'!$B$19+AE156*'THAM SỐ'!$B$20+AF156*'THAM SỐ'!$B$21)*MIN(1,AO156/AG156),0)))</f>
        <v/>
      </c>
      <c r="AQ156" s="18"/>
    </row>
    <row r="157" spans="1:43" x14ac:dyDescent="0.45">
      <c r="A157" s="17"/>
      <c r="B157" s="18"/>
      <c r="C157" s="18"/>
      <c r="D157" s="25"/>
      <c r="E157" s="26"/>
      <c r="F157" s="26"/>
      <c r="G157" s="20"/>
      <c r="H157" s="20"/>
      <c r="I157" s="18"/>
      <c r="J157" s="18"/>
      <c r="K157" s="18"/>
      <c r="L157" s="18"/>
      <c r="M157" s="18"/>
      <c r="N157" s="18"/>
      <c r="O157" s="18"/>
      <c r="P157" s="18"/>
      <c r="Q157" s="18"/>
      <c r="R157" s="18"/>
      <c r="S157" s="18"/>
      <c r="T157" s="16" t="str">
        <f>IF($A157="","",COUNTIFS('LỆNH ĐIỀU XE'!$B$5:$B$604,$A157,'LỆNH ĐIỀU XE'!$C$5:$C$604,$B157))</f>
        <v/>
      </c>
      <c r="U157" s="27" t="str">
        <f>IF($A157="","",SUMIFS('LỆNH ĐIỀU XE'!$J$5:$J$604,'LỆNH ĐIỀU XE'!$B$5:$B$604,$A157,'LỆNH ĐIỀU XE'!$C$5:$C$604,$B157))</f>
        <v/>
      </c>
      <c r="V157" s="22" t="str">
        <f t="shared" si="20"/>
        <v/>
      </c>
      <c r="W157" s="28" t="str">
        <f t="shared" si="21"/>
        <v/>
      </c>
      <c r="X157" s="28" t="str">
        <f t="shared" si="22"/>
        <v/>
      </c>
      <c r="Y157" s="28" t="str">
        <f t="shared" si="23"/>
        <v/>
      </c>
      <c r="Z157" s="22" t="str">
        <f t="shared" si="24"/>
        <v/>
      </c>
      <c r="AA157" s="28" t="str">
        <f t="shared" si="25"/>
        <v/>
      </c>
      <c r="AB157" s="28" t="str">
        <f t="shared" si="26"/>
        <v/>
      </c>
      <c r="AC157" s="28" t="str">
        <f>IF($A157="","",SUMIFS('CHẶNG TĂNG CA'!$E$5:$E$304,'CHẶNG TĂNG CA'!$A$5:$A$304,$A157,'CHẶNG TĂNG CA'!$B$5:$B$304,$B157))</f>
        <v/>
      </c>
      <c r="AD157" s="28" t="str">
        <f>IF($A157="","",SUMIFS('CHẶNG TĂNG CA'!$F$5:$F$304,'CHẶNG TĂNG CA'!$A$5:$A$304,$A157,'CHẶNG TĂNG CA'!$B$5:$B$304,$B157))</f>
        <v/>
      </c>
      <c r="AE157" s="28" t="str">
        <f>IF($A157="","",SUMIFS('CHẶNG TĂNG CA'!$G$5:$G$304,'CHẶNG TĂNG CA'!$A$5:$A$304,$A157,'CHẶNG TĂNG CA'!$B$5:$B$304,$B157))</f>
        <v/>
      </c>
      <c r="AF157" s="28" t="str">
        <f>IF($A157="","",SUMIFS('CHẶNG TĂNG CA'!$H$5:$H$304,'CHẶNG TĂNG CA'!$A$5:$A$304,$A157,'CHẶNG TĂNG CA'!$B$5:$B$304,$B157))</f>
        <v/>
      </c>
      <c r="AG157" s="28" t="str">
        <f t="shared" si="27"/>
        <v/>
      </c>
      <c r="AH157" s="16" t="str">
        <f>IF($A157="","",IF(COUNTIFS('LỆNH ĐIỀU XE'!$B$5:$B$604,$A157,'LỆNH ĐIỀU XE'!$C$5:$C$604,$B157,'LỆNH ĐIỀU XE'!$N$5:$N$604,"Có")&gt;0,"Có","Không"))</f>
        <v/>
      </c>
      <c r="AI157" s="16" t="str">
        <f>IF(OR($A157="",H157="",N(T157)=0),"",IF(_xlfn.MAXIFS('LỆNH ĐIỀU XE'!$U$5:$U$604,'LỆNH ĐIỀU XE'!$B$5:$B$604,$A157,'LỆNH ĐIỀU XE'!$C$5:$C$604,$B157)=0,"",ROUND((H157+(H157&lt;4/24)-_xlfn.MAXIFS('LỆNH ĐIỀU XE'!$U$5:$U$604,'LỆNH ĐIỀU XE'!$B$5:$B$604,$A157,'LỆNH ĐIỀU XE'!$C$5:$C$604,$B157))*1440,0)))</f>
        <v/>
      </c>
      <c r="AJ157" s="16" t="str">
        <f>IF($A157="","",IF(OR(AI157="",V157=""),"Thiếu dữ liệu",IF(AND(AI157&lt;='THAM SỐ'!$B$29,ABS(V157)&lt;='THAM SỐ'!$B$28),"Đạt","Không đạt")))</f>
        <v/>
      </c>
      <c r="AK157" s="16" t="str">
        <f t="shared" si="28"/>
        <v/>
      </c>
      <c r="AL157" s="16" t="str">
        <f>IF($A157="","",TRIM(IF(T157=0,"Không có lệnh; ","")&amp;IF(N(N157)&gt;0,"Dừng ngoài lệnh; ","")&amp;IF(N(J157)&gt;0,"Quá tốc độ; ","")&amp;IF(N(K157)&gt;0,"Lái quá 4h; ","")&amp;IF(N(L157)&gt;0,"Không tắt máy; ","")&amp;IF(OR(P157&lt;&gt;"Đủ",Q157&lt;&gt;"Đủ",R157&lt;&gt;"Đủ"),"Thiếu ảnh; ","")&amp;IF(S157&lt;&gt;"Đạt","Lốp chưa đạt; ","")&amp;IF(N(W157)&gt;'THAM SỐ'!$B$27,"Có mặt quá giờ; ","")&amp;IF(N(X157)&gt;'THAM SỐ'!$B$25,"Lái quá giờ ngày; ","")&amp;IF(ISNUMBER(V157),IF(ABS(V157)&gt;'THAM SỐ'!$B$28,"Lệch km; ",""),"")))</f>
        <v/>
      </c>
      <c r="AM157" s="29"/>
      <c r="AN157" s="30"/>
      <c r="AO157" s="28" t="str">
        <f t="shared" si="29"/>
        <v/>
      </c>
      <c r="AP157" s="21" t="str">
        <f>IF(OR($A157="",AO157=""),"",IF(AG157=0,0,ROUND((AC157*'THAM SỐ'!$B$18+AD157*'THAM SỐ'!$B$19+AE157*'THAM SỐ'!$B$20+AF157*'THAM SỐ'!$B$21)*MIN(1,AO157/AG157),0)))</f>
        <v/>
      </c>
      <c r="AQ157" s="18"/>
    </row>
    <row r="158" spans="1:43" x14ac:dyDescent="0.45">
      <c r="A158" s="17"/>
      <c r="B158" s="18"/>
      <c r="C158" s="18"/>
      <c r="D158" s="25"/>
      <c r="E158" s="26"/>
      <c r="F158" s="26"/>
      <c r="G158" s="20"/>
      <c r="H158" s="20"/>
      <c r="I158" s="18"/>
      <c r="J158" s="18"/>
      <c r="K158" s="18"/>
      <c r="L158" s="18"/>
      <c r="M158" s="18"/>
      <c r="N158" s="18"/>
      <c r="O158" s="18"/>
      <c r="P158" s="18"/>
      <c r="Q158" s="18"/>
      <c r="R158" s="18"/>
      <c r="S158" s="18"/>
      <c r="T158" s="16" t="str">
        <f>IF($A158="","",COUNTIFS('LỆNH ĐIỀU XE'!$B$5:$B$604,$A158,'LỆNH ĐIỀU XE'!$C$5:$C$604,$B158))</f>
        <v/>
      </c>
      <c r="U158" s="27" t="str">
        <f>IF($A158="","",SUMIFS('LỆNH ĐIỀU XE'!$J$5:$J$604,'LỆNH ĐIỀU XE'!$B$5:$B$604,$A158,'LỆNH ĐIỀU XE'!$C$5:$C$604,$B158))</f>
        <v/>
      </c>
      <c r="V158" s="22" t="str">
        <f t="shared" si="20"/>
        <v/>
      </c>
      <c r="W158" s="28" t="str">
        <f t="shared" si="21"/>
        <v/>
      </c>
      <c r="X158" s="28" t="str">
        <f t="shared" si="22"/>
        <v/>
      </c>
      <c r="Y158" s="28" t="str">
        <f t="shared" si="23"/>
        <v/>
      </c>
      <c r="Z158" s="22" t="str">
        <f t="shared" si="24"/>
        <v/>
      </c>
      <c r="AA158" s="28" t="str">
        <f t="shared" si="25"/>
        <v/>
      </c>
      <c r="AB158" s="28" t="str">
        <f t="shared" si="26"/>
        <v/>
      </c>
      <c r="AC158" s="28" t="str">
        <f>IF($A158="","",SUMIFS('CHẶNG TĂNG CA'!$E$5:$E$304,'CHẶNG TĂNG CA'!$A$5:$A$304,$A158,'CHẶNG TĂNG CA'!$B$5:$B$304,$B158))</f>
        <v/>
      </c>
      <c r="AD158" s="28" t="str">
        <f>IF($A158="","",SUMIFS('CHẶNG TĂNG CA'!$F$5:$F$304,'CHẶNG TĂNG CA'!$A$5:$A$304,$A158,'CHẶNG TĂNG CA'!$B$5:$B$304,$B158))</f>
        <v/>
      </c>
      <c r="AE158" s="28" t="str">
        <f>IF($A158="","",SUMIFS('CHẶNG TĂNG CA'!$G$5:$G$304,'CHẶNG TĂNG CA'!$A$5:$A$304,$A158,'CHẶNG TĂNG CA'!$B$5:$B$304,$B158))</f>
        <v/>
      </c>
      <c r="AF158" s="28" t="str">
        <f>IF($A158="","",SUMIFS('CHẶNG TĂNG CA'!$H$5:$H$304,'CHẶNG TĂNG CA'!$A$5:$A$304,$A158,'CHẶNG TĂNG CA'!$B$5:$B$304,$B158))</f>
        <v/>
      </c>
      <c r="AG158" s="28" t="str">
        <f t="shared" si="27"/>
        <v/>
      </c>
      <c r="AH158" s="16" t="str">
        <f>IF($A158="","",IF(COUNTIFS('LỆNH ĐIỀU XE'!$B$5:$B$604,$A158,'LỆNH ĐIỀU XE'!$C$5:$C$604,$B158,'LỆNH ĐIỀU XE'!$N$5:$N$604,"Có")&gt;0,"Có","Không"))</f>
        <v/>
      </c>
      <c r="AI158" s="16" t="str">
        <f>IF(OR($A158="",H158="",N(T158)=0),"",IF(_xlfn.MAXIFS('LỆNH ĐIỀU XE'!$U$5:$U$604,'LỆNH ĐIỀU XE'!$B$5:$B$604,$A158,'LỆNH ĐIỀU XE'!$C$5:$C$604,$B158)=0,"",ROUND((H158+(H158&lt;4/24)-_xlfn.MAXIFS('LỆNH ĐIỀU XE'!$U$5:$U$604,'LỆNH ĐIỀU XE'!$B$5:$B$604,$A158,'LỆNH ĐIỀU XE'!$C$5:$C$604,$B158))*1440,0)))</f>
        <v/>
      </c>
      <c r="AJ158" s="16" t="str">
        <f>IF($A158="","",IF(OR(AI158="",V158=""),"Thiếu dữ liệu",IF(AND(AI158&lt;='THAM SỐ'!$B$29,ABS(V158)&lt;='THAM SỐ'!$B$28),"Đạt","Không đạt")))</f>
        <v/>
      </c>
      <c r="AK158" s="16" t="str">
        <f t="shared" si="28"/>
        <v/>
      </c>
      <c r="AL158" s="16" t="str">
        <f>IF($A158="","",TRIM(IF(T158=0,"Không có lệnh; ","")&amp;IF(N(N158)&gt;0,"Dừng ngoài lệnh; ","")&amp;IF(N(J158)&gt;0,"Quá tốc độ; ","")&amp;IF(N(K158)&gt;0,"Lái quá 4h; ","")&amp;IF(N(L158)&gt;0,"Không tắt máy; ","")&amp;IF(OR(P158&lt;&gt;"Đủ",Q158&lt;&gt;"Đủ",R158&lt;&gt;"Đủ"),"Thiếu ảnh; ","")&amp;IF(S158&lt;&gt;"Đạt","Lốp chưa đạt; ","")&amp;IF(N(W158)&gt;'THAM SỐ'!$B$27,"Có mặt quá giờ; ","")&amp;IF(N(X158)&gt;'THAM SỐ'!$B$25,"Lái quá giờ ngày; ","")&amp;IF(ISNUMBER(V158),IF(ABS(V158)&gt;'THAM SỐ'!$B$28,"Lệch km; ",""),"")))</f>
        <v/>
      </c>
      <c r="AM158" s="29"/>
      <c r="AN158" s="30"/>
      <c r="AO158" s="28" t="str">
        <f t="shared" si="29"/>
        <v/>
      </c>
      <c r="AP158" s="21" t="str">
        <f>IF(OR($A158="",AO158=""),"",IF(AG158=0,0,ROUND((AC158*'THAM SỐ'!$B$18+AD158*'THAM SỐ'!$B$19+AE158*'THAM SỐ'!$B$20+AF158*'THAM SỐ'!$B$21)*MIN(1,AO158/AG158),0)))</f>
        <v/>
      </c>
      <c r="AQ158" s="18"/>
    </row>
    <row r="159" spans="1:43" x14ac:dyDescent="0.45">
      <c r="A159" s="17"/>
      <c r="B159" s="18"/>
      <c r="C159" s="18"/>
      <c r="D159" s="25"/>
      <c r="E159" s="26"/>
      <c r="F159" s="26"/>
      <c r="G159" s="20"/>
      <c r="H159" s="20"/>
      <c r="I159" s="18"/>
      <c r="J159" s="18"/>
      <c r="K159" s="18"/>
      <c r="L159" s="18"/>
      <c r="M159" s="18"/>
      <c r="N159" s="18"/>
      <c r="O159" s="18"/>
      <c r="P159" s="18"/>
      <c r="Q159" s="18"/>
      <c r="R159" s="18"/>
      <c r="S159" s="18"/>
      <c r="T159" s="16" t="str">
        <f>IF($A159="","",COUNTIFS('LỆNH ĐIỀU XE'!$B$5:$B$604,$A159,'LỆNH ĐIỀU XE'!$C$5:$C$604,$B159))</f>
        <v/>
      </c>
      <c r="U159" s="27" t="str">
        <f>IF($A159="","",SUMIFS('LỆNH ĐIỀU XE'!$J$5:$J$604,'LỆNH ĐIỀU XE'!$B$5:$B$604,$A159,'LỆNH ĐIỀU XE'!$C$5:$C$604,$B159))</f>
        <v/>
      </c>
      <c r="V159" s="22" t="str">
        <f t="shared" si="20"/>
        <v/>
      </c>
      <c r="W159" s="28" t="str">
        <f t="shared" si="21"/>
        <v/>
      </c>
      <c r="X159" s="28" t="str">
        <f t="shared" si="22"/>
        <v/>
      </c>
      <c r="Y159" s="28" t="str">
        <f t="shared" si="23"/>
        <v/>
      </c>
      <c r="Z159" s="22" t="str">
        <f t="shared" si="24"/>
        <v/>
      </c>
      <c r="AA159" s="28" t="str">
        <f t="shared" si="25"/>
        <v/>
      </c>
      <c r="AB159" s="28" t="str">
        <f t="shared" si="26"/>
        <v/>
      </c>
      <c r="AC159" s="28" t="str">
        <f>IF($A159="","",SUMIFS('CHẶNG TĂNG CA'!$E$5:$E$304,'CHẶNG TĂNG CA'!$A$5:$A$304,$A159,'CHẶNG TĂNG CA'!$B$5:$B$304,$B159))</f>
        <v/>
      </c>
      <c r="AD159" s="28" t="str">
        <f>IF($A159="","",SUMIFS('CHẶNG TĂNG CA'!$F$5:$F$304,'CHẶNG TĂNG CA'!$A$5:$A$304,$A159,'CHẶNG TĂNG CA'!$B$5:$B$304,$B159))</f>
        <v/>
      </c>
      <c r="AE159" s="28" t="str">
        <f>IF($A159="","",SUMIFS('CHẶNG TĂNG CA'!$G$5:$G$304,'CHẶNG TĂNG CA'!$A$5:$A$304,$A159,'CHẶNG TĂNG CA'!$B$5:$B$304,$B159))</f>
        <v/>
      </c>
      <c r="AF159" s="28" t="str">
        <f>IF($A159="","",SUMIFS('CHẶNG TĂNG CA'!$H$5:$H$304,'CHẶNG TĂNG CA'!$A$5:$A$304,$A159,'CHẶNG TĂNG CA'!$B$5:$B$304,$B159))</f>
        <v/>
      </c>
      <c r="AG159" s="28" t="str">
        <f t="shared" si="27"/>
        <v/>
      </c>
      <c r="AH159" s="16" t="str">
        <f>IF($A159="","",IF(COUNTIFS('LỆNH ĐIỀU XE'!$B$5:$B$604,$A159,'LỆNH ĐIỀU XE'!$C$5:$C$604,$B159,'LỆNH ĐIỀU XE'!$N$5:$N$604,"Có")&gt;0,"Có","Không"))</f>
        <v/>
      </c>
      <c r="AI159" s="16" t="str">
        <f>IF(OR($A159="",H159="",N(T159)=0),"",IF(_xlfn.MAXIFS('LỆNH ĐIỀU XE'!$U$5:$U$604,'LỆNH ĐIỀU XE'!$B$5:$B$604,$A159,'LỆNH ĐIỀU XE'!$C$5:$C$604,$B159)=0,"",ROUND((H159+(H159&lt;4/24)-_xlfn.MAXIFS('LỆNH ĐIỀU XE'!$U$5:$U$604,'LỆNH ĐIỀU XE'!$B$5:$B$604,$A159,'LỆNH ĐIỀU XE'!$C$5:$C$604,$B159))*1440,0)))</f>
        <v/>
      </c>
      <c r="AJ159" s="16" t="str">
        <f>IF($A159="","",IF(OR(AI159="",V159=""),"Thiếu dữ liệu",IF(AND(AI159&lt;='THAM SỐ'!$B$29,ABS(V159)&lt;='THAM SỐ'!$B$28),"Đạt","Không đạt")))</f>
        <v/>
      </c>
      <c r="AK159" s="16" t="str">
        <f t="shared" si="28"/>
        <v/>
      </c>
      <c r="AL159" s="16" t="str">
        <f>IF($A159="","",TRIM(IF(T159=0,"Không có lệnh; ","")&amp;IF(N(N159)&gt;0,"Dừng ngoài lệnh; ","")&amp;IF(N(J159)&gt;0,"Quá tốc độ; ","")&amp;IF(N(K159)&gt;0,"Lái quá 4h; ","")&amp;IF(N(L159)&gt;0,"Không tắt máy; ","")&amp;IF(OR(P159&lt;&gt;"Đủ",Q159&lt;&gt;"Đủ",R159&lt;&gt;"Đủ"),"Thiếu ảnh; ","")&amp;IF(S159&lt;&gt;"Đạt","Lốp chưa đạt; ","")&amp;IF(N(W159)&gt;'THAM SỐ'!$B$27,"Có mặt quá giờ; ","")&amp;IF(N(X159)&gt;'THAM SỐ'!$B$25,"Lái quá giờ ngày; ","")&amp;IF(ISNUMBER(V159),IF(ABS(V159)&gt;'THAM SỐ'!$B$28,"Lệch km; ",""),"")))</f>
        <v/>
      </c>
      <c r="AM159" s="29"/>
      <c r="AN159" s="30"/>
      <c r="AO159" s="28" t="str">
        <f t="shared" si="29"/>
        <v/>
      </c>
      <c r="AP159" s="21" t="str">
        <f>IF(OR($A159="",AO159=""),"",IF(AG159=0,0,ROUND((AC159*'THAM SỐ'!$B$18+AD159*'THAM SỐ'!$B$19+AE159*'THAM SỐ'!$B$20+AF159*'THAM SỐ'!$B$21)*MIN(1,AO159/AG159),0)))</f>
        <v/>
      </c>
      <c r="AQ159" s="18"/>
    </row>
    <row r="160" spans="1:43" x14ac:dyDescent="0.45">
      <c r="A160" s="17"/>
      <c r="B160" s="18"/>
      <c r="C160" s="18"/>
      <c r="D160" s="25"/>
      <c r="E160" s="26"/>
      <c r="F160" s="26"/>
      <c r="G160" s="20"/>
      <c r="H160" s="20"/>
      <c r="I160" s="18"/>
      <c r="J160" s="18"/>
      <c r="K160" s="18"/>
      <c r="L160" s="18"/>
      <c r="M160" s="18"/>
      <c r="N160" s="18"/>
      <c r="O160" s="18"/>
      <c r="P160" s="18"/>
      <c r="Q160" s="18"/>
      <c r="R160" s="18"/>
      <c r="S160" s="18"/>
      <c r="T160" s="16" t="str">
        <f>IF($A160="","",COUNTIFS('LỆNH ĐIỀU XE'!$B$5:$B$604,$A160,'LỆNH ĐIỀU XE'!$C$5:$C$604,$B160))</f>
        <v/>
      </c>
      <c r="U160" s="27" t="str">
        <f>IF($A160="","",SUMIFS('LỆNH ĐIỀU XE'!$J$5:$J$604,'LỆNH ĐIỀU XE'!$B$5:$B$604,$A160,'LỆNH ĐIỀU XE'!$C$5:$C$604,$B160))</f>
        <v/>
      </c>
      <c r="V160" s="22" t="str">
        <f t="shared" si="20"/>
        <v/>
      </c>
      <c r="W160" s="28" t="str">
        <f t="shared" si="21"/>
        <v/>
      </c>
      <c r="X160" s="28" t="str">
        <f t="shared" si="22"/>
        <v/>
      </c>
      <c r="Y160" s="28" t="str">
        <f t="shared" si="23"/>
        <v/>
      </c>
      <c r="Z160" s="22" t="str">
        <f t="shared" si="24"/>
        <v/>
      </c>
      <c r="AA160" s="28" t="str">
        <f t="shared" si="25"/>
        <v/>
      </c>
      <c r="AB160" s="28" t="str">
        <f t="shared" si="26"/>
        <v/>
      </c>
      <c r="AC160" s="28" t="str">
        <f>IF($A160="","",SUMIFS('CHẶNG TĂNG CA'!$E$5:$E$304,'CHẶNG TĂNG CA'!$A$5:$A$304,$A160,'CHẶNG TĂNG CA'!$B$5:$B$304,$B160))</f>
        <v/>
      </c>
      <c r="AD160" s="28" t="str">
        <f>IF($A160="","",SUMIFS('CHẶNG TĂNG CA'!$F$5:$F$304,'CHẶNG TĂNG CA'!$A$5:$A$304,$A160,'CHẶNG TĂNG CA'!$B$5:$B$304,$B160))</f>
        <v/>
      </c>
      <c r="AE160" s="28" t="str">
        <f>IF($A160="","",SUMIFS('CHẶNG TĂNG CA'!$G$5:$G$304,'CHẶNG TĂNG CA'!$A$5:$A$304,$A160,'CHẶNG TĂNG CA'!$B$5:$B$304,$B160))</f>
        <v/>
      </c>
      <c r="AF160" s="28" t="str">
        <f>IF($A160="","",SUMIFS('CHẶNG TĂNG CA'!$H$5:$H$304,'CHẶNG TĂNG CA'!$A$5:$A$304,$A160,'CHẶNG TĂNG CA'!$B$5:$B$304,$B160))</f>
        <v/>
      </c>
      <c r="AG160" s="28" t="str">
        <f t="shared" si="27"/>
        <v/>
      </c>
      <c r="AH160" s="16" t="str">
        <f>IF($A160="","",IF(COUNTIFS('LỆNH ĐIỀU XE'!$B$5:$B$604,$A160,'LỆNH ĐIỀU XE'!$C$5:$C$604,$B160,'LỆNH ĐIỀU XE'!$N$5:$N$604,"Có")&gt;0,"Có","Không"))</f>
        <v/>
      </c>
      <c r="AI160" s="16" t="str">
        <f>IF(OR($A160="",H160="",N(T160)=0),"",IF(_xlfn.MAXIFS('LỆNH ĐIỀU XE'!$U$5:$U$604,'LỆNH ĐIỀU XE'!$B$5:$B$604,$A160,'LỆNH ĐIỀU XE'!$C$5:$C$604,$B160)=0,"",ROUND((H160+(H160&lt;4/24)-_xlfn.MAXIFS('LỆNH ĐIỀU XE'!$U$5:$U$604,'LỆNH ĐIỀU XE'!$B$5:$B$604,$A160,'LỆNH ĐIỀU XE'!$C$5:$C$604,$B160))*1440,0)))</f>
        <v/>
      </c>
      <c r="AJ160" s="16" t="str">
        <f>IF($A160="","",IF(OR(AI160="",V160=""),"Thiếu dữ liệu",IF(AND(AI160&lt;='THAM SỐ'!$B$29,ABS(V160)&lt;='THAM SỐ'!$B$28),"Đạt","Không đạt")))</f>
        <v/>
      </c>
      <c r="AK160" s="16" t="str">
        <f t="shared" si="28"/>
        <v/>
      </c>
      <c r="AL160" s="16" t="str">
        <f>IF($A160="","",TRIM(IF(T160=0,"Không có lệnh; ","")&amp;IF(N(N160)&gt;0,"Dừng ngoài lệnh; ","")&amp;IF(N(J160)&gt;0,"Quá tốc độ; ","")&amp;IF(N(K160)&gt;0,"Lái quá 4h; ","")&amp;IF(N(L160)&gt;0,"Không tắt máy; ","")&amp;IF(OR(P160&lt;&gt;"Đủ",Q160&lt;&gt;"Đủ",R160&lt;&gt;"Đủ"),"Thiếu ảnh; ","")&amp;IF(S160&lt;&gt;"Đạt","Lốp chưa đạt; ","")&amp;IF(N(W160)&gt;'THAM SỐ'!$B$27,"Có mặt quá giờ; ","")&amp;IF(N(X160)&gt;'THAM SỐ'!$B$25,"Lái quá giờ ngày; ","")&amp;IF(ISNUMBER(V160),IF(ABS(V160)&gt;'THAM SỐ'!$B$28,"Lệch km; ",""),"")))</f>
        <v/>
      </c>
      <c r="AM160" s="29"/>
      <c r="AN160" s="30"/>
      <c r="AO160" s="28" t="str">
        <f t="shared" si="29"/>
        <v/>
      </c>
      <c r="AP160" s="21" t="str">
        <f>IF(OR($A160="",AO160=""),"",IF(AG160=0,0,ROUND((AC160*'THAM SỐ'!$B$18+AD160*'THAM SỐ'!$B$19+AE160*'THAM SỐ'!$B$20+AF160*'THAM SỐ'!$B$21)*MIN(1,AO160/AG160),0)))</f>
        <v/>
      </c>
      <c r="AQ160" s="18"/>
    </row>
    <row r="161" spans="1:43" x14ac:dyDescent="0.45">
      <c r="A161" s="17"/>
      <c r="B161" s="18"/>
      <c r="C161" s="18"/>
      <c r="D161" s="25"/>
      <c r="E161" s="26"/>
      <c r="F161" s="26"/>
      <c r="G161" s="20"/>
      <c r="H161" s="20"/>
      <c r="I161" s="18"/>
      <c r="J161" s="18"/>
      <c r="K161" s="18"/>
      <c r="L161" s="18"/>
      <c r="M161" s="18"/>
      <c r="N161" s="18"/>
      <c r="O161" s="18"/>
      <c r="P161" s="18"/>
      <c r="Q161" s="18"/>
      <c r="R161" s="18"/>
      <c r="S161" s="18"/>
      <c r="T161" s="16" t="str">
        <f>IF($A161="","",COUNTIFS('LỆNH ĐIỀU XE'!$B$5:$B$604,$A161,'LỆNH ĐIỀU XE'!$C$5:$C$604,$B161))</f>
        <v/>
      </c>
      <c r="U161" s="27" t="str">
        <f>IF($A161="","",SUMIFS('LỆNH ĐIỀU XE'!$J$5:$J$604,'LỆNH ĐIỀU XE'!$B$5:$B$604,$A161,'LỆNH ĐIỀU XE'!$C$5:$C$604,$B161))</f>
        <v/>
      </c>
      <c r="V161" s="22" t="str">
        <f t="shared" si="20"/>
        <v/>
      </c>
      <c r="W161" s="28" t="str">
        <f t="shared" si="21"/>
        <v/>
      </c>
      <c r="X161" s="28" t="str">
        <f t="shared" si="22"/>
        <v/>
      </c>
      <c r="Y161" s="28" t="str">
        <f t="shared" si="23"/>
        <v/>
      </c>
      <c r="Z161" s="22" t="str">
        <f t="shared" si="24"/>
        <v/>
      </c>
      <c r="AA161" s="28" t="str">
        <f t="shared" si="25"/>
        <v/>
      </c>
      <c r="AB161" s="28" t="str">
        <f t="shared" si="26"/>
        <v/>
      </c>
      <c r="AC161" s="28" t="str">
        <f>IF($A161="","",SUMIFS('CHẶNG TĂNG CA'!$E$5:$E$304,'CHẶNG TĂNG CA'!$A$5:$A$304,$A161,'CHẶNG TĂNG CA'!$B$5:$B$304,$B161))</f>
        <v/>
      </c>
      <c r="AD161" s="28" t="str">
        <f>IF($A161="","",SUMIFS('CHẶNG TĂNG CA'!$F$5:$F$304,'CHẶNG TĂNG CA'!$A$5:$A$304,$A161,'CHẶNG TĂNG CA'!$B$5:$B$304,$B161))</f>
        <v/>
      </c>
      <c r="AE161" s="28" t="str">
        <f>IF($A161="","",SUMIFS('CHẶNG TĂNG CA'!$G$5:$G$304,'CHẶNG TĂNG CA'!$A$5:$A$304,$A161,'CHẶNG TĂNG CA'!$B$5:$B$304,$B161))</f>
        <v/>
      </c>
      <c r="AF161" s="28" t="str">
        <f>IF($A161="","",SUMIFS('CHẶNG TĂNG CA'!$H$5:$H$304,'CHẶNG TĂNG CA'!$A$5:$A$304,$A161,'CHẶNG TĂNG CA'!$B$5:$B$304,$B161))</f>
        <v/>
      </c>
      <c r="AG161" s="28" t="str">
        <f t="shared" si="27"/>
        <v/>
      </c>
      <c r="AH161" s="16" t="str">
        <f>IF($A161="","",IF(COUNTIFS('LỆNH ĐIỀU XE'!$B$5:$B$604,$A161,'LỆNH ĐIỀU XE'!$C$5:$C$604,$B161,'LỆNH ĐIỀU XE'!$N$5:$N$604,"Có")&gt;0,"Có","Không"))</f>
        <v/>
      </c>
      <c r="AI161" s="16" t="str">
        <f>IF(OR($A161="",H161="",N(T161)=0),"",IF(_xlfn.MAXIFS('LỆNH ĐIỀU XE'!$U$5:$U$604,'LỆNH ĐIỀU XE'!$B$5:$B$604,$A161,'LỆNH ĐIỀU XE'!$C$5:$C$604,$B161)=0,"",ROUND((H161+(H161&lt;4/24)-_xlfn.MAXIFS('LỆNH ĐIỀU XE'!$U$5:$U$604,'LỆNH ĐIỀU XE'!$B$5:$B$604,$A161,'LỆNH ĐIỀU XE'!$C$5:$C$604,$B161))*1440,0)))</f>
        <v/>
      </c>
      <c r="AJ161" s="16" t="str">
        <f>IF($A161="","",IF(OR(AI161="",V161=""),"Thiếu dữ liệu",IF(AND(AI161&lt;='THAM SỐ'!$B$29,ABS(V161)&lt;='THAM SỐ'!$B$28),"Đạt","Không đạt")))</f>
        <v/>
      </c>
      <c r="AK161" s="16" t="str">
        <f t="shared" si="28"/>
        <v/>
      </c>
      <c r="AL161" s="16" t="str">
        <f>IF($A161="","",TRIM(IF(T161=0,"Không có lệnh; ","")&amp;IF(N(N161)&gt;0,"Dừng ngoài lệnh; ","")&amp;IF(N(J161)&gt;0,"Quá tốc độ; ","")&amp;IF(N(K161)&gt;0,"Lái quá 4h; ","")&amp;IF(N(L161)&gt;0,"Không tắt máy; ","")&amp;IF(OR(P161&lt;&gt;"Đủ",Q161&lt;&gt;"Đủ",R161&lt;&gt;"Đủ"),"Thiếu ảnh; ","")&amp;IF(S161&lt;&gt;"Đạt","Lốp chưa đạt; ","")&amp;IF(N(W161)&gt;'THAM SỐ'!$B$27,"Có mặt quá giờ; ","")&amp;IF(N(X161)&gt;'THAM SỐ'!$B$25,"Lái quá giờ ngày; ","")&amp;IF(ISNUMBER(V161),IF(ABS(V161)&gt;'THAM SỐ'!$B$28,"Lệch km; ",""),"")))</f>
        <v/>
      </c>
      <c r="AM161" s="29"/>
      <c r="AN161" s="30"/>
      <c r="AO161" s="28" t="str">
        <f t="shared" si="29"/>
        <v/>
      </c>
      <c r="AP161" s="21" t="str">
        <f>IF(OR($A161="",AO161=""),"",IF(AG161=0,0,ROUND((AC161*'THAM SỐ'!$B$18+AD161*'THAM SỐ'!$B$19+AE161*'THAM SỐ'!$B$20+AF161*'THAM SỐ'!$B$21)*MIN(1,AO161/AG161),0)))</f>
        <v/>
      </c>
      <c r="AQ161" s="18"/>
    </row>
    <row r="162" spans="1:43" x14ac:dyDescent="0.45">
      <c r="A162" s="17"/>
      <c r="B162" s="18"/>
      <c r="C162" s="18"/>
      <c r="D162" s="25"/>
      <c r="E162" s="26"/>
      <c r="F162" s="26"/>
      <c r="G162" s="20"/>
      <c r="H162" s="20"/>
      <c r="I162" s="18"/>
      <c r="J162" s="18"/>
      <c r="K162" s="18"/>
      <c r="L162" s="18"/>
      <c r="M162" s="18"/>
      <c r="N162" s="18"/>
      <c r="O162" s="18"/>
      <c r="P162" s="18"/>
      <c r="Q162" s="18"/>
      <c r="R162" s="18"/>
      <c r="S162" s="18"/>
      <c r="T162" s="16" t="str">
        <f>IF($A162="","",COUNTIFS('LỆNH ĐIỀU XE'!$B$5:$B$604,$A162,'LỆNH ĐIỀU XE'!$C$5:$C$604,$B162))</f>
        <v/>
      </c>
      <c r="U162" s="27" t="str">
        <f>IF($A162="","",SUMIFS('LỆNH ĐIỀU XE'!$J$5:$J$604,'LỆNH ĐIỀU XE'!$B$5:$B$604,$A162,'LỆNH ĐIỀU XE'!$C$5:$C$604,$B162))</f>
        <v/>
      </c>
      <c r="V162" s="22" t="str">
        <f t="shared" si="20"/>
        <v/>
      </c>
      <c r="W162" s="28" t="str">
        <f t="shared" si="21"/>
        <v/>
      </c>
      <c r="X162" s="28" t="str">
        <f t="shared" si="22"/>
        <v/>
      </c>
      <c r="Y162" s="28" t="str">
        <f t="shared" si="23"/>
        <v/>
      </c>
      <c r="Z162" s="22" t="str">
        <f t="shared" si="24"/>
        <v/>
      </c>
      <c r="AA162" s="28" t="str">
        <f t="shared" si="25"/>
        <v/>
      </c>
      <c r="AB162" s="28" t="str">
        <f t="shared" si="26"/>
        <v/>
      </c>
      <c r="AC162" s="28" t="str">
        <f>IF($A162="","",SUMIFS('CHẶNG TĂNG CA'!$E$5:$E$304,'CHẶNG TĂNG CA'!$A$5:$A$304,$A162,'CHẶNG TĂNG CA'!$B$5:$B$304,$B162))</f>
        <v/>
      </c>
      <c r="AD162" s="28" t="str">
        <f>IF($A162="","",SUMIFS('CHẶNG TĂNG CA'!$F$5:$F$304,'CHẶNG TĂNG CA'!$A$5:$A$304,$A162,'CHẶNG TĂNG CA'!$B$5:$B$304,$B162))</f>
        <v/>
      </c>
      <c r="AE162" s="28" t="str">
        <f>IF($A162="","",SUMIFS('CHẶNG TĂNG CA'!$G$5:$G$304,'CHẶNG TĂNG CA'!$A$5:$A$304,$A162,'CHẶNG TĂNG CA'!$B$5:$B$304,$B162))</f>
        <v/>
      </c>
      <c r="AF162" s="28" t="str">
        <f>IF($A162="","",SUMIFS('CHẶNG TĂNG CA'!$H$5:$H$304,'CHẶNG TĂNG CA'!$A$5:$A$304,$A162,'CHẶNG TĂNG CA'!$B$5:$B$304,$B162))</f>
        <v/>
      </c>
      <c r="AG162" s="28" t="str">
        <f t="shared" si="27"/>
        <v/>
      </c>
      <c r="AH162" s="16" t="str">
        <f>IF($A162="","",IF(COUNTIFS('LỆNH ĐIỀU XE'!$B$5:$B$604,$A162,'LỆNH ĐIỀU XE'!$C$5:$C$604,$B162,'LỆNH ĐIỀU XE'!$N$5:$N$604,"Có")&gt;0,"Có","Không"))</f>
        <v/>
      </c>
      <c r="AI162" s="16" t="str">
        <f>IF(OR($A162="",H162="",N(T162)=0),"",IF(_xlfn.MAXIFS('LỆNH ĐIỀU XE'!$U$5:$U$604,'LỆNH ĐIỀU XE'!$B$5:$B$604,$A162,'LỆNH ĐIỀU XE'!$C$5:$C$604,$B162)=0,"",ROUND((H162+(H162&lt;4/24)-_xlfn.MAXIFS('LỆNH ĐIỀU XE'!$U$5:$U$604,'LỆNH ĐIỀU XE'!$B$5:$B$604,$A162,'LỆNH ĐIỀU XE'!$C$5:$C$604,$B162))*1440,0)))</f>
        <v/>
      </c>
      <c r="AJ162" s="16" t="str">
        <f>IF($A162="","",IF(OR(AI162="",V162=""),"Thiếu dữ liệu",IF(AND(AI162&lt;='THAM SỐ'!$B$29,ABS(V162)&lt;='THAM SỐ'!$B$28),"Đạt","Không đạt")))</f>
        <v/>
      </c>
      <c r="AK162" s="16" t="str">
        <f t="shared" si="28"/>
        <v/>
      </c>
      <c r="AL162" s="16" t="str">
        <f>IF($A162="","",TRIM(IF(T162=0,"Không có lệnh; ","")&amp;IF(N(N162)&gt;0,"Dừng ngoài lệnh; ","")&amp;IF(N(J162)&gt;0,"Quá tốc độ; ","")&amp;IF(N(K162)&gt;0,"Lái quá 4h; ","")&amp;IF(N(L162)&gt;0,"Không tắt máy; ","")&amp;IF(OR(P162&lt;&gt;"Đủ",Q162&lt;&gt;"Đủ",R162&lt;&gt;"Đủ"),"Thiếu ảnh; ","")&amp;IF(S162&lt;&gt;"Đạt","Lốp chưa đạt; ","")&amp;IF(N(W162)&gt;'THAM SỐ'!$B$27,"Có mặt quá giờ; ","")&amp;IF(N(X162)&gt;'THAM SỐ'!$B$25,"Lái quá giờ ngày; ","")&amp;IF(ISNUMBER(V162),IF(ABS(V162)&gt;'THAM SỐ'!$B$28,"Lệch km; ",""),"")))</f>
        <v/>
      </c>
      <c r="AM162" s="29"/>
      <c r="AN162" s="30"/>
      <c r="AO162" s="28" t="str">
        <f t="shared" si="29"/>
        <v/>
      </c>
      <c r="AP162" s="21" t="str">
        <f>IF(OR($A162="",AO162=""),"",IF(AG162=0,0,ROUND((AC162*'THAM SỐ'!$B$18+AD162*'THAM SỐ'!$B$19+AE162*'THAM SỐ'!$B$20+AF162*'THAM SỐ'!$B$21)*MIN(1,AO162/AG162),0)))</f>
        <v/>
      </c>
      <c r="AQ162" s="18"/>
    </row>
    <row r="163" spans="1:43" x14ac:dyDescent="0.45">
      <c r="A163" s="17"/>
      <c r="B163" s="18"/>
      <c r="C163" s="18"/>
      <c r="D163" s="25"/>
      <c r="E163" s="26"/>
      <c r="F163" s="26"/>
      <c r="G163" s="20"/>
      <c r="H163" s="20"/>
      <c r="I163" s="18"/>
      <c r="J163" s="18"/>
      <c r="K163" s="18"/>
      <c r="L163" s="18"/>
      <c r="M163" s="18"/>
      <c r="N163" s="18"/>
      <c r="O163" s="18"/>
      <c r="P163" s="18"/>
      <c r="Q163" s="18"/>
      <c r="R163" s="18"/>
      <c r="S163" s="18"/>
      <c r="T163" s="16" t="str">
        <f>IF($A163="","",COUNTIFS('LỆNH ĐIỀU XE'!$B$5:$B$604,$A163,'LỆNH ĐIỀU XE'!$C$5:$C$604,$B163))</f>
        <v/>
      </c>
      <c r="U163" s="27" t="str">
        <f>IF($A163="","",SUMIFS('LỆNH ĐIỀU XE'!$J$5:$J$604,'LỆNH ĐIỀU XE'!$B$5:$B$604,$A163,'LỆNH ĐIỀU XE'!$C$5:$C$604,$B163))</f>
        <v/>
      </c>
      <c r="V163" s="22" t="str">
        <f t="shared" si="20"/>
        <v/>
      </c>
      <c r="W163" s="28" t="str">
        <f t="shared" si="21"/>
        <v/>
      </c>
      <c r="X163" s="28" t="str">
        <f t="shared" si="22"/>
        <v/>
      </c>
      <c r="Y163" s="28" t="str">
        <f t="shared" si="23"/>
        <v/>
      </c>
      <c r="Z163" s="22" t="str">
        <f t="shared" si="24"/>
        <v/>
      </c>
      <c r="AA163" s="28" t="str">
        <f t="shared" si="25"/>
        <v/>
      </c>
      <c r="AB163" s="28" t="str">
        <f t="shared" si="26"/>
        <v/>
      </c>
      <c r="AC163" s="28" t="str">
        <f>IF($A163="","",SUMIFS('CHẶNG TĂNG CA'!$E$5:$E$304,'CHẶNG TĂNG CA'!$A$5:$A$304,$A163,'CHẶNG TĂNG CA'!$B$5:$B$304,$B163))</f>
        <v/>
      </c>
      <c r="AD163" s="28" t="str">
        <f>IF($A163="","",SUMIFS('CHẶNG TĂNG CA'!$F$5:$F$304,'CHẶNG TĂNG CA'!$A$5:$A$304,$A163,'CHẶNG TĂNG CA'!$B$5:$B$304,$B163))</f>
        <v/>
      </c>
      <c r="AE163" s="28" t="str">
        <f>IF($A163="","",SUMIFS('CHẶNG TĂNG CA'!$G$5:$G$304,'CHẶNG TĂNG CA'!$A$5:$A$304,$A163,'CHẶNG TĂNG CA'!$B$5:$B$304,$B163))</f>
        <v/>
      </c>
      <c r="AF163" s="28" t="str">
        <f>IF($A163="","",SUMIFS('CHẶNG TĂNG CA'!$H$5:$H$304,'CHẶNG TĂNG CA'!$A$5:$A$304,$A163,'CHẶNG TĂNG CA'!$B$5:$B$304,$B163))</f>
        <v/>
      </c>
      <c r="AG163" s="28" t="str">
        <f t="shared" si="27"/>
        <v/>
      </c>
      <c r="AH163" s="16" t="str">
        <f>IF($A163="","",IF(COUNTIFS('LỆNH ĐIỀU XE'!$B$5:$B$604,$A163,'LỆNH ĐIỀU XE'!$C$5:$C$604,$B163,'LỆNH ĐIỀU XE'!$N$5:$N$604,"Có")&gt;0,"Có","Không"))</f>
        <v/>
      </c>
      <c r="AI163" s="16" t="str">
        <f>IF(OR($A163="",H163="",N(T163)=0),"",IF(_xlfn.MAXIFS('LỆNH ĐIỀU XE'!$U$5:$U$604,'LỆNH ĐIỀU XE'!$B$5:$B$604,$A163,'LỆNH ĐIỀU XE'!$C$5:$C$604,$B163)=0,"",ROUND((H163+(H163&lt;4/24)-_xlfn.MAXIFS('LỆNH ĐIỀU XE'!$U$5:$U$604,'LỆNH ĐIỀU XE'!$B$5:$B$604,$A163,'LỆNH ĐIỀU XE'!$C$5:$C$604,$B163))*1440,0)))</f>
        <v/>
      </c>
      <c r="AJ163" s="16" t="str">
        <f>IF($A163="","",IF(OR(AI163="",V163=""),"Thiếu dữ liệu",IF(AND(AI163&lt;='THAM SỐ'!$B$29,ABS(V163)&lt;='THAM SỐ'!$B$28),"Đạt","Không đạt")))</f>
        <v/>
      </c>
      <c r="AK163" s="16" t="str">
        <f t="shared" si="28"/>
        <v/>
      </c>
      <c r="AL163" s="16" t="str">
        <f>IF($A163="","",TRIM(IF(T163=0,"Không có lệnh; ","")&amp;IF(N(N163)&gt;0,"Dừng ngoài lệnh; ","")&amp;IF(N(J163)&gt;0,"Quá tốc độ; ","")&amp;IF(N(K163)&gt;0,"Lái quá 4h; ","")&amp;IF(N(L163)&gt;0,"Không tắt máy; ","")&amp;IF(OR(P163&lt;&gt;"Đủ",Q163&lt;&gt;"Đủ",R163&lt;&gt;"Đủ"),"Thiếu ảnh; ","")&amp;IF(S163&lt;&gt;"Đạt","Lốp chưa đạt; ","")&amp;IF(N(W163)&gt;'THAM SỐ'!$B$27,"Có mặt quá giờ; ","")&amp;IF(N(X163)&gt;'THAM SỐ'!$B$25,"Lái quá giờ ngày; ","")&amp;IF(ISNUMBER(V163),IF(ABS(V163)&gt;'THAM SỐ'!$B$28,"Lệch km; ",""),"")))</f>
        <v/>
      </c>
      <c r="AM163" s="29"/>
      <c r="AN163" s="30"/>
      <c r="AO163" s="28" t="str">
        <f t="shared" si="29"/>
        <v/>
      </c>
      <c r="AP163" s="21" t="str">
        <f>IF(OR($A163="",AO163=""),"",IF(AG163=0,0,ROUND((AC163*'THAM SỐ'!$B$18+AD163*'THAM SỐ'!$B$19+AE163*'THAM SỐ'!$B$20+AF163*'THAM SỐ'!$B$21)*MIN(1,AO163/AG163),0)))</f>
        <v/>
      </c>
      <c r="AQ163" s="18"/>
    </row>
    <row r="164" spans="1:43" x14ac:dyDescent="0.45">
      <c r="A164" s="17"/>
      <c r="B164" s="18"/>
      <c r="C164" s="18"/>
      <c r="D164" s="25"/>
      <c r="E164" s="26"/>
      <c r="F164" s="26"/>
      <c r="G164" s="20"/>
      <c r="H164" s="20"/>
      <c r="I164" s="18"/>
      <c r="J164" s="18"/>
      <c r="K164" s="18"/>
      <c r="L164" s="18"/>
      <c r="M164" s="18"/>
      <c r="N164" s="18"/>
      <c r="O164" s="18"/>
      <c r="P164" s="18"/>
      <c r="Q164" s="18"/>
      <c r="R164" s="18"/>
      <c r="S164" s="18"/>
      <c r="T164" s="16" t="str">
        <f>IF($A164="","",COUNTIFS('LỆNH ĐIỀU XE'!$B$5:$B$604,$A164,'LỆNH ĐIỀU XE'!$C$5:$C$604,$B164))</f>
        <v/>
      </c>
      <c r="U164" s="27" t="str">
        <f>IF($A164="","",SUMIFS('LỆNH ĐIỀU XE'!$J$5:$J$604,'LỆNH ĐIỀU XE'!$B$5:$B$604,$A164,'LỆNH ĐIỀU XE'!$C$5:$C$604,$B164))</f>
        <v/>
      </c>
      <c r="V164" s="22" t="str">
        <f t="shared" si="20"/>
        <v/>
      </c>
      <c r="W164" s="28" t="str">
        <f t="shared" si="21"/>
        <v/>
      </c>
      <c r="X164" s="28" t="str">
        <f t="shared" si="22"/>
        <v/>
      </c>
      <c r="Y164" s="28" t="str">
        <f t="shared" si="23"/>
        <v/>
      </c>
      <c r="Z164" s="22" t="str">
        <f t="shared" si="24"/>
        <v/>
      </c>
      <c r="AA164" s="28" t="str">
        <f t="shared" si="25"/>
        <v/>
      </c>
      <c r="AB164" s="28" t="str">
        <f t="shared" si="26"/>
        <v/>
      </c>
      <c r="AC164" s="28" t="str">
        <f>IF($A164="","",SUMIFS('CHẶNG TĂNG CA'!$E$5:$E$304,'CHẶNG TĂNG CA'!$A$5:$A$304,$A164,'CHẶNG TĂNG CA'!$B$5:$B$304,$B164))</f>
        <v/>
      </c>
      <c r="AD164" s="28" t="str">
        <f>IF($A164="","",SUMIFS('CHẶNG TĂNG CA'!$F$5:$F$304,'CHẶNG TĂNG CA'!$A$5:$A$304,$A164,'CHẶNG TĂNG CA'!$B$5:$B$304,$B164))</f>
        <v/>
      </c>
      <c r="AE164" s="28" t="str">
        <f>IF($A164="","",SUMIFS('CHẶNG TĂNG CA'!$G$5:$G$304,'CHẶNG TĂNG CA'!$A$5:$A$304,$A164,'CHẶNG TĂNG CA'!$B$5:$B$304,$B164))</f>
        <v/>
      </c>
      <c r="AF164" s="28" t="str">
        <f>IF($A164="","",SUMIFS('CHẶNG TĂNG CA'!$H$5:$H$304,'CHẶNG TĂNG CA'!$A$5:$A$304,$A164,'CHẶNG TĂNG CA'!$B$5:$B$304,$B164))</f>
        <v/>
      </c>
      <c r="AG164" s="28" t="str">
        <f t="shared" si="27"/>
        <v/>
      </c>
      <c r="AH164" s="16" t="str">
        <f>IF($A164="","",IF(COUNTIFS('LỆNH ĐIỀU XE'!$B$5:$B$604,$A164,'LỆNH ĐIỀU XE'!$C$5:$C$604,$B164,'LỆNH ĐIỀU XE'!$N$5:$N$604,"Có")&gt;0,"Có","Không"))</f>
        <v/>
      </c>
      <c r="AI164" s="16" t="str">
        <f>IF(OR($A164="",H164="",N(T164)=0),"",IF(_xlfn.MAXIFS('LỆNH ĐIỀU XE'!$U$5:$U$604,'LỆNH ĐIỀU XE'!$B$5:$B$604,$A164,'LỆNH ĐIỀU XE'!$C$5:$C$604,$B164)=0,"",ROUND((H164+(H164&lt;4/24)-_xlfn.MAXIFS('LỆNH ĐIỀU XE'!$U$5:$U$604,'LỆNH ĐIỀU XE'!$B$5:$B$604,$A164,'LỆNH ĐIỀU XE'!$C$5:$C$604,$B164))*1440,0)))</f>
        <v/>
      </c>
      <c r="AJ164" s="16" t="str">
        <f>IF($A164="","",IF(OR(AI164="",V164=""),"Thiếu dữ liệu",IF(AND(AI164&lt;='THAM SỐ'!$B$29,ABS(V164)&lt;='THAM SỐ'!$B$28),"Đạt","Không đạt")))</f>
        <v/>
      </c>
      <c r="AK164" s="16" t="str">
        <f t="shared" si="28"/>
        <v/>
      </c>
      <c r="AL164" s="16" t="str">
        <f>IF($A164="","",TRIM(IF(T164=0,"Không có lệnh; ","")&amp;IF(N(N164)&gt;0,"Dừng ngoài lệnh; ","")&amp;IF(N(J164)&gt;0,"Quá tốc độ; ","")&amp;IF(N(K164)&gt;0,"Lái quá 4h; ","")&amp;IF(N(L164)&gt;0,"Không tắt máy; ","")&amp;IF(OR(P164&lt;&gt;"Đủ",Q164&lt;&gt;"Đủ",R164&lt;&gt;"Đủ"),"Thiếu ảnh; ","")&amp;IF(S164&lt;&gt;"Đạt","Lốp chưa đạt; ","")&amp;IF(N(W164)&gt;'THAM SỐ'!$B$27,"Có mặt quá giờ; ","")&amp;IF(N(X164)&gt;'THAM SỐ'!$B$25,"Lái quá giờ ngày; ","")&amp;IF(ISNUMBER(V164),IF(ABS(V164)&gt;'THAM SỐ'!$B$28,"Lệch km; ",""),"")))</f>
        <v/>
      </c>
      <c r="AM164" s="29"/>
      <c r="AN164" s="30"/>
      <c r="AO164" s="28" t="str">
        <f t="shared" si="29"/>
        <v/>
      </c>
      <c r="AP164" s="21" t="str">
        <f>IF(OR($A164="",AO164=""),"",IF(AG164=0,0,ROUND((AC164*'THAM SỐ'!$B$18+AD164*'THAM SỐ'!$B$19+AE164*'THAM SỐ'!$B$20+AF164*'THAM SỐ'!$B$21)*MIN(1,AO164/AG164),0)))</f>
        <v/>
      </c>
      <c r="AQ164" s="18"/>
    </row>
    <row r="165" spans="1:43" x14ac:dyDescent="0.45">
      <c r="A165" s="17"/>
      <c r="B165" s="18"/>
      <c r="C165" s="18"/>
      <c r="D165" s="25"/>
      <c r="E165" s="26"/>
      <c r="F165" s="26"/>
      <c r="G165" s="20"/>
      <c r="H165" s="20"/>
      <c r="I165" s="18"/>
      <c r="J165" s="18"/>
      <c r="K165" s="18"/>
      <c r="L165" s="18"/>
      <c r="M165" s="18"/>
      <c r="N165" s="18"/>
      <c r="O165" s="18"/>
      <c r="P165" s="18"/>
      <c r="Q165" s="18"/>
      <c r="R165" s="18"/>
      <c r="S165" s="18"/>
      <c r="T165" s="16" t="str">
        <f>IF($A165="","",COUNTIFS('LỆNH ĐIỀU XE'!$B$5:$B$604,$A165,'LỆNH ĐIỀU XE'!$C$5:$C$604,$B165))</f>
        <v/>
      </c>
      <c r="U165" s="27" t="str">
        <f>IF($A165="","",SUMIFS('LỆNH ĐIỀU XE'!$J$5:$J$604,'LỆNH ĐIỀU XE'!$B$5:$B$604,$A165,'LỆNH ĐIỀU XE'!$C$5:$C$604,$B165))</f>
        <v/>
      </c>
      <c r="V165" s="22" t="str">
        <f t="shared" si="20"/>
        <v/>
      </c>
      <c r="W165" s="28" t="str">
        <f t="shared" si="21"/>
        <v/>
      </c>
      <c r="X165" s="28" t="str">
        <f t="shared" si="22"/>
        <v/>
      </c>
      <c r="Y165" s="28" t="str">
        <f t="shared" si="23"/>
        <v/>
      </c>
      <c r="Z165" s="22" t="str">
        <f t="shared" si="24"/>
        <v/>
      </c>
      <c r="AA165" s="28" t="str">
        <f t="shared" si="25"/>
        <v/>
      </c>
      <c r="AB165" s="28" t="str">
        <f t="shared" si="26"/>
        <v/>
      </c>
      <c r="AC165" s="28" t="str">
        <f>IF($A165="","",SUMIFS('CHẶNG TĂNG CA'!$E$5:$E$304,'CHẶNG TĂNG CA'!$A$5:$A$304,$A165,'CHẶNG TĂNG CA'!$B$5:$B$304,$B165))</f>
        <v/>
      </c>
      <c r="AD165" s="28" t="str">
        <f>IF($A165="","",SUMIFS('CHẶNG TĂNG CA'!$F$5:$F$304,'CHẶNG TĂNG CA'!$A$5:$A$304,$A165,'CHẶNG TĂNG CA'!$B$5:$B$304,$B165))</f>
        <v/>
      </c>
      <c r="AE165" s="28" t="str">
        <f>IF($A165="","",SUMIFS('CHẶNG TĂNG CA'!$G$5:$G$304,'CHẶNG TĂNG CA'!$A$5:$A$304,$A165,'CHẶNG TĂNG CA'!$B$5:$B$304,$B165))</f>
        <v/>
      </c>
      <c r="AF165" s="28" t="str">
        <f>IF($A165="","",SUMIFS('CHẶNG TĂNG CA'!$H$5:$H$304,'CHẶNG TĂNG CA'!$A$5:$A$304,$A165,'CHẶNG TĂNG CA'!$B$5:$B$304,$B165))</f>
        <v/>
      </c>
      <c r="AG165" s="28" t="str">
        <f t="shared" si="27"/>
        <v/>
      </c>
      <c r="AH165" s="16" t="str">
        <f>IF($A165="","",IF(COUNTIFS('LỆNH ĐIỀU XE'!$B$5:$B$604,$A165,'LỆNH ĐIỀU XE'!$C$5:$C$604,$B165,'LỆNH ĐIỀU XE'!$N$5:$N$604,"Có")&gt;0,"Có","Không"))</f>
        <v/>
      </c>
      <c r="AI165" s="16" t="str">
        <f>IF(OR($A165="",H165="",N(T165)=0),"",IF(_xlfn.MAXIFS('LỆNH ĐIỀU XE'!$U$5:$U$604,'LỆNH ĐIỀU XE'!$B$5:$B$604,$A165,'LỆNH ĐIỀU XE'!$C$5:$C$604,$B165)=0,"",ROUND((H165+(H165&lt;4/24)-_xlfn.MAXIFS('LỆNH ĐIỀU XE'!$U$5:$U$604,'LỆNH ĐIỀU XE'!$B$5:$B$604,$A165,'LỆNH ĐIỀU XE'!$C$5:$C$604,$B165))*1440,0)))</f>
        <v/>
      </c>
      <c r="AJ165" s="16" t="str">
        <f>IF($A165="","",IF(OR(AI165="",V165=""),"Thiếu dữ liệu",IF(AND(AI165&lt;='THAM SỐ'!$B$29,ABS(V165)&lt;='THAM SỐ'!$B$28),"Đạt","Không đạt")))</f>
        <v/>
      </c>
      <c r="AK165" s="16" t="str">
        <f t="shared" si="28"/>
        <v/>
      </c>
      <c r="AL165" s="16" t="str">
        <f>IF($A165="","",TRIM(IF(T165=0,"Không có lệnh; ","")&amp;IF(N(N165)&gt;0,"Dừng ngoài lệnh; ","")&amp;IF(N(J165)&gt;0,"Quá tốc độ; ","")&amp;IF(N(K165)&gt;0,"Lái quá 4h; ","")&amp;IF(N(L165)&gt;0,"Không tắt máy; ","")&amp;IF(OR(P165&lt;&gt;"Đủ",Q165&lt;&gt;"Đủ",R165&lt;&gt;"Đủ"),"Thiếu ảnh; ","")&amp;IF(S165&lt;&gt;"Đạt","Lốp chưa đạt; ","")&amp;IF(N(W165)&gt;'THAM SỐ'!$B$27,"Có mặt quá giờ; ","")&amp;IF(N(X165)&gt;'THAM SỐ'!$B$25,"Lái quá giờ ngày; ","")&amp;IF(ISNUMBER(V165),IF(ABS(V165)&gt;'THAM SỐ'!$B$28,"Lệch km; ",""),"")))</f>
        <v/>
      </c>
      <c r="AM165" s="29"/>
      <c r="AN165" s="30"/>
      <c r="AO165" s="28" t="str">
        <f t="shared" si="29"/>
        <v/>
      </c>
      <c r="AP165" s="21" t="str">
        <f>IF(OR($A165="",AO165=""),"",IF(AG165=0,0,ROUND((AC165*'THAM SỐ'!$B$18+AD165*'THAM SỐ'!$B$19+AE165*'THAM SỐ'!$B$20+AF165*'THAM SỐ'!$B$21)*MIN(1,AO165/AG165),0)))</f>
        <v/>
      </c>
      <c r="AQ165" s="18"/>
    </row>
    <row r="166" spans="1:43" x14ac:dyDescent="0.45">
      <c r="A166" s="17"/>
      <c r="B166" s="18"/>
      <c r="C166" s="18"/>
      <c r="D166" s="25"/>
      <c r="E166" s="26"/>
      <c r="F166" s="26"/>
      <c r="G166" s="20"/>
      <c r="H166" s="20"/>
      <c r="I166" s="18"/>
      <c r="J166" s="18"/>
      <c r="K166" s="18"/>
      <c r="L166" s="18"/>
      <c r="M166" s="18"/>
      <c r="N166" s="18"/>
      <c r="O166" s="18"/>
      <c r="P166" s="18"/>
      <c r="Q166" s="18"/>
      <c r="R166" s="18"/>
      <c r="S166" s="18"/>
      <c r="T166" s="16" t="str">
        <f>IF($A166="","",COUNTIFS('LỆNH ĐIỀU XE'!$B$5:$B$604,$A166,'LỆNH ĐIỀU XE'!$C$5:$C$604,$B166))</f>
        <v/>
      </c>
      <c r="U166" s="27" t="str">
        <f>IF($A166="","",SUMIFS('LỆNH ĐIỀU XE'!$J$5:$J$604,'LỆNH ĐIỀU XE'!$B$5:$B$604,$A166,'LỆNH ĐIỀU XE'!$C$5:$C$604,$B166))</f>
        <v/>
      </c>
      <c r="V166" s="22" t="str">
        <f t="shared" si="20"/>
        <v/>
      </c>
      <c r="W166" s="28" t="str">
        <f t="shared" si="21"/>
        <v/>
      </c>
      <c r="X166" s="28" t="str">
        <f t="shared" si="22"/>
        <v/>
      </c>
      <c r="Y166" s="28" t="str">
        <f t="shared" si="23"/>
        <v/>
      </c>
      <c r="Z166" s="22" t="str">
        <f t="shared" si="24"/>
        <v/>
      </c>
      <c r="AA166" s="28" t="str">
        <f t="shared" si="25"/>
        <v/>
      </c>
      <c r="AB166" s="28" t="str">
        <f t="shared" si="26"/>
        <v/>
      </c>
      <c r="AC166" s="28" t="str">
        <f>IF($A166="","",SUMIFS('CHẶNG TĂNG CA'!$E$5:$E$304,'CHẶNG TĂNG CA'!$A$5:$A$304,$A166,'CHẶNG TĂNG CA'!$B$5:$B$304,$B166))</f>
        <v/>
      </c>
      <c r="AD166" s="28" t="str">
        <f>IF($A166="","",SUMIFS('CHẶNG TĂNG CA'!$F$5:$F$304,'CHẶNG TĂNG CA'!$A$5:$A$304,$A166,'CHẶNG TĂNG CA'!$B$5:$B$304,$B166))</f>
        <v/>
      </c>
      <c r="AE166" s="28" t="str">
        <f>IF($A166="","",SUMIFS('CHẶNG TĂNG CA'!$G$5:$G$304,'CHẶNG TĂNG CA'!$A$5:$A$304,$A166,'CHẶNG TĂNG CA'!$B$5:$B$304,$B166))</f>
        <v/>
      </c>
      <c r="AF166" s="28" t="str">
        <f>IF($A166="","",SUMIFS('CHẶNG TĂNG CA'!$H$5:$H$304,'CHẶNG TĂNG CA'!$A$5:$A$304,$A166,'CHẶNG TĂNG CA'!$B$5:$B$304,$B166))</f>
        <v/>
      </c>
      <c r="AG166" s="28" t="str">
        <f t="shared" si="27"/>
        <v/>
      </c>
      <c r="AH166" s="16" t="str">
        <f>IF($A166="","",IF(COUNTIFS('LỆNH ĐIỀU XE'!$B$5:$B$604,$A166,'LỆNH ĐIỀU XE'!$C$5:$C$604,$B166,'LỆNH ĐIỀU XE'!$N$5:$N$604,"Có")&gt;0,"Có","Không"))</f>
        <v/>
      </c>
      <c r="AI166" s="16" t="str">
        <f>IF(OR($A166="",H166="",N(T166)=0),"",IF(_xlfn.MAXIFS('LỆNH ĐIỀU XE'!$U$5:$U$604,'LỆNH ĐIỀU XE'!$B$5:$B$604,$A166,'LỆNH ĐIỀU XE'!$C$5:$C$604,$B166)=0,"",ROUND((H166+(H166&lt;4/24)-_xlfn.MAXIFS('LỆNH ĐIỀU XE'!$U$5:$U$604,'LỆNH ĐIỀU XE'!$B$5:$B$604,$A166,'LỆNH ĐIỀU XE'!$C$5:$C$604,$B166))*1440,0)))</f>
        <v/>
      </c>
      <c r="AJ166" s="16" t="str">
        <f>IF($A166="","",IF(OR(AI166="",V166=""),"Thiếu dữ liệu",IF(AND(AI166&lt;='THAM SỐ'!$B$29,ABS(V166)&lt;='THAM SỐ'!$B$28),"Đạt","Không đạt")))</f>
        <v/>
      </c>
      <c r="AK166" s="16" t="str">
        <f t="shared" si="28"/>
        <v/>
      </c>
      <c r="AL166" s="16" t="str">
        <f>IF($A166="","",TRIM(IF(T166=0,"Không có lệnh; ","")&amp;IF(N(N166)&gt;0,"Dừng ngoài lệnh; ","")&amp;IF(N(J166)&gt;0,"Quá tốc độ; ","")&amp;IF(N(K166)&gt;0,"Lái quá 4h; ","")&amp;IF(N(L166)&gt;0,"Không tắt máy; ","")&amp;IF(OR(P166&lt;&gt;"Đủ",Q166&lt;&gt;"Đủ",R166&lt;&gt;"Đủ"),"Thiếu ảnh; ","")&amp;IF(S166&lt;&gt;"Đạt","Lốp chưa đạt; ","")&amp;IF(N(W166)&gt;'THAM SỐ'!$B$27,"Có mặt quá giờ; ","")&amp;IF(N(X166)&gt;'THAM SỐ'!$B$25,"Lái quá giờ ngày; ","")&amp;IF(ISNUMBER(V166),IF(ABS(V166)&gt;'THAM SỐ'!$B$28,"Lệch km; ",""),"")))</f>
        <v/>
      </c>
      <c r="AM166" s="29"/>
      <c r="AN166" s="30"/>
      <c r="AO166" s="28" t="str">
        <f t="shared" si="29"/>
        <v/>
      </c>
      <c r="AP166" s="21" t="str">
        <f>IF(OR($A166="",AO166=""),"",IF(AG166=0,0,ROUND((AC166*'THAM SỐ'!$B$18+AD166*'THAM SỐ'!$B$19+AE166*'THAM SỐ'!$B$20+AF166*'THAM SỐ'!$B$21)*MIN(1,AO166/AG166),0)))</f>
        <v/>
      </c>
      <c r="AQ166" s="18"/>
    </row>
    <row r="167" spans="1:43" x14ac:dyDescent="0.45">
      <c r="A167" s="17"/>
      <c r="B167" s="18"/>
      <c r="C167" s="18"/>
      <c r="D167" s="25"/>
      <c r="E167" s="26"/>
      <c r="F167" s="26"/>
      <c r="G167" s="20"/>
      <c r="H167" s="20"/>
      <c r="I167" s="18"/>
      <c r="J167" s="18"/>
      <c r="K167" s="18"/>
      <c r="L167" s="18"/>
      <c r="M167" s="18"/>
      <c r="N167" s="18"/>
      <c r="O167" s="18"/>
      <c r="P167" s="18"/>
      <c r="Q167" s="18"/>
      <c r="R167" s="18"/>
      <c r="S167" s="18"/>
      <c r="T167" s="16" t="str">
        <f>IF($A167="","",COUNTIFS('LỆNH ĐIỀU XE'!$B$5:$B$604,$A167,'LỆNH ĐIỀU XE'!$C$5:$C$604,$B167))</f>
        <v/>
      </c>
      <c r="U167" s="27" t="str">
        <f>IF($A167="","",SUMIFS('LỆNH ĐIỀU XE'!$J$5:$J$604,'LỆNH ĐIỀU XE'!$B$5:$B$604,$A167,'LỆNH ĐIỀU XE'!$C$5:$C$604,$B167))</f>
        <v/>
      </c>
      <c r="V167" s="22" t="str">
        <f t="shared" si="20"/>
        <v/>
      </c>
      <c r="W167" s="28" t="str">
        <f t="shared" si="21"/>
        <v/>
      </c>
      <c r="X167" s="28" t="str">
        <f t="shared" si="22"/>
        <v/>
      </c>
      <c r="Y167" s="28" t="str">
        <f t="shared" si="23"/>
        <v/>
      </c>
      <c r="Z167" s="22" t="str">
        <f t="shared" si="24"/>
        <v/>
      </c>
      <c r="AA167" s="28" t="str">
        <f t="shared" si="25"/>
        <v/>
      </c>
      <c r="AB167" s="28" t="str">
        <f t="shared" si="26"/>
        <v/>
      </c>
      <c r="AC167" s="28" t="str">
        <f>IF($A167="","",SUMIFS('CHẶNG TĂNG CA'!$E$5:$E$304,'CHẶNG TĂNG CA'!$A$5:$A$304,$A167,'CHẶNG TĂNG CA'!$B$5:$B$304,$B167))</f>
        <v/>
      </c>
      <c r="AD167" s="28" t="str">
        <f>IF($A167="","",SUMIFS('CHẶNG TĂNG CA'!$F$5:$F$304,'CHẶNG TĂNG CA'!$A$5:$A$304,$A167,'CHẶNG TĂNG CA'!$B$5:$B$304,$B167))</f>
        <v/>
      </c>
      <c r="AE167" s="28" t="str">
        <f>IF($A167="","",SUMIFS('CHẶNG TĂNG CA'!$G$5:$G$304,'CHẶNG TĂNG CA'!$A$5:$A$304,$A167,'CHẶNG TĂNG CA'!$B$5:$B$304,$B167))</f>
        <v/>
      </c>
      <c r="AF167" s="28" t="str">
        <f>IF($A167="","",SUMIFS('CHẶNG TĂNG CA'!$H$5:$H$304,'CHẶNG TĂNG CA'!$A$5:$A$304,$A167,'CHẶNG TĂNG CA'!$B$5:$B$304,$B167))</f>
        <v/>
      </c>
      <c r="AG167" s="28" t="str">
        <f t="shared" si="27"/>
        <v/>
      </c>
      <c r="AH167" s="16" t="str">
        <f>IF($A167="","",IF(COUNTIFS('LỆNH ĐIỀU XE'!$B$5:$B$604,$A167,'LỆNH ĐIỀU XE'!$C$5:$C$604,$B167,'LỆNH ĐIỀU XE'!$N$5:$N$604,"Có")&gt;0,"Có","Không"))</f>
        <v/>
      </c>
      <c r="AI167" s="16" t="str">
        <f>IF(OR($A167="",H167="",N(T167)=0),"",IF(_xlfn.MAXIFS('LỆNH ĐIỀU XE'!$U$5:$U$604,'LỆNH ĐIỀU XE'!$B$5:$B$604,$A167,'LỆNH ĐIỀU XE'!$C$5:$C$604,$B167)=0,"",ROUND((H167+(H167&lt;4/24)-_xlfn.MAXIFS('LỆNH ĐIỀU XE'!$U$5:$U$604,'LỆNH ĐIỀU XE'!$B$5:$B$604,$A167,'LỆNH ĐIỀU XE'!$C$5:$C$604,$B167))*1440,0)))</f>
        <v/>
      </c>
      <c r="AJ167" s="16" t="str">
        <f>IF($A167="","",IF(OR(AI167="",V167=""),"Thiếu dữ liệu",IF(AND(AI167&lt;='THAM SỐ'!$B$29,ABS(V167)&lt;='THAM SỐ'!$B$28),"Đạt","Không đạt")))</f>
        <v/>
      </c>
      <c r="AK167" s="16" t="str">
        <f t="shared" si="28"/>
        <v/>
      </c>
      <c r="AL167" s="16" t="str">
        <f>IF($A167="","",TRIM(IF(T167=0,"Không có lệnh; ","")&amp;IF(N(N167)&gt;0,"Dừng ngoài lệnh; ","")&amp;IF(N(J167)&gt;0,"Quá tốc độ; ","")&amp;IF(N(K167)&gt;0,"Lái quá 4h; ","")&amp;IF(N(L167)&gt;0,"Không tắt máy; ","")&amp;IF(OR(P167&lt;&gt;"Đủ",Q167&lt;&gt;"Đủ",R167&lt;&gt;"Đủ"),"Thiếu ảnh; ","")&amp;IF(S167&lt;&gt;"Đạt","Lốp chưa đạt; ","")&amp;IF(N(W167)&gt;'THAM SỐ'!$B$27,"Có mặt quá giờ; ","")&amp;IF(N(X167)&gt;'THAM SỐ'!$B$25,"Lái quá giờ ngày; ","")&amp;IF(ISNUMBER(V167),IF(ABS(V167)&gt;'THAM SỐ'!$B$28,"Lệch km; ",""),"")))</f>
        <v/>
      </c>
      <c r="AM167" s="29"/>
      <c r="AN167" s="30"/>
      <c r="AO167" s="28" t="str">
        <f t="shared" si="29"/>
        <v/>
      </c>
      <c r="AP167" s="21" t="str">
        <f>IF(OR($A167="",AO167=""),"",IF(AG167=0,0,ROUND((AC167*'THAM SỐ'!$B$18+AD167*'THAM SỐ'!$B$19+AE167*'THAM SỐ'!$B$20+AF167*'THAM SỐ'!$B$21)*MIN(1,AO167/AG167),0)))</f>
        <v/>
      </c>
      <c r="AQ167" s="18"/>
    </row>
    <row r="168" spans="1:43" x14ac:dyDescent="0.45">
      <c r="A168" s="17"/>
      <c r="B168" s="18"/>
      <c r="C168" s="18"/>
      <c r="D168" s="25"/>
      <c r="E168" s="26"/>
      <c r="F168" s="26"/>
      <c r="G168" s="20"/>
      <c r="H168" s="20"/>
      <c r="I168" s="18"/>
      <c r="J168" s="18"/>
      <c r="K168" s="18"/>
      <c r="L168" s="18"/>
      <c r="M168" s="18"/>
      <c r="N168" s="18"/>
      <c r="O168" s="18"/>
      <c r="P168" s="18"/>
      <c r="Q168" s="18"/>
      <c r="R168" s="18"/>
      <c r="S168" s="18"/>
      <c r="T168" s="16" t="str">
        <f>IF($A168="","",COUNTIFS('LỆNH ĐIỀU XE'!$B$5:$B$604,$A168,'LỆNH ĐIỀU XE'!$C$5:$C$604,$B168))</f>
        <v/>
      </c>
      <c r="U168" s="27" t="str">
        <f>IF($A168="","",SUMIFS('LỆNH ĐIỀU XE'!$J$5:$J$604,'LỆNH ĐIỀU XE'!$B$5:$B$604,$A168,'LỆNH ĐIỀU XE'!$C$5:$C$604,$B168))</f>
        <v/>
      </c>
      <c r="V168" s="22" t="str">
        <f t="shared" si="20"/>
        <v/>
      </c>
      <c r="W168" s="28" t="str">
        <f t="shared" si="21"/>
        <v/>
      </c>
      <c r="X168" s="28" t="str">
        <f t="shared" si="22"/>
        <v/>
      </c>
      <c r="Y168" s="28" t="str">
        <f t="shared" si="23"/>
        <v/>
      </c>
      <c r="Z168" s="22" t="str">
        <f t="shared" si="24"/>
        <v/>
      </c>
      <c r="AA168" s="28" t="str">
        <f t="shared" si="25"/>
        <v/>
      </c>
      <c r="AB168" s="28" t="str">
        <f t="shared" si="26"/>
        <v/>
      </c>
      <c r="AC168" s="28" t="str">
        <f>IF($A168="","",SUMIFS('CHẶNG TĂNG CA'!$E$5:$E$304,'CHẶNG TĂNG CA'!$A$5:$A$304,$A168,'CHẶNG TĂNG CA'!$B$5:$B$304,$B168))</f>
        <v/>
      </c>
      <c r="AD168" s="28" t="str">
        <f>IF($A168="","",SUMIFS('CHẶNG TĂNG CA'!$F$5:$F$304,'CHẶNG TĂNG CA'!$A$5:$A$304,$A168,'CHẶNG TĂNG CA'!$B$5:$B$304,$B168))</f>
        <v/>
      </c>
      <c r="AE168" s="28" t="str">
        <f>IF($A168="","",SUMIFS('CHẶNG TĂNG CA'!$G$5:$G$304,'CHẶNG TĂNG CA'!$A$5:$A$304,$A168,'CHẶNG TĂNG CA'!$B$5:$B$304,$B168))</f>
        <v/>
      </c>
      <c r="AF168" s="28" t="str">
        <f>IF($A168="","",SUMIFS('CHẶNG TĂNG CA'!$H$5:$H$304,'CHẶNG TĂNG CA'!$A$5:$A$304,$A168,'CHẶNG TĂNG CA'!$B$5:$B$304,$B168))</f>
        <v/>
      </c>
      <c r="AG168" s="28" t="str">
        <f t="shared" si="27"/>
        <v/>
      </c>
      <c r="AH168" s="16" t="str">
        <f>IF($A168="","",IF(COUNTIFS('LỆNH ĐIỀU XE'!$B$5:$B$604,$A168,'LỆNH ĐIỀU XE'!$C$5:$C$604,$B168,'LỆNH ĐIỀU XE'!$N$5:$N$604,"Có")&gt;0,"Có","Không"))</f>
        <v/>
      </c>
      <c r="AI168" s="16" t="str">
        <f>IF(OR($A168="",H168="",N(T168)=0),"",IF(_xlfn.MAXIFS('LỆNH ĐIỀU XE'!$U$5:$U$604,'LỆNH ĐIỀU XE'!$B$5:$B$604,$A168,'LỆNH ĐIỀU XE'!$C$5:$C$604,$B168)=0,"",ROUND((H168+(H168&lt;4/24)-_xlfn.MAXIFS('LỆNH ĐIỀU XE'!$U$5:$U$604,'LỆNH ĐIỀU XE'!$B$5:$B$604,$A168,'LỆNH ĐIỀU XE'!$C$5:$C$604,$B168))*1440,0)))</f>
        <v/>
      </c>
      <c r="AJ168" s="16" t="str">
        <f>IF($A168="","",IF(OR(AI168="",V168=""),"Thiếu dữ liệu",IF(AND(AI168&lt;='THAM SỐ'!$B$29,ABS(V168)&lt;='THAM SỐ'!$B$28),"Đạt","Không đạt")))</f>
        <v/>
      </c>
      <c r="AK168" s="16" t="str">
        <f t="shared" si="28"/>
        <v/>
      </c>
      <c r="AL168" s="16" t="str">
        <f>IF($A168="","",TRIM(IF(T168=0,"Không có lệnh; ","")&amp;IF(N(N168)&gt;0,"Dừng ngoài lệnh; ","")&amp;IF(N(J168)&gt;0,"Quá tốc độ; ","")&amp;IF(N(K168)&gt;0,"Lái quá 4h; ","")&amp;IF(N(L168)&gt;0,"Không tắt máy; ","")&amp;IF(OR(P168&lt;&gt;"Đủ",Q168&lt;&gt;"Đủ",R168&lt;&gt;"Đủ"),"Thiếu ảnh; ","")&amp;IF(S168&lt;&gt;"Đạt","Lốp chưa đạt; ","")&amp;IF(N(W168)&gt;'THAM SỐ'!$B$27,"Có mặt quá giờ; ","")&amp;IF(N(X168)&gt;'THAM SỐ'!$B$25,"Lái quá giờ ngày; ","")&amp;IF(ISNUMBER(V168),IF(ABS(V168)&gt;'THAM SỐ'!$B$28,"Lệch km; ",""),"")))</f>
        <v/>
      </c>
      <c r="AM168" s="29"/>
      <c r="AN168" s="30"/>
      <c r="AO168" s="28" t="str">
        <f t="shared" si="29"/>
        <v/>
      </c>
      <c r="AP168" s="21" t="str">
        <f>IF(OR($A168="",AO168=""),"",IF(AG168=0,0,ROUND((AC168*'THAM SỐ'!$B$18+AD168*'THAM SỐ'!$B$19+AE168*'THAM SỐ'!$B$20+AF168*'THAM SỐ'!$B$21)*MIN(1,AO168/AG168),0)))</f>
        <v/>
      </c>
      <c r="AQ168" s="18"/>
    </row>
    <row r="169" spans="1:43" x14ac:dyDescent="0.45">
      <c r="A169" s="17"/>
      <c r="B169" s="18"/>
      <c r="C169" s="18"/>
      <c r="D169" s="25"/>
      <c r="E169" s="26"/>
      <c r="F169" s="26"/>
      <c r="G169" s="20"/>
      <c r="H169" s="20"/>
      <c r="I169" s="18"/>
      <c r="J169" s="18"/>
      <c r="K169" s="18"/>
      <c r="L169" s="18"/>
      <c r="M169" s="18"/>
      <c r="N169" s="18"/>
      <c r="O169" s="18"/>
      <c r="P169" s="18"/>
      <c r="Q169" s="18"/>
      <c r="R169" s="18"/>
      <c r="S169" s="18"/>
      <c r="T169" s="16" t="str">
        <f>IF($A169="","",COUNTIFS('LỆNH ĐIỀU XE'!$B$5:$B$604,$A169,'LỆNH ĐIỀU XE'!$C$5:$C$604,$B169))</f>
        <v/>
      </c>
      <c r="U169" s="27" t="str">
        <f>IF($A169="","",SUMIFS('LỆNH ĐIỀU XE'!$J$5:$J$604,'LỆNH ĐIỀU XE'!$B$5:$B$604,$A169,'LỆNH ĐIỀU XE'!$C$5:$C$604,$B169))</f>
        <v/>
      </c>
      <c r="V169" s="22" t="str">
        <f t="shared" si="20"/>
        <v/>
      </c>
      <c r="W169" s="28" t="str">
        <f t="shared" si="21"/>
        <v/>
      </c>
      <c r="X169" s="28" t="str">
        <f t="shared" si="22"/>
        <v/>
      </c>
      <c r="Y169" s="28" t="str">
        <f t="shared" si="23"/>
        <v/>
      </c>
      <c r="Z169" s="22" t="str">
        <f t="shared" si="24"/>
        <v/>
      </c>
      <c r="AA169" s="28" t="str">
        <f t="shared" si="25"/>
        <v/>
      </c>
      <c r="AB169" s="28" t="str">
        <f t="shared" si="26"/>
        <v/>
      </c>
      <c r="AC169" s="28" t="str">
        <f>IF($A169="","",SUMIFS('CHẶNG TĂNG CA'!$E$5:$E$304,'CHẶNG TĂNG CA'!$A$5:$A$304,$A169,'CHẶNG TĂNG CA'!$B$5:$B$304,$B169))</f>
        <v/>
      </c>
      <c r="AD169" s="28" t="str">
        <f>IF($A169="","",SUMIFS('CHẶNG TĂNG CA'!$F$5:$F$304,'CHẶNG TĂNG CA'!$A$5:$A$304,$A169,'CHẶNG TĂNG CA'!$B$5:$B$304,$B169))</f>
        <v/>
      </c>
      <c r="AE169" s="28" t="str">
        <f>IF($A169="","",SUMIFS('CHẶNG TĂNG CA'!$G$5:$G$304,'CHẶNG TĂNG CA'!$A$5:$A$304,$A169,'CHẶNG TĂNG CA'!$B$5:$B$304,$B169))</f>
        <v/>
      </c>
      <c r="AF169" s="28" t="str">
        <f>IF($A169="","",SUMIFS('CHẶNG TĂNG CA'!$H$5:$H$304,'CHẶNG TĂNG CA'!$A$5:$A$304,$A169,'CHẶNG TĂNG CA'!$B$5:$B$304,$B169))</f>
        <v/>
      </c>
      <c r="AG169" s="28" t="str">
        <f t="shared" si="27"/>
        <v/>
      </c>
      <c r="AH169" s="16" t="str">
        <f>IF($A169="","",IF(COUNTIFS('LỆNH ĐIỀU XE'!$B$5:$B$604,$A169,'LỆNH ĐIỀU XE'!$C$5:$C$604,$B169,'LỆNH ĐIỀU XE'!$N$5:$N$604,"Có")&gt;0,"Có","Không"))</f>
        <v/>
      </c>
      <c r="AI169" s="16" t="str">
        <f>IF(OR($A169="",H169="",N(T169)=0),"",IF(_xlfn.MAXIFS('LỆNH ĐIỀU XE'!$U$5:$U$604,'LỆNH ĐIỀU XE'!$B$5:$B$604,$A169,'LỆNH ĐIỀU XE'!$C$5:$C$604,$B169)=0,"",ROUND((H169+(H169&lt;4/24)-_xlfn.MAXIFS('LỆNH ĐIỀU XE'!$U$5:$U$604,'LỆNH ĐIỀU XE'!$B$5:$B$604,$A169,'LỆNH ĐIỀU XE'!$C$5:$C$604,$B169))*1440,0)))</f>
        <v/>
      </c>
      <c r="AJ169" s="16" t="str">
        <f>IF($A169="","",IF(OR(AI169="",V169=""),"Thiếu dữ liệu",IF(AND(AI169&lt;='THAM SỐ'!$B$29,ABS(V169)&lt;='THAM SỐ'!$B$28),"Đạt","Không đạt")))</f>
        <v/>
      </c>
      <c r="AK169" s="16" t="str">
        <f t="shared" si="28"/>
        <v/>
      </c>
      <c r="AL169" s="16" t="str">
        <f>IF($A169="","",TRIM(IF(T169=0,"Không có lệnh; ","")&amp;IF(N(N169)&gt;0,"Dừng ngoài lệnh; ","")&amp;IF(N(J169)&gt;0,"Quá tốc độ; ","")&amp;IF(N(K169)&gt;0,"Lái quá 4h; ","")&amp;IF(N(L169)&gt;0,"Không tắt máy; ","")&amp;IF(OR(P169&lt;&gt;"Đủ",Q169&lt;&gt;"Đủ",R169&lt;&gt;"Đủ"),"Thiếu ảnh; ","")&amp;IF(S169&lt;&gt;"Đạt","Lốp chưa đạt; ","")&amp;IF(N(W169)&gt;'THAM SỐ'!$B$27,"Có mặt quá giờ; ","")&amp;IF(N(X169)&gt;'THAM SỐ'!$B$25,"Lái quá giờ ngày; ","")&amp;IF(ISNUMBER(V169),IF(ABS(V169)&gt;'THAM SỐ'!$B$28,"Lệch km; ",""),"")))</f>
        <v/>
      </c>
      <c r="AM169" s="29"/>
      <c r="AN169" s="30"/>
      <c r="AO169" s="28" t="str">
        <f t="shared" si="29"/>
        <v/>
      </c>
      <c r="AP169" s="21" t="str">
        <f>IF(OR($A169="",AO169=""),"",IF(AG169=0,0,ROUND((AC169*'THAM SỐ'!$B$18+AD169*'THAM SỐ'!$B$19+AE169*'THAM SỐ'!$B$20+AF169*'THAM SỐ'!$B$21)*MIN(1,AO169/AG169),0)))</f>
        <v/>
      </c>
      <c r="AQ169" s="18"/>
    </row>
    <row r="170" spans="1:43" x14ac:dyDescent="0.45">
      <c r="A170" s="17"/>
      <c r="B170" s="18"/>
      <c r="C170" s="18"/>
      <c r="D170" s="25"/>
      <c r="E170" s="26"/>
      <c r="F170" s="26"/>
      <c r="G170" s="20"/>
      <c r="H170" s="20"/>
      <c r="I170" s="18"/>
      <c r="J170" s="18"/>
      <c r="K170" s="18"/>
      <c r="L170" s="18"/>
      <c r="M170" s="18"/>
      <c r="N170" s="18"/>
      <c r="O170" s="18"/>
      <c r="P170" s="18"/>
      <c r="Q170" s="18"/>
      <c r="R170" s="18"/>
      <c r="S170" s="18"/>
      <c r="T170" s="16" t="str">
        <f>IF($A170="","",COUNTIFS('LỆNH ĐIỀU XE'!$B$5:$B$604,$A170,'LỆNH ĐIỀU XE'!$C$5:$C$604,$B170))</f>
        <v/>
      </c>
      <c r="U170" s="27" t="str">
        <f>IF($A170="","",SUMIFS('LỆNH ĐIỀU XE'!$J$5:$J$604,'LỆNH ĐIỀU XE'!$B$5:$B$604,$A170,'LỆNH ĐIỀU XE'!$C$5:$C$604,$B170))</f>
        <v/>
      </c>
      <c r="V170" s="22" t="str">
        <f t="shared" si="20"/>
        <v/>
      </c>
      <c r="W170" s="28" t="str">
        <f t="shared" si="21"/>
        <v/>
      </c>
      <c r="X170" s="28" t="str">
        <f t="shared" si="22"/>
        <v/>
      </c>
      <c r="Y170" s="28" t="str">
        <f t="shared" si="23"/>
        <v/>
      </c>
      <c r="Z170" s="22" t="str">
        <f t="shared" si="24"/>
        <v/>
      </c>
      <c r="AA170" s="28" t="str">
        <f t="shared" si="25"/>
        <v/>
      </c>
      <c r="AB170" s="28" t="str">
        <f t="shared" si="26"/>
        <v/>
      </c>
      <c r="AC170" s="28" t="str">
        <f>IF($A170="","",SUMIFS('CHẶNG TĂNG CA'!$E$5:$E$304,'CHẶNG TĂNG CA'!$A$5:$A$304,$A170,'CHẶNG TĂNG CA'!$B$5:$B$304,$B170))</f>
        <v/>
      </c>
      <c r="AD170" s="28" t="str">
        <f>IF($A170="","",SUMIFS('CHẶNG TĂNG CA'!$F$5:$F$304,'CHẶNG TĂNG CA'!$A$5:$A$304,$A170,'CHẶNG TĂNG CA'!$B$5:$B$304,$B170))</f>
        <v/>
      </c>
      <c r="AE170" s="28" t="str">
        <f>IF($A170="","",SUMIFS('CHẶNG TĂNG CA'!$G$5:$G$304,'CHẶNG TĂNG CA'!$A$5:$A$304,$A170,'CHẶNG TĂNG CA'!$B$5:$B$304,$B170))</f>
        <v/>
      </c>
      <c r="AF170" s="28" t="str">
        <f>IF($A170="","",SUMIFS('CHẶNG TĂNG CA'!$H$5:$H$304,'CHẶNG TĂNG CA'!$A$5:$A$304,$A170,'CHẶNG TĂNG CA'!$B$5:$B$304,$B170))</f>
        <v/>
      </c>
      <c r="AG170" s="28" t="str">
        <f t="shared" si="27"/>
        <v/>
      </c>
      <c r="AH170" s="16" t="str">
        <f>IF($A170="","",IF(COUNTIFS('LỆNH ĐIỀU XE'!$B$5:$B$604,$A170,'LỆNH ĐIỀU XE'!$C$5:$C$604,$B170,'LỆNH ĐIỀU XE'!$N$5:$N$604,"Có")&gt;0,"Có","Không"))</f>
        <v/>
      </c>
      <c r="AI170" s="16" t="str">
        <f>IF(OR($A170="",H170="",N(T170)=0),"",IF(_xlfn.MAXIFS('LỆNH ĐIỀU XE'!$U$5:$U$604,'LỆNH ĐIỀU XE'!$B$5:$B$604,$A170,'LỆNH ĐIỀU XE'!$C$5:$C$604,$B170)=0,"",ROUND((H170+(H170&lt;4/24)-_xlfn.MAXIFS('LỆNH ĐIỀU XE'!$U$5:$U$604,'LỆNH ĐIỀU XE'!$B$5:$B$604,$A170,'LỆNH ĐIỀU XE'!$C$5:$C$604,$B170))*1440,0)))</f>
        <v/>
      </c>
      <c r="AJ170" s="16" t="str">
        <f>IF($A170="","",IF(OR(AI170="",V170=""),"Thiếu dữ liệu",IF(AND(AI170&lt;='THAM SỐ'!$B$29,ABS(V170)&lt;='THAM SỐ'!$B$28),"Đạt","Không đạt")))</f>
        <v/>
      </c>
      <c r="AK170" s="16" t="str">
        <f t="shared" si="28"/>
        <v/>
      </c>
      <c r="AL170" s="16" t="str">
        <f>IF($A170="","",TRIM(IF(T170=0,"Không có lệnh; ","")&amp;IF(N(N170)&gt;0,"Dừng ngoài lệnh; ","")&amp;IF(N(J170)&gt;0,"Quá tốc độ; ","")&amp;IF(N(K170)&gt;0,"Lái quá 4h; ","")&amp;IF(N(L170)&gt;0,"Không tắt máy; ","")&amp;IF(OR(P170&lt;&gt;"Đủ",Q170&lt;&gt;"Đủ",R170&lt;&gt;"Đủ"),"Thiếu ảnh; ","")&amp;IF(S170&lt;&gt;"Đạt","Lốp chưa đạt; ","")&amp;IF(N(W170)&gt;'THAM SỐ'!$B$27,"Có mặt quá giờ; ","")&amp;IF(N(X170)&gt;'THAM SỐ'!$B$25,"Lái quá giờ ngày; ","")&amp;IF(ISNUMBER(V170),IF(ABS(V170)&gt;'THAM SỐ'!$B$28,"Lệch km; ",""),"")))</f>
        <v/>
      </c>
      <c r="AM170" s="29"/>
      <c r="AN170" s="30"/>
      <c r="AO170" s="28" t="str">
        <f t="shared" si="29"/>
        <v/>
      </c>
      <c r="AP170" s="21" t="str">
        <f>IF(OR($A170="",AO170=""),"",IF(AG170=0,0,ROUND((AC170*'THAM SỐ'!$B$18+AD170*'THAM SỐ'!$B$19+AE170*'THAM SỐ'!$B$20+AF170*'THAM SỐ'!$B$21)*MIN(1,AO170/AG170),0)))</f>
        <v/>
      </c>
      <c r="AQ170" s="18"/>
    </row>
    <row r="171" spans="1:43" x14ac:dyDescent="0.45">
      <c r="A171" s="17"/>
      <c r="B171" s="18"/>
      <c r="C171" s="18"/>
      <c r="D171" s="25"/>
      <c r="E171" s="26"/>
      <c r="F171" s="26"/>
      <c r="G171" s="20"/>
      <c r="H171" s="20"/>
      <c r="I171" s="18"/>
      <c r="J171" s="18"/>
      <c r="K171" s="18"/>
      <c r="L171" s="18"/>
      <c r="M171" s="18"/>
      <c r="N171" s="18"/>
      <c r="O171" s="18"/>
      <c r="P171" s="18"/>
      <c r="Q171" s="18"/>
      <c r="R171" s="18"/>
      <c r="S171" s="18"/>
      <c r="T171" s="16" t="str">
        <f>IF($A171="","",COUNTIFS('LỆNH ĐIỀU XE'!$B$5:$B$604,$A171,'LỆNH ĐIỀU XE'!$C$5:$C$604,$B171))</f>
        <v/>
      </c>
      <c r="U171" s="27" t="str">
        <f>IF($A171="","",SUMIFS('LỆNH ĐIỀU XE'!$J$5:$J$604,'LỆNH ĐIỀU XE'!$B$5:$B$604,$A171,'LỆNH ĐIỀU XE'!$C$5:$C$604,$B171))</f>
        <v/>
      </c>
      <c r="V171" s="22" t="str">
        <f t="shared" si="20"/>
        <v/>
      </c>
      <c r="W171" s="28" t="str">
        <f t="shared" si="21"/>
        <v/>
      </c>
      <c r="X171" s="28" t="str">
        <f t="shared" si="22"/>
        <v/>
      </c>
      <c r="Y171" s="28" t="str">
        <f t="shared" si="23"/>
        <v/>
      </c>
      <c r="Z171" s="22" t="str">
        <f t="shared" si="24"/>
        <v/>
      </c>
      <c r="AA171" s="28" t="str">
        <f t="shared" si="25"/>
        <v/>
      </c>
      <c r="AB171" s="28" t="str">
        <f t="shared" si="26"/>
        <v/>
      </c>
      <c r="AC171" s="28" t="str">
        <f>IF($A171="","",SUMIFS('CHẶNG TĂNG CA'!$E$5:$E$304,'CHẶNG TĂNG CA'!$A$5:$A$304,$A171,'CHẶNG TĂNG CA'!$B$5:$B$304,$B171))</f>
        <v/>
      </c>
      <c r="AD171" s="28" t="str">
        <f>IF($A171="","",SUMIFS('CHẶNG TĂNG CA'!$F$5:$F$304,'CHẶNG TĂNG CA'!$A$5:$A$304,$A171,'CHẶNG TĂNG CA'!$B$5:$B$304,$B171))</f>
        <v/>
      </c>
      <c r="AE171" s="28" t="str">
        <f>IF($A171="","",SUMIFS('CHẶNG TĂNG CA'!$G$5:$G$304,'CHẶNG TĂNG CA'!$A$5:$A$304,$A171,'CHẶNG TĂNG CA'!$B$5:$B$304,$B171))</f>
        <v/>
      </c>
      <c r="AF171" s="28" t="str">
        <f>IF($A171="","",SUMIFS('CHẶNG TĂNG CA'!$H$5:$H$304,'CHẶNG TĂNG CA'!$A$5:$A$304,$A171,'CHẶNG TĂNG CA'!$B$5:$B$304,$B171))</f>
        <v/>
      </c>
      <c r="AG171" s="28" t="str">
        <f t="shared" si="27"/>
        <v/>
      </c>
      <c r="AH171" s="16" t="str">
        <f>IF($A171="","",IF(COUNTIFS('LỆNH ĐIỀU XE'!$B$5:$B$604,$A171,'LỆNH ĐIỀU XE'!$C$5:$C$604,$B171,'LỆNH ĐIỀU XE'!$N$5:$N$604,"Có")&gt;0,"Có","Không"))</f>
        <v/>
      </c>
      <c r="AI171" s="16" t="str">
        <f>IF(OR($A171="",H171="",N(T171)=0),"",IF(_xlfn.MAXIFS('LỆNH ĐIỀU XE'!$U$5:$U$604,'LỆNH ĐIỀU XE'!$B$5:$B$604,$A171,'LỆNH ĐIỀU XE'!$C$5:$C$604,$B171)=0,"",ROUND((H171+(H171&lt;4/24)-_xlfn.MAXIFS('LỆNH ĐIỀU XE'!$U$5:$U$604,'LỆNH ĐIỀU XE'!$B$5:$B$604,$A171,'LỆNH ĐIỀU XE'!$C$5:$C$604,$B171))*1440,0)))</f>
        <v/>
      </c>
      <c r="AJ171" s="16" t="str">
        <f>IF($A171="","",IF(OR(AI171="",V171=""),"Thiếu dữ liệu",IF(AND(AI171&lt;='THAM SỐ'!$B$29,ABS(V171)&lt;='THAM SỐ'!$B$28),"Đạt","Không đạt")))</f>
        <v/>
      </c>
      <c r="AK171" s="16" t="str">
        <f t="shared" si="28"/>
        <v/>
      </c>
      <c r="AL171" s="16" t="str">
        <f>IF($A171="","",TRIM(IF(T171=0,"Không có lệnh; ","")&amp;IF(N(N171)&gt;0,"Dừng ngoài lệnh; ","")&amp;IF(N(J171)&gt;0,"Quá tốc độ; ","")&amp;IF(N(K171)&gt;0,"Lái quá 4h; ","")&amp;IF(N(L171)&gt;0,"Không tắt máy; ","")&amp;IF(OR(P171&lt;&gt;"Đủ",Q171&lt;&gt;"Đủ",R171&lt;&gt;"Đủ"),"Thiếu ảnh; ","")&amp;IF(S171&lt;&gt;"Đạt","Lốp chưa đạt; ","")&amp;IF(N(W171)&gt;'THAM SỐ'!$B$27,"Có mặt quá giờ; ","")&amp;IF(N(X171)&gt;'THAM SỐ'!$B$25,"Lái quá giờ ngày; ","")&amp;IF(ISNUMBER(V171),IF(ABS(V171)&gt;'THAM SỐ'!$B$28,"Lệch km; ",""),"")))</f>
        <v/>
      </c>
      <c r="AM171" s="29"/>
      <c r="AN171" s="30"/>
      <c r="AO171" s="28" t="str">
        <f t="shared" si="29"/>
        <v/>
      </c>
      <c r="AP171" s="21" t="str">
        <f>IF(OR($A171="",AO171=""),"",IF(AG171=0,0,ROUND((AC171*'THAM SỐ'!$B$18+AD171*'THAM SỐ'!$B$19+AE171*'THAM SỐ'!$B$20+AF171*'THAM SỐ'!$B$21)*MIN(1,AO171/AG171),0)))</f>
        <v/>
      </c>
      <c r="AQ171" s="18"/>
    </row>
    <row r="172" spans="1:43" x14ac:dyDescent="0.45">
      <c r="A172" s="17"/>
      <c r="B172" s="18"/>
      <c r="C172" s="18"/>
      <c r="D172" s="25"/>
      <c r="E172" s="26"/>
      <c r="F172" s="26"/>
      <c r="G172" s="20"/>
      <c r="H172" s="20"/>
      <c r="I172" s="18"/>
      <c r="J172" s="18"/>
      <c r="K172" s="18"/>
      <c r="L172" s="18"/>
      <c r="M172" s="18"/>
      <c r="N172" s="18"/>
      <c r="O172" s="18"/>
      <c r="P172" s="18"/>
      <c r="Q172" s="18"/>
      <c r="R172" s="18"/>
      <c r="S172" s="18"/>
      <c r="T172" s="16" t="str">
        <f>IF($A172="","",COUNTIFS('LỆNH ĐIỀU XE'!$B$5:$B$604,$A172,'LỆNH ĐIỀU XE'!$C$5:$C$604,$B172))</f>
        <v/>
      </c>
      <c r="U172" s="27" t="str">
        <f>IF($A172="","",SUMIFS('LỆNH ĐIỀU XE'!$J$5:$J$604,'LỆNH ĐIỀU XE'!$B$5:$B$604,$A172,'LỆNH ĐIỀU XE'!$C$5:$C$604,$B172))</f>
        <v/>
      </c>
      <c r="V172" s="22" t="str">
        <f t="shared" si="20"/>
        <v/>
      </c>
      <c r="W172" s="28" t="str">
        <f t="shared" si="21"/>
        <v/>
      </c>
      <c r="X172" s="28" t="str">
        <f t="shared" si="22"/>
        <v/>
      </c>
      <c r="Y172" s="28" t="str">
        <f t="shared" si="23"/>
        <v/>
      </c>
      <c r="Z172" s="22" t="str">
        <f t="shared" si="24"/>
        <v/>
      </c>
      <c r="AA172" s="28" t="str">
        <f t="shared" si="25"/>
        <v/>
      </c>
      <c r="AB172" s="28" t="str">
        <f t="shared" si="26"/>
        <v/>
      </c>
      <c r="AC172" s="28" t="str">
        <f>IF($A172="","",SUMIFS('CHẶNG TĂNG CA'!$E$5:$E$304,'CHẶNG TĂNG CA'!$A$5:$A$304,$A172,'CHẶNG TĂNG CA'!$B$5:$B$304,$B172))</f>
        <v/>
      </c>
      <c r="AD172" s="28" t="str">
        <f>IF($A172="","",SUMIFS('CHẶNG TĂNG CA'!$F$5:$F$304,'CHẶNG TĂNG CA'!$A$5:$A$304,$A172,'CHẶNG TĂNG CA'!$B$5:$B$304,$B172))</f>
        <v/>
      </c>
      <c r="AE172" s="28" t="str">
        <f>IF($A172="","",SUMIFS('CHẶNG TĂNG CA'!$G$5:$G$304,'CHẶNG TĂNG CA'!$A$5:$A$304,$A172,'CHẶNG TĂNG CA'!$B$5:$B$304,$B172))</f>
        <v/>
      </c>
      <c r="AF172" s="28" t="str">
        <f>IF($A172="","",SUMIFS('CHẶNG TĂNG CA'!$H$5:$H$304,'CHẶNG TĂNG CA'!$A$5:$A$304,$A172,'CHẶNG TĂNG CA'!$B$5:$B$304,$B172))</f>
        <v/>
      </c>
      <c r="AG172" s="28" t="str">
        <f t="shared" si="27"/>
        <v/>
      </c>
      <c r="AH172" s="16" t="str">
        <f>IF($A172="","",IF(COUNTIFS('LỆNH ĐIỀU XE'!$B$5:$B$604,$A172,'LỆNH ĐIỀU XE'!$C$5:$C$604,$B172,'LỆNH ĐIỀU XE'!$N$5:$N$604,"Có")&gt;0,"Có","Không"))</f>
        <v/>
      </c>
      <c r="AI172" s="16" t="str">
        <f>IF(OR($A172="",H172="",N(T172)=0),"",IF(_xlfn.MAXIFS('LỆNH ĐIỀU XE'!$U$5:$U$604,'LỆNH ĐIỀU XE'!$B$5:$B$604,$A172,'LỆNH ĐIỀU XE'!$C$5:$C$604,$B172)=0,"",ROUND((H172+(H172&lt;4/24)-_xlfn.MAXIFS('LỆNH ĐIỀU XE'!$U$5:$U$604,'LỆNH ĐIỀU XE'!$B$5:$B$604,$A172,'LỆNH ĐIỀU XE'!$C$5:$C$604,$B172))*1440,0)))</f>
        <v/>
      </c>
      <c r="AJ172" s="16" t="str">
        <f>IF($A172="","",IF(OR(AI172="",V172=""),"Thiếu dữ liệu",IF(AND(AI172&lt;='THAM SỐ'!$B$29,ABS(V172)&lt;='THAM SỐ'!$B$28),"Đạt","Không đạt")))</f>
        <v/>
      </c>
      <c r="AK172" s="16" t="str">
        <f t="shared" si="28"/>
        <v/>
      </c>
      <c r="AL172" s="16" t="str">
        <f>IF($A172="","",TRIM(IF(T172=0,"Không có lệnh; ","")&amp;IF(N(N172)&gt;0,"Dừng ngoài lệnh; ","")&amp;IF(N(J172)&gt;0,"Quá tốc độ; ","")&amp;IF(N(K172)&gt;0,"Lái quá 4h; ","")&amp;IF(N(L172)&gt;0,"Không tắt máy; ","")&amp;IF(OR(P172&lt;&gt;"Đủ",Q172&lt;&gt;"Đủ",R172&lt;&gt;"Đủ"),"Thiếu ảnh; ","")&amp;IF(S172&lt;&gt;"Đạt","Lốp chưa đạt; ","")&amp;IF(N(W172)&gt;'THAM SỐ'!$B$27,"Có mặt quá giờ; ","")&amp;IF(N(X172)&gt;'THAM SỐ'!$B$25,"Lái quá giờ ngày; ","")&amp;IF(ISNUMBER(V172),IF(ABS(V172)&gt;'THAM SỐ'!$B$28,"Lệch km; ",""),"")))</f>
        <v/>
      </c>
      <c r="AM172" s="29"/>
      <c r="AN172" s="30"/>
      <c r="AO172" s="28" t="str">
        <f t="shared" si="29"/>
        <v/>
      </c>
      <c r="AP172" s="21" t="str">
        <f>IF(OR($A172="",AO172=""),"",IF(AG172=0,0,ROUND((AC172*'THAM SỐ'!$B$18+AD172*'THAM SỐ'!$B$19+AE172*'THAM SỐ'!$B$20+AF172*'THAM SỐ'!$B$21)*MIN(1,AO172/AG172),0)))</f>
        <v/>
      </c>
      <c r="AQ172" s="18"/>
    </row>
    <row r="173" spans="1:43" x14ac:dyDescent="0.45">
      <c r="A173" s="17"/>
      <c r="B173" s="18"/>
      <c r="C173" s="18"/>
      <c r="D173" s="25"/>
      <c r="E173" s="26"/>
      <c r="F173" s="26"/>
      <c r="G173" s="20"/>
      <c r="H173" s="20"/>
      <c r="I173" s="18"/>
      <c r="J173" s="18"/>
      <c r="K173" s="18"/>
      <c r="L173" s="18"/>
      <c r="M173" s="18"/>
      <c r="N173" s="18"/>
      <c r="O173" s="18"/>
      <c r="P173" s="18"/>
      <c r="Q173" s="18"/>
      <c r="R173" s="18"/>
      <c r="S173" s="18"/>
      <c r="T173" s="16" t="str">
        <f>IF($A173="","",COUNTIFS('LỆNH ĐIỀU XE'!$B$5:$B$604,$A173,'LỆNH ĐIỀU XE'!$C$5:$C$604,$B173))</f>
        <v/>
      </c>
      <c r="U173" s="27" t="str">
        <f>IF($A173="","",SUMIFS('LỆNH ĐIỀU XE'!$J$5:$J$604,'LỆNH ĐIỀU XE'!$B$5:$B$604,$A173,'LỆNH ĐIỀU XE'!$C$5:$C$604,$B173))</f>
        <v/>
      </c>
      <c r="V173" s="22" t="str">
        <f t="shared" si="20"/>
        <v/>
      </c>
      <c r="W173" s="28" t="str">
        <f t="shared" si="21"/>
        <v/>
      </c>
      <c r="X173" s="28" t="str">
        <f t="shared" si="22"/>
        <v/>
      </c>
      <c r="Y173" s="28" t="str">
        <f t="shared" si="23"/>
        <v/>
      </c>
      <c r="Z173" s="22" t="str">
        <f t="shared" si="24"/>
        <v/>
      </c>
      <c r="AA173" s="28" t="str">
        <f t="shared" si="25"/>
        <v/>
      </c>
      <c r="AB173" s="28" t="str">
        <f t="shared" si="26"/>
        <v/>
      </c>
      <c r="AC173" s="28" t="str">
        <f>IF($A173="","",SUMIFS('CHẶNG TĂNG CA'!$E$5:$E$304,'CHẶNG TĂNG CA'!$A$5:$A$304,$A173,'CHẶNG TĂNG CA'!$B$5:$B$304,$B173))</f>
        <v/>
      </c>
      <c r="AD173" s="28" t="str">
        <f>IF($A173="","",SUMIFS('CHẶNG TĂNG CA'!$F$5:$F$304,'CHẶNG TĂNG CA'!$A$5:$A$304,$A173,'CHẶNG TĂNG CA'!$B$5:$B$304,$B173))</f>
        <v/>
      </c>
      <c r="AE173" s="28" t="str">
        <f>IF($A173="","",SUMIFS('CHẶNG TĂNG CA'!$G$5:$G$304,'CHẶNG TĂNG CA'!$A$5:$A$304,$A173,'CHẶNG TĂNG CA'!$B$5:$B$304,$B173))</f>
        <v/>
      </c>
      <c r="AF173" s="28" t="str">
        <f>IF($A173="","",SUMIFS('CHẶNG TĂNG CA'!$H$5:$H$304,'CHẶNG TĂNG CA'!$A$5:$A$304,$A173,'CHẶNG TĂNG CA'!$B$5:$B$304,$B173))</f>
        <v/>
      </c>
      <c r="AG173" s="28" t="str">
        <f t="shared" si="27"/>
        <v/>
      </c>
      <c r="AH173" s="16" t="str">
        <f>IF($A173="","",IF(COUNTIFS('LỆNH ĐIỀU XE'!$B$5:$B$604,$A173,'LỆNH ĐIỀU XE'!$C$5:$C$604,$B173,'LỆNH ĐIỀU XE'!$N$5:$N$604,"Có")&gt;0,"Có","Không"))</f>
        <v/>
      </c>
      <c r="AI173" s="16" t="str">
        <f>IF(OR($A173="",H173="",N(T173)=0),"",IF(_xlfn.MAXIFS('LỆNH ĐIỀU XE'!$U$5:$U$604,'LỆNH ĐIỀU XE'!$B$5:$B$604,$A173,'LỆNH ĐIỀU XE'!$C$5:$C$604,$B173)=0,"",ROUND((H173+(H173&lt;4/24)-_xlfn.MAXIFS('LỆNH ĐIỀU XE'!$U$5:$U$604,'LỆNH ĐIỀU XE'!$B$5:$B$604,$A173,'LỆNH ĐIỀU XE'!$C$5:$C$604,$B173))*1440,0)))</f>
        <v/>
      </c>
      <c r="AJ173" s="16" t="str">
        <f>IF($A173="","",IF(OR(AI173="",V173=""),"Thiếu dữ liệu",IF(AND(AI173&lt;='THAM SỐ'!$B$29,ABS(V173)&lt;='THAM SỐ'!$B$28),"Đạt","Không đạt")))</f>
        <v/>
      </c>
      <c r="AK173" s="16" t="str">
        <f t="shared" si="28"/>
        <v/>
      </c>
      <c r="AL173" s="16" t="str">
        <f>IF($A173="","",TRIM(IF(T173=0,"Không có lệnh; ","")&amp;IF(N(N173)&gt;0,"Dừng ngoài lệnh; ","")&amp;IF(N(J173)&gt;0,"Quá tốc độ; ","")&amp;IF(N(K173)&gt;0,"Lái quá 4h; ","")&amp;IF(N(L173)&gt;0,"Không tắt máy; ","")&amp;IF(OR(P173&lt;&gt;"Đủ",Q173&lt;&gt;"Đủ",R173&lt;&gt;"Đủ"),"Thiếu ảnh; ","")&amp;IF(S173&lt;&gt;"Đạt","Lốp chưa đạt; ","")&amp;IF(N(W173)&gt;'THAM SỐ'!$B$27,"Có mặt quá giờ; ","")&amp;IF(N(X173)&gt;'THAM SỐ'!$B$25,"Lái quá giờ ngày; ","")&amp;IF(ISNUMBER(V173),IF(ABS(V173)&gt;'THAM SỐ'!$B$28,"Lệch km; ",""),"")))</f>
        <v/>
      </c>
      <c r="AM173" s="29"/>
      <c r="AN173" s="30"/>
      <c r="AO173" s="28" t="str">
        <f t="shared" si="29"/>
        <v/>
      </c>
      <c r="AP173" s="21" t="str">
        <f>IF(OR($A173="",AO173=""),"",IF(AG173=0,0,ROUND((AC173*'THAM SỐ'!$B$18+AD173*'THAM SỐ'!$B$19+AE173*'THAM SỐ'!$B$20+AF173*'THAM SỐ'!$B$21)*MIN(1,AO173/AG173),0)))</f>
        <v/>
      </c>
      <c r="AQ173" s="18"/>
    </row>
    <row r="174" spans="1:43" x14ac:dyDescent="0.45">
      <c r="A174" s="17"/>
      <c r="B174" s="18"/>
      <c r="C174" s="18"/>
      <c r="D174" s="25"/>
      <c r="E174" s="26"/>
      <c r="F174" s="26"/>
      <c r="G174" s="20"/>
      <c r="H174" s="20"/>
      <c r="I174" s="18"/>
      <c r="J174" s="18"/>
      <c r="K174" s="18"/>
      <c r="L174" s="18"/>
      <c r="M174" s="18"/>
      <c r="N174" s="18"/>
      <c r="O174" s="18"/>
      <c r="P174" s="18"/>
      <c r="Q174" s="18"/>
      <c r="R174" s="18"/>
      <c r="S174" s="18"/>
      <c r="T174" s="16" t="str">
        <f>IF($A174="","",COUNTIFS('LỆNH ĐIỀU XE'!$B$5:$B$604,$A174,'LỆNH ĐIỀU XE'!$C$5:$C$604,$B174))</f>
        <v/>
      </c>
      <c r="U174" s="27" t="str">
        <f>IF($A174="","",SUMIFS('LỆNH ĐIỀU XE'!$J$5:$J$604,'LỆNH ĐIỀU XE'!$B$5:$B$604,$A174,'LỆNH ĐIỀU XE'!$C$5:$C$604,$B174))</f>
        <v/>
      </c>
      <c r="V174" s="22" t="str">
        <f t="shared" si="20"/>
        <v/>
      </c>
      <c r="W174" s="28" t="str">
        <f t="shared" si="21"/>
        <v/>
      </c>
      <c r="X174" s="28" t="str">
        <f t="shared" si="22"/>
        <v/>
      </c>
      <c r="Y174" s="28" t="str">
        <f t="shared" si="23"/>
        <v/>
      </c>
      <c r="Z174" s="22" t="str">
        <f t="shared" si="24"/>
        <v/>
      </c>
      <c r="AA174" s="28" t="str">
        <f t="shared" si="25"/>
        <v/>
      </c>
      <c r="AB174" s="28" t="str">
        <f t="shared" si="26"/>
        <v/>
      </c>
      <c r="AC174" s="28" t="str">
        <f>IF($A174="","",SUMIFS('CHẶNG TĂNG CA'!$E$5:$E$304,'CHẶNG TĂNG CA'!$A$5:$A$304,$A174,'CHẶNG TĂNG CA'!$B$5:$B$304,$B174))</f>
        <v/>
      </c>
      <c r="AD174" s="28" t="str">
        <f>IF($A174="","",SUMIFS('CHẶNG TĂNG CA'!$F$5:$F$304,'CHẶNG TĂNG CA'!$A$5:$A$304,$A174,'CHẶNG TĂNG CA'!$B$5:$B$304,$B174))</f>
        <v/>
      </c>
      <c r="AE174" s="28" t="str">
        <f>IF($A174="","",SUMIFS('CHẶNG TĂNG CA'!$G$5:$G$304,'CHẶNG TĂNG CA'!$A$5:$A$304,$A174,'CHẶNG TĂNG CA'!$B$5:$B$304,$B174))</f>
        <v/>
      </c>
      <c r="AF174" s="28" t="str">
        <f>IF($A174="","",SUMIFS('CHẶNG TĂNG CA'!$H$5:$H$304,'CHẶNG TĂNG CA'!$A$5:$A$304,$A174,'CHẶNG TĂNG CA'!$B$5:$B$304,$B174))</f>
        <v/>
      </c>
      <c r="AG174" s="28" t="str">
        <f t="shared" si="27"/>
        <v/>
      </c>
      <c r="AH174" s="16" t="str">
        <f>IF($A174="","",IF(COUNTIFS('LỆNH ĐIỀU XE'!$B$5:$B$604,$A174,'LỆNH ĐIỀU XE'!$C$5:$C$604,$B174,'LỆNH ĐIỀU XE'!$N$5:$N$604,"Có")&gt;0,"Có","Không"))</f>
        <v/>
      </c>
      <c r="AI174" s="16" t="str">
        <f>IF(OR($A174="",H174="",N(T174)=0),"",IF(_xlfn.MAXIFS('LỆNH ĐIỀU XE'!$U$5:$U$604,'LỆNH ĐIỀU XE'!$B$5:$B$604,$A174,'LỆNH ĐIỀU XE'!$C$5:$C$604,$B174)=0,"",ROUND((H174+(H174&lt;4/24)-_xlfn.MAXIFS('LỆNH ĐIỀU XE'!$U$5:$U$604,'LỆNH ĐIỀU XE'!$B$5:$B$604,$A174,'LỆNH ĐIỀU XE'!$C$5:$C$604,$B174))*1440,0)))</f>
        <v/>
      </c>
      <c r="AJ174" s="16" t="str">
        <f>IF($A174="","",IF(OR(AI174="",V174=""),"Thiếu dữ liệu",IF(AND(AI174&lt;='THAM SỐ'!$B$29,ABS(V174)&lt;='THAM SỐ'!$B$28),"Đạt","Không đạt")))</f>
        <v/>
      </c>
      <c r="AK174" s="16" t="str">
        <f t="shared" si="28"/>
        <v/>
      </c>
      <c r="AL174" s="16" t="str">
        <f>IF($A174="","",TRIM(IF(T174=0,"Không có lệnh; ","")&amp;IF(N(N174)&gt;0,"Dừng ngoài lệnh; ","")&amp;IF(N(J174)&gt;0,"Quá tốc độ; ","")&amp;IF(N(K174)&gt;0,"Lái quá 4h; ","")&amp;IF(N(L174)&gt;0,"Không tắt máy; ","")&amp;IF(OR(P174&lt;&gt;"Đủ",Q174&lt;&gt;"Đủ",R174&lt;&gt;"Đủ"),"Thiếu ảnh; ","")&amp;IF(S174&lt;&gt;"Đạt","Lốp chưa đạt; ","")&amp;IF(N(W174)&gt;'THAM SỐ'!$B$27,"Có mặt quá giờ; ","")&amp;IF(N(X174)&gt;'THAM SỐ'!$B$25,"Lái quá giờ ngày; ","")&amp;IF(ISNUMBER(V174),IF(ABS(V174)&gt;'THAM SỐ'!$B$28,"Lệch km; ",""),"")))</f>
        <v/>
      </c>
      <c r="AM174" s="29"/>
      <c r="AN174" s="30"/>
      <c r="AO174" s="28" t="str">
        <f t="shared" si="29"/>
        <v/>
      </c>
      <c r="AP174" s="21" t="str">
        <f>IF(OR($A174="",AO174=""),"",IF(AG174=0,0,ROUND((AC174*'THAM SỐ'!$B$18+AD174*'THAM SỐ'!$B$19+AE174*'THAM SỐ'!$B$20+AF174*'THAM SỐ'!$B$21)*MIN(1,AO174/AG174),0)))</f>
        <v/>
      </c>
      <c r="AQ174" s="18"/>
    </row>
    <row r="175" spans="1:43" x14ac:dyDescent="0.45">
      <c r="A175" s="17"/>
      <c r="B175" s="18"/>
      <c r="C175" s="18"/>
      <c r="D175" s="25"/>
      <c r="E175" s="26"/>
      <c r="F175" s="26"/>
      <c r="G175" s="20"/>
      <c r="H175" s="20"/>
      <c r="I175" s="18"/>
      <c r="J175" s="18"/>
      <c r="K175" s="18"/>
      <c r="L175" s="18"/>
      <c r="M175" s="18"/>
      <c r="N175" s="18"/>
      <c r="O175" s="18"/>
      <c r="P175" s="18"/>
      <c r="Q175" s="18"/>
      <c r="R175" s="18"/>
      <c r="S175" s="18"/>
      <c r="T175" s="16" t="str">
        <f>IF($A175="","",COUNTIFS('LỆNH ĐIỀU XE'!$B$5:$B$604,$A175,'LỆNH ĐIỀU XE'!$C$5:$C$604,$B175))</f>
        <v/>
      </c>
      <c r="U175" s="27" t="str">
        <f>IF($A175="","",SUMIFS('LỆNH ĐIỀU XE'!$J$5:$J$604,'LỆNH ĐIỀU XE'!$B$5:$B$604,$A175,'LỆNH ĐIỀU XE'!$C$5:$C$604,$B175))</f>
        <v/>
      </c>
      <c r="V175" s="22" t="str">
        <f t="shared" si="20"/>
        <v/>
      </c>
      <c r="W175" s="28" t="str">
        <f t="shared" si="21"/>
        <v/>
      </c>
      <c r="X175" s="28" t="str">
        <f t="shared" si="22"/>
        <v/>
      </c>
      <c r="Y175" s="28" t="str">
        <f t="shared" si="23"/>
        <v/>
      </c>
      <c r="Z175" s="22" t="str">
        <f t="shared" si="24"/>
        <v/>
      </c>
      <c r="AA175" s="28" t="str">
        <f t="shared" si="25"/>
        <v/>
      </c>
      <c r="AB175" s="28" t="str">
        <f t="shared" si="26"/>
        <v/>
      </c>
      <c r="AC175" s="28" t="str">
        <f>IF($A175="","",SUMIFS('CHẶNG TĂNG CA'!$E$5:$E$304,'CHẶNG TĂNG CA'!$A$5:$A$304,$A175,'CHẶNG TĂNG CA'!$B$5:$B$304,$B175))</f>
        <v/>
      </c>
      <c r="AD175" s="28" t="str">
        <f>IF($A175="","",SUMIFS('CHẶNG TĂNG CA'!$F$5:$F$304,'CHẶNG TĂNG CA'!$A$5:$A$304,$A175,'CHẶNG TĂNG CA'!$B$5:$B$304,$B175))</f>
        <v/>
      </c>
      <c r="AE175" s="28" t="str">
        <f>IF($A175="","",SUMIFS('CHẶNG TĂNG CA'!$G$5:$G$304,'CHẶNG TĂNG CA'!$A$5:$A$304,$A175,'CHẶNG TĂNG CA'!$B$5:$B$304,$B175))</f>
        <v/>
      </c>
      <c r="AF175" s="28" t="str">
        <f>IF($A175="","",SUMIFS('CHẶNG TĂNG CA'!$H$5:$H$304,'CHẶNG TĂNG CA'!$A$5:$A$304,$A175,'CHẶNG TĂNG CA'!$B$5:$B$304,$B175))</f>
        <v/>
      </c>
      <c r="AG175" s="28" t="str">
        <f t="shared" si="27"/>
        <v/>
      </c>
      <c r="AH175" s="16" t="str">
        <f>IF($A175="","",IF(COUNTIFS('LỆNH ĐIỀU XE'!$B$5:$B$604,$A175,'LỆNH ĐIỀU XE'!$C$5:$C$604,$B175,'LỆNH ĐIỀU XE'!$N$5:$N$604,"Có")&gt;0,"Có","Không"))</f>
        <v/>
      </c>
      <c r="AI175" s="16" t="str">
        <f>IF(OR($A175="",H175="",N(T175)=0),"",IF(_xlfn.MAXIFS('LỆNH ĐIỀU XE'!$U$5:$U$604,'LỆNH ĐIỀU XE'!$B$5:$B$604,$A175,'LỆNH ĐIỀU XE'!$C$5:$C$604,$B175)=0,"",ROUND((H175+(H175&lt;4/24)-_xlfn.MAXIFS('LỆNH ĐIỀU XE'!$U$5:$U$604,'LỆNH ĐIỀU XE'!$B$5:$B$604,$A175,'LỆNH ĐIỀU XE'!$C$5:$C$604,$B175))*1440,0)))</f>
        <v/>
      </c>
      <c r="AJ175" s="16" t="str">
        <f>IF($A175="","",IF(OR(AI175="",V175=""),"Thiếu dữ liệu",IF(AND(AI175&lt;='THAM SỐ'!$B$29,ABS(V175)&lt;='THAM SỐ'!$B$28),"Đạt","Không đạt")))</f>
        <v/>
      </c>
      <c r="AK175" s="16" t="str">
        <f t="shared" si="28"/>
        <v/>
      </c>
      <c r="AL175" s="16" t="str">
        <f>IF($A175="","",TRIM(IF(T175=0,"Không có lệnh; ","")&amp;IF(N(N175)&gt;0,"Dừng ngoài lệnh; ","")&amp;IF(N(J175)&gt;0,"Quá tốc độ; ","")&amp;IF(N(K175)&gt;0,"Lái quá 4h; ","")&amp;IF(N(L175)&gt;0,"Không tắt máy; ","")&amp;IF(OR(P175&lt;&gt;"Đủ",Q175&lt;&gt;"Đủ",R175&lt;&gt;"Đủ"),"Thiếu ảnh; ","")&amp;IF(S175&lt;&gt;"Đạt","Lốp chưa đạt; ","")&amp;IF(N(W175)&gt;'THAM SỐ'!$B$27,"Có mặt quá giờ; ","")&amp;IF(N(X175)&gt;'THAM SỐ'!$B$25,"Lái quá giờ ngày; ","")&amp;IF(ISNUMBER(V175),IF(ABS(V175)&gt;'THAM SỐ'!$B$28,"Lệch km; ",""),"")))</f>
        <v/>
      </c>
      <c r="AM175" s="29"/>
      <c r="AN175" s="30"/>
      <c r="AO175" s="28" t="str">
        <f t="shared" si="29"/>
        <v/>
      </c>
      <c r="AP175" s="21" t="str">
        <f>IF(OR($A175="",AO175=""),"",IF(AG175=0,0,ROUND((AC175*'THAM SỐ'!$B$18+AD175*'THAM SỐ'!$B$19+AE175*'THAM SỐ'!$B$20+AF175*'THAM SỐ'!$B$21)*MIN(1,AO175/AG175),0)))</f>
        <v/>
      </c>
      <c r="AQ175" s="18"/>
    </row>
    <row r="176" spans="1:43" x14ac:dyDescent="0.45">
      <c r="A176" s="17"/>
      <c r="B176" s="18"/>
      <c r="C176" s="18"/>
      <c r="D176" s="25"/>
      <c r="E176" s="26"/>
      <c r="F176" s="26"/>
      <c r="G176" s="20"/>
      <c r="H176" s="20"/>
      <c r="I176" s="18"/>
      <c r="J176" s="18"/>
      <c r="K176" s="18"/>
      <c r="L176" s="18"/>
      <c r="M176" s="18"/>
      <c r="N176" s="18"/>
      <c r="O176" s="18"/>
      <c r="P176" s="18"/>
      <c r="Q176" s="18"/>
      <c r="R176" s="18"/>
      <c r="S176" s="18"/>
      <c r="T176" s="16" t="str">
        <f>IF($A176="","",COUNTIFS('LỆNH ĐIỀU XE'!$B$5:$B$604,$A176,'LỆNH ĐIỀU XE'!$C$5:$C$604,$B176))</f>
        <v/>
      </c>
      <c r="U176" s="27" t="str">
        <f>IF($A176="","",SUMIFS('LỆNH ĐIỀU XE'!$J$5:$J$604,'LỆNH ĐIỀU XE'!$B$5:$B$604,$A176,'LỆNH ĐIỀU XE'!$C$5:$C$604,$B176))</f>
        <v/>
      </c>
      <c r="V176" s="22" t="str">
        <f t="shared" si="20"/>
        <v/>
      </c>
      <c r="W176" s="28" t="str">
        <f t="shared" si="21"/>
        <v/>
      </c>
      <c r="X176" s="28" t="str">
        <f t="shared" si="22"/>
        <v/>
      </c>
      <c r="Y176" s="28" t="str">
        <f t="shared" si="23"/>
        <v/>
      </c>
      <c r="Z176" s="22" t="str">
        <f t="shared" si="24"/>
        <v/>
      </c>
      <c r="AA176" s="28" t="str">
        <f t="shared" si="25"/>
        <v/>
      </c>
      <c r="AB176" s="28" t="str">
        <f t="shared" si="26"/>
        <v/>
      </c>
      <c r="AC176" s="28" t="str">
        <f>IF($A176="","",SUMIFS('CHẶNG TĂNG CA'!$E$5:$E$304,'CHẶNG TĂNG CA'!$A$5:$A$304,$A176,'CHẶNG TĂNG CA'!$B$5:$B$304,$B176))</f>
        <v/>
      </c>
      <c r="AD176" s="28" t="str">
        <f>IF($A176="","",SUMIFS('CHẶNG TĂNG CA'!$F$5:$F$304,'CHẶNG TĂNG CA'!$A$5:$A$304,$A176,'CHẶNG TĂNG CA'!$B$5:$B$304,$B176))</f>
        <v/>
      </c>
      <c r="AE176" s="28" t="str">
        <f>IF($A176="","",SUMIFS('CHẶNG TĂNG CA'!$G$5:$G$304,'CHẶNG TĂNG CA'!$A$5:$A$304,$A176,'CHẶNG TĂNG CA'!$B$5:$B$304,$B176))</f>
        <v/>
      </c>
      <c r="AF176" s="28" t="str">
        <f>IF($A176="","",SUMIFS('CHẶNG TĂNG CA'!$H$5:$H$304,'CHẶNG TĂNG CA'!$A$5:$A$304,$A176,'CHẶNG TĂNG CA'!$B$5:$B$304,$B176))</f>
        <v/>
      </c>
      <c r="AG176" s="28" t="str">
        <f t="shared" si="27"/>
        <v/>
      </c>
      <c r="AH176" s="16" t="str">
        <f>IF($A176="","",IF(COUNTIFS('LỆNH ĐIỀU XE'!$B$5:$B$604,$A176,'LỆNH ĐIỀU XE'!$C$5:$C$604,$B176,'LỆNH ĐIỀU XE'!$N$5:$N$604,"Có")&gt;0,"Có","Không"))</f>
        <v/>
      </c>
      <c r="AI176" s="16" t="str">
        <f>IF(OR($A176="",H176="",N(T176)=0),"",IF(_xlfn.MAXIFS('LỆNH ĐIỀU XE'!$U$5:$U$604,'LỆNH ĐIỀU XE'!$B$5:$B$604,$A176,'LỆNH ĐIỀU XE'!$C$5:$C$604,$B176)=0,"",ROUND((H176+(H176&lt;4/24)-_xlfn.MAXIFS('LỆNH ĐIỀU XE'!$U$5:$U$604,'LỆNH ĐIỀU XE'!$B$5:$B$604,$A176,'LỆNH ĐIỀU XE'!$C$5:$C$604,$B176))*1440,0)))</f>
        <v/>
      </c>
      <c r="AJ176" s="16" t="str">
        <f>IF($A176="","",IF(OR(AI176="",V176=""),"Thiếu dữ liệu",IF(AND(AI176&lt;='THAM SỐ'!$B$29,ABS(V176)&lt;='THAM SỐ'!$B$28),"Đạt","Không đạt")))</f>
        <v/>
      </c>
      <c r="AK176" s="16" t="str">
        <f t="shared" si="28"/>
        <v/>
      </c>
      <c r="AL176" s="16" t="str">
        <f>IF($A176="","",TRIM(IF(T176=0,"Không có lệnh; ","")&amp;IF(N(N176)&gt;0,"Dừng ngoài lệnh; ","")&amp;IF(N(J176)&gt;0,"Quá tốc độ; ","")&amp;IF(N(K176)&gt;0,"Lái quá 4h; ","")&amp;IF(N(L176)&gt;0,"Không tắt máy; ","")&amp;IF(OR(P176&lt;&gt;"Đủ",Q176&lt;&gt;"Đủ",R176&lt;&gt;"Đủ"),"Thiếu ảnh; ","")&amp;IF(S176&lt;&gt;"Đạt","Lốp chưa đạt; ","")&amp;IF(N(W176)&gt;'THAM SỐ'!$B$27,"Có mặt quá giờ; ","")&amp;IF(N(X176)&gt;'THAM SỐ'!$B$25,"Lái quá giờ ngày; ","")&amp;IF(ISNUMBER(V176),IF(ABS(V176)&gt;'THAM SỐ'!$B$28,"Lệch km; ",""),"")))</f>
        <v/>
      </c>
      <c r="AM176" s="29"/>
      <c r="AN176" s="30"/>
      <c r="AO176" s="28" t="str">
        <f t="shared" si="29"/>
        <v/>
      </c>
      <c r="AP176" s="21" t="str">
        <f>IF(OR($A176="",AO176=""),"",IF(AG176=0,0,ROUND((AC176*'THAM SỐ'!$B$18+AD176*'THAM SỐ'!$B$19+AE176*'THAM SỐ'!$B$20+AF176*'THAM SỐ'!$B$21)*MIN(1,AO176/AG176),0)))</f>
        <v/>
      </c>
      <c r="AQ176" s="18"/>
    </row>
    <row r="177" spans="1:43" x14ac:dyDescent="0.45">
      <c r="A177" s="17"/>
      <c r="B177" s="18"/>
      <c r="C177" s="18"/>
      <c r="D177" s="25"/>
      <c r="E177" s="26"/>
      <c r="F177" s="26"/>
      <c r="G177" s="20"/>
      <c r="H177" s="20"/>
      <c r="I177" s="18"/>
      <c r="J177" s="18"/>
      <c r="K177" s="18"/>
      <c r="L177" s="18"/>
      <c r="M177" s="18"/>
      <c r="N177" s="18"/>
      <c r="O177" s="18"/>
      <c r="P177" s="18"/>
      <c r="Q177" s="18"/>
      <c r="R177" s="18"/>
      <c r="S177" s="18"/>
      <c r="T177" s="16" t="str">
        <f>IF($A177="","",COUNTIFS('LỆNH ĐIỀU XE'!$B$5:$B$604,$A177,'LỆNH ĐIỀU XE'!$C$5:$C$604,$B177))</f>
        <v/>
      </c>
      <c r="U177" s="27" t="str">
        <f>IF($A177="","",SUMIFS('LỆNH ĐIỀU XE'!$J$5:$J$604,'LỆNH ĐIỀU XE'!$B$5:$B$604,$A177,'LỆNH ĐIỀU XE'!$C$5:$C$604,$B177))</f>
        <v/>
      </c>
      <c r="V177" s="22" t="str">
        <f t="shared" si="20"/>
        <v/>
      </c>
      <c r="W177" s="28" t="str">
        <f t="shared" si="21"/>
        <v/>
      </c>
      <c r="X177" s="28" t="str">
        <f t="shared" si="22"/>
        <v/>
      </c>
      <c r="Y177" s="28" t="str">
        <f t="shared" si="23"/>
        <v/>
      </c>
      <c r="Z177" s="22" t="str">
        <f t="shared" si="24"/>
        <v/>
      </c>
      <c r="AA177" s="28" t="str">
        <f t="shared" si="25"/>
        <v/>
      </c>
      <c r="AB177" s="28" t="str">
        <f t="shared" si="26"/>
        <v/>
      </c>
      <c r="AC177" s="28" t="str">
        <f>IF($A177="","",SUMIFS('CHẶNG TĂNG CA'!$E$5:$E$304,'CHẶNG TĂNG CA'!$A$5:$A$304,$A177,'CHẶNG TĂNG CA'!$B$5:$B$304,$B177))</f>
        <v/>
      </c>
      <c r="AD177" s="28" t="str">
        <f>IF($A177="","",SUMIFS('CHẶNG TĂNG CA'!$F$5:$F$304,'CHẶNG TĂNG CA'!$A$5:$A$304,$A177,'CHẶNG TĂNG CA'!$B$5:$B$304,$B177))</f>
        <v/>
      </c>
      <c r="AE177" s="28" t="str">
        <f>IF($A177="","",SUMIFS('CHẶNG TĂNG CA'!$G$5:$G$304,'CHẶNG TĂNG CA'!$A$5:$A$304,$A177,'CHẶNG TĂNG CA'!$B$5:$B$304,$B177))</f>
        <v/>
      </c>
      <c r="AF177" s="28" t="str">
        <f>IF($A177="","",SUMIFS('CHẶNG TĂNG CA'!$H$5:$H$304,'CHẶNG TĂNG CA'!$A$5:$A$304,$A177,'CHẶNG TĂNG CA'!$B$5:$B$304,$B177))</f>
        <v/>
      </c>
      <c r="AG177" s="28" t="str">
        <f t="shared" si="27"/>
        <v/>
      </c>
      <c r="AH177" s="16" t="str">
        <f>IF($A177="","",IF(COUNTIFS('LỆNH ĐIỀU XE'!$B$5:$B$604,$A177,'LỆNH ĐIỀU XE'!$C$5:$C$604,$B177,'LỆNH ĐIỀU XE'!$N$5:$N$604,"Có")&gt;0,"Có","Không"))</f>
        <v/>
      </c>
      <c r="AI177" s="16" t="str">
        <f>IF(OR($A177="",H177="",N(T177)=0),"",IF(_xlfn.MAXIFS('LỆNH ĐIỀU XE'!$U$5:$U$604,'LỆNH ĐIỀU XE'!$B$5:$B$604,$A177,'LỆNH ĐIỀU XE'!$C$5:$C$604,$B177)=0,"",ROUND((H177+(H177&lt;4/24)-_xlfn.MAXIFS('LỆNH ĐIỀU XE'!$U$5:$U$604,'LỆNH ĐIỀU XE'!$B$5:$B$604,$A177,'LỆNH ĐIỀU XE'!$C$5:$C$604,$B177))*1440,0)))</f>
        <v/>
      </c>
      <c r="AJ177" s="16" t="str">
        <f>IF($A177="","",IF(OR(AI177="",V177=""),"Thiếu dữ liệu",IF(AND(AI177&lt;='THAM SỐ'!$B$29,ABS(V177)&lt;='THAM SỐ'!$B$28),"Đạt","Không đạt")))</f>
        <v/>
      </c>
      <c r="AK177" s="16" t="str">
        <f t="shared" si="28"/>
        <v/>
      </c>
      <c r="AL177" s="16" t="str">
        <f>IF($A177="","",TRIM(IF(T177=0,"Không có lệnh; ","")&amp;IF(N(N177)&gt;0,"Dừng ngoài lệnh; ","")&amp;IF(N(J177)&gt;0,"Quá tốc độ; ","")&amp;IF(N(K177)&gt;0,"Lái quá 4h; ","")&amp;IF(N(L177)&gt;0,"Không tắt máy; ","")&amp;IF(OR(P177&lt;&gt;"Đủ",Q177&lt;&gt;"Đủ",R177&lt;&gt;"Đủ"),"Thiếu ảnh; ","")&amp;IF(S177&lt;&gt;"Đạt","Lốp chưa đạt; ","")&amp;IF(N(W177)&gt;'THAM SỐ'!$B$27,"Có mặt quá giờ; ","")&amp;IF(N(X177)&gt;'THAM SỐ'!$B$25,"Lái quá giờ ngày; ","")&amp;IF(ISNUMBER(V177),IF(ABS(V177)&gt;'THAM SỐ'!$B$28,"Lệch km; ",""),"")))</f>
        <v/>
      </c>
      <c r="AM177" s="29"/>
      <c r="AN177" s="30"/>
      <c r="AO177" s="28" t="str">
        <f t="shared" si="29"/>
        <v/>
      </c>
      <c r="AP177" s="21" t="str">
        <f>IF(OR($A177="",AO177=""),"",IF(AG177=0,0,ROUND((AC177*'THAM SỐ'!$B$18+AD177*'THAM SỐ'!$B$19+AE177*'THAM SỐ'!$B$20+AF177*'THAM SỐ'!$B$21)*MIN(1,AO177/AG177),0)))</f>
        <v/>
      </c>
      <c r="AQ177" s="18"/>
    </row>
    <row r="178" spans="1:43" x14ac:dyDescent="0.45">
      <c r="A178" s="17"/>
      <c r="B178" s="18"/>
      <c r="C178" s="18"/>
      <c r="D178" s="25"/>
      <c r="E178" s="26"/>
      <c r="F178" s="26"/>
      <c r="G178" s="20"/>
      <c r="H178" s="20"/>
      <c r="I178" s="18"/>
      <c r="J178" s="18"/>
      <c r="K178" s="18"/>
      <c r="L178" s="18"/>
      <c r="M178" s="18"/>
      <c r="N178" s="18"/>
      <c r="O178" s="18"/>
      <c r="P178" s="18"/>
      <c r="Q178" s="18"/>
      <c r="R178" s="18"/>
      <c r="S178" s="18"/>
      <c r="T178" s="16" t="str">
        <f>IF($A178="","",COUNTIFS('LỆNH ĐIỀU XE'!$B$5:$B$604,$A178,'LỆNH ĐIỀU XE'!$C$5:$C$604,$B178))</f>
        <v/>
      </c>
      <c r="U178" s="27" t="str">
        <f>IF($A178="","",SUMIFS('LỆNH ĐIỀU XE'!$J$5:$J$604,'LỆNH ĐIỀU XE'!$B$5:$B$604,$A178,'LỆNH ĐIỀU XE'!$C$5:$C$604,$B178))</f>
        <v/>
      </c>
      <c r="V178" s="22" t="str">
        <f t="shared" si="20"/>
        <v/>
      </c>
      <c r="W178" s="28" t="str">
        <f t="shared" si="21"/>
        <v/>
      </c>
      <c r="X178" s="28" t="str">
        <f t="shared" si="22"/>
        <v/>
      </c>
      <c r="Y178" s="28" t="str">
        <f t="shared" si="23"/>
        <v/>
      </c>
      <c r="Z178" s="22" t="str">
        <f t="shared" si="24"/>
        <v/>
      </c>
      <c r="AA178" s="28" t="str">
        <f t="shared" si="25"/>
        <v/>
      </c>
      <c r="AB178" s="28" t="str">
        <f t="shared" si="26"/>
        <v/>
      </c>
      <c r="AC178" s="28" t="str">
        <f>IF($A178="","",SUMIFS('CHẶNG TĂNG CA'!$E$5:$E$304,'CHẶNG TĂNG CA'!$A$5:$A$304,$A178,'CHẶNG TĂNG CA'!$B$5:$B$304,$B178))</f>
        <v/>
      </c>
      <c r="AD178" s="28" t="str">
        <f>IF($A178="","",SUMIFS('CHẶNG TĂNG CA'!$F$5:$F$304,'CHẶNG TĂNG CA'!$A$5:$A$304,$A178,'CHẶNG TĂNG CA'!$B$5:$B$304,$B178))</f>
        <v/>
      </c>
      <c r="AE178" s="28" t="str">
        <f>IF($A178="","",SUMIFS('CHẶNG TĂNG CA'!$G$5:$G$304,'CHẶNG TĂNG CA'!$A$5:$A$304,$A178,'CHẶNG TĂNG CA'!$B$5:$B$304,$B178))</f>
        <v/>
      </c>
      <c r="AF178" s="28" t="str">
        <f>IF($A178="","",SUMIFS('CHẶNG TĂNG CA'!$H$5:$H$304,'CHẶNG TĂNG CA'!$A$5:$A$304,$A178,'CHẶNG TĂNG CA'!$B$5:$B$304,$B178))</f>
        <v/>
      </c>
      <c r="AG178" s="28" t="str">
        <f t="shared" si="27"/>
        <v/>
      </c>
      <c r="AH178" s="16" t="str">
        <f>IF($A178="","",IF(COUNTIFS('LỆNH ĐIỀU XE'!$B$5:$B$604,$A178,'LỆNH ĐIỀU XE'!$C$5:$C$604,$B178,'LỆNH ĐIỀU XE'!$N$5:$N$604,"Có")&gt;0,"Có","Không"))</f>
        <v/>
      </c>
      <c r="AI178" s="16" t="str">
        <f>IF(OR($A178="",H178="",N(T178)=0),"",IF(_xlfn.MAXIFS('LỆNH ĐIỀU XE'!$U$5:$U$604,'LỆNH ĐIỀU XE'!$B$5:$B$604,$A178,'LỆNH ĐIỀU XE'!$C$5:$C$604,$B178)=0,"",ROUND((H178+(H178&lt;4/24)-_xlfn.MAXIFS('LỆNH ĐIỀU XE'!$U$5:$U$604,'LỆNH ĐIỀU XE'!$B$5:$B$604,$A178,'LỆNH ĐIỀU XE'!$C$5:$C$604,$B178))*1440,0)))</f>
        <v/>
      </c>
      <c r="AJ178" s="16" t="str">
        <f>IF($A178="","",IF(OR(AI178="",V178=""),"Thiếu dữ liệu",IF(AND(AI178&lt;='THAM SỐ'!$B$29,ABS(V178)&lt;='THAM SỐ'!$B$28),"Đạt","Không đạt")))</f>
        <v/>
      </c>
      <c r="AK178" s="16" t="str">
        <f t="shared" si="28"/>
        <v/>
      </c>
      <c r="AL178" s="16" t="str">
        <f>IF($A178="","",TRIM(IF(T178=0,"Không có lệnh; ","")&amp;IF(N(N178)&gt;0,"Dừng ngoài lệnh; ","")&amp;IF(N(J178)&gt;0,"Quá tốc độ; ","")&amp;IF(N(K178)&gt;0,"Lái quá 4h; ","")&amp;IF(N(L178)&gt;0,"Không tắt máy; ","")&amp;IF(OR(P178&lt;&gt;"Đủ",Q178&lt;&gt;"Đủ",R178&lt;&gt;"Đủ"),"Thiếu ảnh; ","")&amp;IF(S178&lt;&gt;"Đạt","Lốp chưa đạt; ","")&amp;IF(N(W178)&gt;'THAM SỐ'!$B$27,"Có mặt quá giờ; ","")&amp;IF(N(X178)&gt;'THAM SỐ'!$B$25,"Lái quá giờ ngày; ","")&amp;IF(ISNUMBER(V178),IF(ABS(V178)&gt;'THAM SỐ'!$B$28,"Lệch km; ",""),"")))</f>
        <v/>
      </c>
      <c r="AM178" s="29"/>
      <c r="AN178" s="30"/>
      <c r="AO178" s="28" t="str">
        <f t="shared" si="29"/>
        <v/>
      </c>
      <c r="AP178" s="21" t="str">
        <f>IF(OR($A178="",AO178=""),"",IF(AG178=0,0,ROUND((AC178*'THAM SỐ'!$B$18+AD178*'THAM SỐ'!$B$19+AE178*'THAM SỐ'!$B$20+AF178*'THAM SỐ'!$B$21)*MIN(1,AO178/AG178),0)))</f>
        <v/>
      </c>
      <c r="AQ178" s="18"/>
    </row>
    <row r="179" spans="1:43" x14ac:dyDescent="0.45">
      <c r="A179" s="17"/>
      <c r="B179" s="18"/>
      <c r="C179" s="18"/>
      <c r="D179" s="25"/>
      <c r="E179" s="26"/>
      <c r="F179" s="26"/>
      <c r="G179" s="20"/>
      <c r="H179" s="20"/>
      <c r="I179" s="18"/>
      <c r="J179" s="18"/>
      <c r="K179" s="18"/>
      <c r="L179" s="18"/>
      <c r="M179" s="18"/>
      <c r="N179" s="18"/>
      <c r="O179" s="18"/>
      <c r="P179" s="18"/>
      <c r="Q179" s="18"/>
      <c r="R179" s="18"/>
      <c r="S179" s="18"/>
      <c r="T179" s="16" t="str">
        <f>IF($A179="","",COUNTIFS('LỆNH ĐIỀU XE'!$B$5:$B$604,$A179,'LỆNH ĐIỀU XE'!$C$5:$C$604,$B179))</f>
        <v/>
      </c>
      <c r="U179" s="27" t="str">
        <f>IF($A179="","",SUMIFS('LỆNH ĐIỀU XE'!$J$5:$J$604,'LỆNH ĐIỀU XE'!$B$5:$B$604,$A179,'LỆNH ĐIỀU XE'!$C$5:$C$604,$B179))</f>
        <v/>
      </c>
      <c r="V179" s="22" t="str">
        <f t="shared" si="20"/>
        <v/>
      </c>
      <c r="W179" s="28" t="str">
        <f t="shared" si="21"/>
        <v/>
      </c>
      <c r="X179" s="28" t="str">
        <f t="shared" si="22"/>
        <v/>
      </c>
      <c r="Y179" s="28" t="str">
        <f t="shared" si="23"/>
        <v/>
      </c>
      <c r="Z179" s="22" t="str">
        <f t="shared" si="24"/>
        <v/>
      </c>
      <c r="AA179" s="28" t="str">
        <f t="shared" si="25"/>
        <v/>
      </c>
      <c r="AB179" s="28" t="str">
        <f t="shared" si="26"/>
        <v/>
      </c>
      <c r="AC179" s="28" t="str">
        <f>IF($A179="","",SUMIFS('CHẶNG TĂNG CA'!$E$5:$E$304,'CHẶNG TĂNG CA'!$A$5:$A$304,$A179,'CHẶNG TĂNG CA'!$B$5:$B$304,$B179))</f>
        <v/>
      </c>
      <c r="AD179" s="28" t="str">
        <f>IF($A179="","",SUMIFS('CHẶNG TĂNG CA'!$F$5:$F$304,'CHẶNG TĂNG CA'!$A$5:$A$304,$A179,'CHẶNG TĂNG CA'!$B$5:$B$304,$B179))</f>
        <v/>
      </c>
      <c r="AE179" s="28" t="str">
        <f>IF($A179="","",SUMIFS('CHẶNG TĂNG CA'!$G$5:$G$304,'CHẶNG TĂNG CA'!$A$5:$A$304,$A179,'CHẶNG TĂNG CA'!$B$5:$B$304,$B179))</f>
        <v/>
      </c>
      <c r="AF179" s="28" t="str">
        <f>IF($A179="","",SUMIFS('CHẶNG TĂNG CA'!$H$5:$H$304,'CHẶNG TĂNG CA'!$A$5:$A$304,$A179,'CHẶNG TĂNG CA'!$B$5:$B$304,$B179))</f>
        <v/>
      </c>
      <c r="AG179" s="28" t="str">
        <f t="shared" si="27"/>
        <v/>
      </c>
      <c r="AH179" s="16" t="str">
        <f>IF($A179="","",IF(COUNTIFS('LỆNH ĐIỀU XE'!$B$5:$B$604,$A179,'LỆNH ĐIỀU XE'!$C$5:$C$604,$B179,'LỆNH ĐIỀU XE'!$N$5:$N$604,"Có")&gt;0,"Có","Không"))</f>
        <v/>
      </c>
      <c r="AI179" s="16" t="str">
        <f>IF(OR($A179="",H179="",N(T179)=0),"",IF(_xlfn.MAXIFS('LỆNH ĐIỀU XE'!$U$5:$U$604,'LỆNH ĐIỀU XE'!$B$5:$B$604,$A179,'LỆNH ĐIỀU XE'!$C$5:$C$604,$B179)=0,"",ROUND((H179+(H179&lt;4/24)-_xlfn.MAXIFS('LỆNH ĐIỀU XE'!$U$5:$U$604,'LỆNH ĐIỀU XE'!$B$5:$B$604,$A179,'LỆNH ĐIỀU XE'!$C$5:$C$604,$B179))*1440,0)))</f>
        <v/>
      </c>
      <c r="AJ179" s="16" t="str">
        <f>IF($A179="","",IF(OR(AI179="",V179=""),"Thiếu dữ liệu",IF(AND(AI179&lt;='THAM SỐ'!$B$29,ABS(V179)&lt;='THAM SỐ'!$B$28),"Đạt","Không đạt")))</f>
        <v/>
      </c>
      <c r="AK179" s="16" t="str">
        <f t="shared" si="28"/>
        <v/>
      </c>
      <c r="AL179" s="16" t="str">
        <f>IF($A179="","",TRIM(IF(T179=0,"Không có lệnh; ","")&amp;IF(N(N179)&gt;0,"Dừng ngoài lệnh; ","")&amp;IF(N(J179)&gt;0,"Quá tốc độ; ","")&amp;IF(N(K179)&gt;0,"Lái quá 4h; ","")&amp;IF(N(L179)&gt;0,"Không tắt máy; ","")&amp;IF(OR(P179&lt;&gt;"Đủ",Q179&lt;&gt;"Đủ",R179&lt;&gt;"Đủ"),"Thiếu ảnh; ","")&amp;IF(S179&lt;&gt;"Đạt","Lốp chưa đạt; ","")&amp;IF(N(W179)&gt;'THAM SỐ'!$B$27,"Có mặt quá giờ; ","")&amp;IF(N(X179)&gt;'THAM SỐ'!$B$25,"Lái quá giờ ngày; ","")&amp;IF(ISNUMBER(V179),IF(ABS(V179)&gt;'THAM SỐ'!$B$28,"Lệch km; ",""),"")))</f>
        <v/>
      </c>
      <c r="AM179" s="29"/>
      <c r="AN179" s="30"/>
      <c r="AO179" s="28" t="str">
        <f t="shared" si="29"/>
        <v/>
      </c>
      <c r="AP179" s="21" t="str">
        <f>IF(OR($A179="",AO179=""),"",IF(AG179=0,0,ROUND((AC179*'THAM SỐ'!$B$18+AD179*'THAM SỐ'!$B$19+AE179*'THAM SỐ'!$B$20+AF179*'THAM SỐ'!$B$21)*MIN(1,AO179/AG179),0)))</f>
        <v/>
      </c>
      <c r="AQ179" s="18"/>
    </row>
    <row r="180" spans="1:43" x14ac:dyDescent="0.45">
      <c r="A180" s="17"/>
      <c r="B180" s="18"/>
      <c r="C180" s="18"/>
      <c r="D180" s="25"/>
      <c r="E180" s="26"/>
      <c r="F180" s="26"/>
      <c r="G180" s="20"/>
      <c r="H180" s="20"/>
      <c r="I180" s="18"/>
      <c r="J180" s="18"/>
      <c r="K180" s="18"/>
      <c r="L180" s="18"/>
      <c r="M180" s="18"/>
      <c r="N180" s="18"/>
      <c r="O180" s="18"/>
      <c r="P180" s="18"/>
      <c r="Q180" s="18"/>
      <c r="R180" s="18"/>
      <c r="S180" s="18"/>
      <c r="T180" s="16" t="str">
        <f>IF($A180="","",COUNTIFS('LỆNH ĐIỀU XE'!$B$5:$B$604,$A180,'LỆNH ĐIỀU XE'!$C$5:$C$604,$B180))</f>
        <v/>
      </c>
      <c r="U180" s="27" t="str">
        <f>IF($A180="","",SUMIFS('LỆNH ĐIỀU XE'!$J$5:$J$604,'LỆNH ĐIỀU XE'!$B$5:$B$604,$A180,'LỆNH ĐIỀU XE'!$C$5:$C$604,$B180))</f>
        <v/>
      </c>
      <c r="V180" s="22" t="str">
        <f t="shared" si="20"/>
        <v/>
      </c>
      <c r="W180" s="28" t="str">
        <f t="shared" si="21"/>
        <v/>
      </c>
      <c r="X180" s="28" t="str">
        <f t="shared" si="22"/>
        <v/>
      </c>
      <c r="Y180" s="28" t="str">
        <f t="shared" si="23"/>
        <v/>
      </c>
      <c r="Z180" s="22" t="str">
        <f t="shared" si="24"/>
        <v/>
      </c>
      <c r="AA180" s="28" t="str">
        <f t="shared" si="25"/>
        <v/>
      </c>
      <c r="AB180" s="28" t="str">
        <f t="shared" si="26"/>
        <v/>
      </c>
      <c r="AC180" s="28" t="str">
        <f>IF($A180="","",SUMIFS('CHẶNG TĂNG CA'!$E$5:$E$304,'CHẶNG TĂNG CA'!$A$5:$A$304,$A180,'CHẶNG TĂNG CA'!$B$5:$B$304,$B180))</f>
        <v/>
      </c>
      <c r="AD180" s="28" t="str">
        <f>IF($A180="","",SUMIFS('CHẶNG TĂNG CA'!$F$5:$F$304,'CHẶNG TĂNG CA'!$A$5:$A$304,$A180,'CHẶNG TĂNG CA'!$B$5:$B$304,$B180))</f>
        <v/>
      </c>
      <c r="AE180" s="28" t="str">
        <f>IF($A180="","",SUMIFS('CHẶNG TĂNG CA'!$G$5:$G$304,'CHẶNG TĂNG CA'!$A$5:$A$304,$A180,'CHẶNG TĂNG CA'!$B$5:$B$304,$B180))</f>
        <v/>
      </c>
      <c r="AF180" s="28" t="str">
        <f>IF($A180="","",SUMIFS('CHẶNG TĂNG CA'!$H$5:$H$304,'CHẶNG TĂNG CA'!$A$5:$A$304,$A180,'CHẶNG TĂNG CA'!$B$5:$B$304,$B180))</f>
        <v/>
      </c>
      <c r="AG180" s="28" t="str">
        <f t="shared" si="27"/>
        <v/>
      </c>
      <c r="AH180" s="16" t="str">
        <f>IF($A180="","",IF(COUNTIFS('LỆNH ĐIỀU XE'!$B$5:$B$604,$A180,'LỆNH ĐIỀU XE'!$C$5:$C$604,$B180,'LỆNH ĐIỀU XE'!$N$5:$N$604,"Có")&gt;0,"Có","Không"))</f>
        <v/>
      </c>
      <c r="AI180" s="16" t="str">
        <f>IF(OR($A180="",H180="",N(T180)=0),"",IF(_xlfn.MAXIFS('LỆNH ĐIỀU XE'!$U$5:$U$604,'LỆNH ĐIỀU XE'!$B$5:$B$604,$A180,'LỆNH ĐIỀU XE'!$C$5:$C$604,$B180)=0,"",ROUND((H180+(H180&lt;4/24)-_xlfn.MAXIFS('LỆNH ĐIỀU XE'!$U$5:$U$604,'LỆNH ĐIỀU XE'!$B$5:$B$604,$A180,'LỆNH ĐIỀU XE'!$C$5:$C$604,$B180))*1440,0)))</f>
        <v/>
      </c>
      <c r="AJ180" s="16" t="str">
        <f>IF($A180="","",IF(OR(AI180="",V180=""),"Thiếu dữ liệu",IF(AND(AI180&lt;='THAM SỐ'!$B$29,ABS(V180)&lt;='THAM SỐ'!$B$28),"Đạt","Không đạt")))</f>
        <v/>
      </c>
      <c r="AK180" s="16" t="str">
        <f t="shared" si="28"/>
        <v/>
      </c>
      <c r="AL180" s="16" t="str">
        <f>IF($A180="","",TRIM(IF(T180=0,"Không có lệnh; ","")&amp;IF(N(N180)&gt;0,"Dừng ngoài lệnh; ","")&amp;IF(N(J180)&gt;0,"Quá tốc độ; ","")&amp;IF(N(K180)&gt;0,"Lái quá 4h; ","")&amp;IF(N(L180)&gt;0,"Không tắt máy; ","")&amp;IF(OR(P180&lt;&gt;"Đủ",Q180&lt;&gt;"Đủ",R180&lt;&gt;"Đủ"),"Thiếu ảnh; ","")&amp;IF(S180&lt;&gt;"Đạt","Lốp chưa đạt; ","")&amp;IF(N(W180)&gt;'THAM SỐ'!$B$27,"Có mặt quá giờ; ","")&amp;IF(N(X180)&gt;'THAM SỐ'!$B$25,"Lái quá giờ ngày; ","")&amp;IF(ISNUMBER(V180),IF(ABS(V180)&gt;'THAM SỐ'!$B$28,"Lệch km; ",""),"")))</f>
        <v/>
      </c>
      <c r="AM180" s="29"/>
      <c r="AN180" s="30"/>
      <c r="AO180" s="28" t="str">
        <f t="shared" si="29"/>
        <v/>
      </c>
      <c r="AP180" s="21" t="str">
        <f>IF(OR($A180="",AO180=""),"",IF(AG180=0,0,ROUND((AC180*'THAM SỐ'!$B$18+AD180*'THAM SỐ'!$B$19+AE180*'THAM SỐ'!$B$20+AF180*'THAM SỐ'!$B$21)*MIN(1,AO180/AG180),0)))</f>
        <v/>
      </c>
      <c r="AQ180" s="18"/>
    </row>
    <row r="181" spans="1:43" x14ac:dyDescent="0.45">
      <c r="A181" s="17"/>
      <c r="B181" s="18"/>
      <c r="C181" s="18"/>
      <c r="D181" s="25"/>
      <c r="E181" s="26"/>
      <c r="F181" s="26"/>
      <c r="G181" s="20"/>
      <c r="H181" s="20"/>
      <c r="I181" s="18"/>
      <c r="J181" s="18"/>
      <c r="K181" s="18"/>
      <c r="L181" s="18"/>
      <c r="M181" s="18"/>
      <c r="N181" s="18"/>
      <c r="O181" s="18"/>
      <c r="P181" s="18"/>
      <c r="Q181" s="18"/>
      <c r="R181" s="18"/>
      <c r="S181" s="18"/>
      <c r="T181" s="16" t="str">
        <f>IF($A181="","",COUNTIFS('LỆNH ĐIỀU XE'!$B$5:$B$604,$A181,'LỆNH ĐIỀU XE'!$C$5:$C$604,$B181))</f>
        <v/>
      </c>
      <c r="U181" s="27" t="str">
        <f>IF($A181="","",SUMIFS('LỆNH ĐIỀU XE'!$J$5:$J$604,'LỆNH ĐIỀU XE'!$B$5:$B$604,$A181,'LỆNH ĐIỀU XE'!$C$5:$C$604,$B181))</f>
        <v/>
      </c>
      <c r="V181" s="22" t="str">
        <f t="shared" si="20"/>
        <v/>
      </c>
      <c r="W181" s="28" t="str">
        <f t="shared" si="21"/>
        <v/>
      </c>
      <c r="X181" s="28" t="str">
        <f t="shared" si="22"/>
        <v/>
      </c>
      <c r="Y181" s="28" t="str">
        <f t="shared" si="23"/>
        <v/>
      </c>
      <c r="Z181" s="22" t="str">
        <f t="shared" si="24"/>
        <v/>
      </c>
      <c r="AA181" s="28" t="str">
        <f t="shared" si="25"/>
        <v/>
      </c>
      <c r="AB181" s="28" t="str">
        <f t="shared" si="26"/>
        <v/>
      </c>
      <c r="AC181" s="28" t="str">
        <f>IF($A181="","",SUMIFS('CHẶNG TĂNG CA'!$E$5:$E$304,'CHẶNG TĂNG CA'!$A$5:$A$304,$A181,'CHẶNG TĂNG CA'!$B$5:$B$304,$B181))</f>
        <v/>
      </c>
      <c r="AD181" s="28" t="str">
        <f>IF($A181="","",SUMIFS('CHẶNG TĂNG CA'!$F$5:$F$304,'CHẶNG TĂNG CA'!$A$5:$A$304,$A181,'CHẶNG TĂNG CA'!$B$5:$B$304,$B181))</f>
        <v/>
      </c>
      <c r="AE181" s="28" t="str">
        <f>IF($A181="","",SUMIFS('CHẶNG TĂNG CA'!$G$5:$G$304,'CHẶNG TĂNG CA'!$A$5:$A$304,$A181,'CHẶNG TĂNG CA'!$B$5:$B$304,$B181))</f>
        <v/>
      </c>
      <c r="AF181" s="28" t="str">
        <f>IF($A181="","",SUMIFS('CHẶNG TĂNG CA'!$H$5:$H$304,'CHẶNG TĂNG CA'!$A$5:$A$304,$A181,'CHẶNG TĂNG CA'!$B$5:$B$304,$B181))</f>
        <v/>
      </c>
      <c r="AG181" s="28" t="str">
        <f t="shared" si="27"/>
        <v/>
      </c>
      <c r="AH181" s="16" t="str">
        <f>IF($A181="","",IF(COUNTIFS('LỆNH ĐIỀU XE'!$B$5:$B$604,$A181,'LỆNH ĐIỀU XE'!$C$5:$C$604,$B181,'LỆNH ĐIỀU XE'!$N$5:$N$604,"Có")&gt;0,"Có","Không"))</f>
        <v/>
      </c>
      <c r="AI181" s="16" t="str">
        <f>IF(OR($A181="",H181="",N(T181)=0),"",IF(_xlfn.MAXIFS('LỆNH ĐIỀU XE'!$U$5:$U$604,'LỆNH ĐIỀU XE'!$B$5:$B$604,$A181,'LỆNH ĐIỀU XE'!$C$5:$C$604,$B181)=0,"",ROUND((H181+(H181&lt;4/24)-_xlfn.MAXIFS('LỆNH ĐIỀU XE'!$U$5:$U$604,'LỆNH ĐIỀU XE'!$B$5:$B$604,$A181,'LỆNH ĐIỀU XE'!$C$5:$C$604,$B181))*1440,0)))</f>
        <v/>
      </c>
      <c r="AJ181" s="16" t="str">
        <f>IF($A181="","",IF(OR(AI181="",V181=""),"Thiếu dữ liệu",IF(AND(AI181&lt;='THAM SỐ'!$B$29,ABS(V181)&lt;='THAM SỐ'!$B$28),"Đạt","Không đạt")))</f>
        <v/>
      </c>
      <c r="AK181" s="16" t="str">
        <f t="shared" si="28"/>
        <v/>
      </c>
      <c r="AL181" s="16" t="str">
        <f>IF($A181="","",TRIM(IF(T181=0,"Không có lệnh; ","")&amp;IF(N(N181)&gt;0,"Dừng ngoài lệnh; ","")&amp;IF(N(J181)&gt;0,"Quá tốc độ; ","")&amp;IF(N(K181)&gt;0,"Lái quá 4h; ","")&amp;IF(N(L181)&gt;0,"Không tắt máy; ","")&amp;IF(OR(P181&lt;&gt;"Đủ",Q181&lt;&gt;"Đủ",R181&lt;&gt;"Đủ"),"Thiếu ảnh; ","")&amp;IF(S181&lt;&gt;"Đạt","Lốp chưa đạt; ","")&amp;IF(N(W181)&gt;'THAM SỐ'!$B$27,"Có mặt quá giờ; ","")&amp;IF(N(X181)&gt;'THAM SỐ'!$B$25,"Lái quá giờ ngày; ","")&amp;IF(ISNUMBER(V181),IF(ABS(V181)&gt;'THAM SỐ'!$B$28,"Lệch km; ",""),"")))</f>
        <v/>
      </c>
      <c r="AM181" s="29"/>
      <c r="AN181" s="30"/>
      <c r="AO181" s="28" t="str">
        <f t="shared" si="29"/>
        <v/>
      </c>
      <c r="AP181" s="21" t="str">
        <f>IF(OR($A181="",AO181=""),"",IF(AG181=0,0,ROUND((AC181*'THAM SỐ'!$B$18+AD181*'THAM SỐ'!$B$19+AE181*'THAM SỐ'!$B$20+AF181*'THAM SỐ'!$B$21)*MIN(1,AO181/AG181),0)))</f>
        <v/>
      </c>
      <c r="AQ181" s="18"/>
    </row>
    <row r="182" spans="1:43" x14ac:dyDescent="0.45">
      <c r="A182" s="17"/>
      <c r="B182" s="18"/>
      <c r="C182" s="18"/>
      <c r="D182" s="25"/>
      <c r="E182" s="26"/>
      <c r="F182" s="26"/>
      <c r="G182" s="20"/>
      <c r="H182" s="20"/>
      <c r="I182" s="18"/>
      <c r="J182" s="18"/>
      <c r="K182" s="18"/>
      <c r="L182" s="18"/>
      <c r="M182" s="18"/>
      <c r="N182" s="18"/>
      <c r="O182" s="18"/>
      <c r="P182" s="18"/>
      <c r="Q182" s="18"/>
      <c r="R182" s="18"/>
      <c r="S182" s="18"/>
      <c r="T182" s="16" t="str">
        <f>IF($A182="","",COUNTIFS('LỆNH ĐIỀU XE'!$B$5:$B$604,$A182,'LỆNH ĐIỀU XE'!$C$5:$C$604,$B182))</f>
        <v/>
      </c>
      <c r="U182" s="27" t="str">
        <f>IF($A182="","",SUMIFS('LỆNH ĐIỀU XE'!$J$5:$J$604,'LỆNH ĐIỀU XE'!$B$5:$B$604,$A182,'LỆNH ĐIỀU XE'!$C$5:$C$604,$B182))</f>
        <v/>
      </c>
      <c r="V182" s="22" t="str">
        <f t="shared" si="20"/>
        <v/>
      </c>
      <c r="W182" s="28" t="str">
        <f t="shared" si="21"/>
        <v/>
      </c>
      <c r="X182" s="28" t="str">
        <f t="shared" si="22"/>
        <v/>
      </c>
      <c r="Y182" s="28" t="str">
        <f t="shared" si="23"/>
        <v/>
      </c>
      <c r="Z182" s="22" t="str">
        <f t="shared" si="24"/>
        <v/>
      </c>
      <c r="AA182" s="28" t="str">
        <f t="shared" si="25"/>
        <v/>
      </c>
      <c r="AB182" s="28" t="str">
        <f t="shared" si="26"/>
        <v/>
      </c>
      <c r="AC182" s="28" t="str">
        <f>IF($A182="","",SUMIFS('CHẶNG TĂNG CA'!$E$5:$E$304,'CHẶNG TĂNG CA'!$A$5:$A$304,$A182,'CHẶNG TĂNG CA'!$B$5:$B$304,$B182))</f>
        <v/>
      </c>
      <c r="AD182" s="28" t="str">
        <f>IF($A182="","",SUMIFS('CHẶNG TĂNG CA'!$F$5:$F$304,'CHẶNG TĂNG CA'!$A$5:$A$304,$A182,'CHẶNG TĂNG CA'!$B$5:$B$304,$B182))</f>
        <v/>
      </c>
      <c r="AE182" s="28" t="str">
        <f>IF($A182="","",SUMIFS('CHẶNG TĂNG CA'!$G$5:$G$304,'CHẶNG TĂNG CA'!$A$5:$A$304,$A182,'CHẶNG TĂNG CA'!$B$5:$B$304,$B182))</f>
        <v/>
      </c>
      <c r="AF182" s="28" t="str">
        <f>IF($A182="","",SUMIFS('CHẶNG TĂNG CA'!$H$5:$H$304,'CHẶNG TĂNG CA'!$A$5:$A$304,$A182,'CHẶNG TĂNG CA'!$B$5:$B$304,$B182))</f>
        <v/>
      </c>
      <c r="AG182" s="28" t="str">
        <f t="shared" si="27"/>
        <v/>
      </c>
      <c r="AH182" s="16" t="str">
        <f>IF($A182="","",IF(COUNTIFS('LỆNH ĐIỀU XE'!$B$5:$B$604,$A182,'LỆNH ĐIỀU XE'!$C$5:$C$604,$B182,'LỆNH ĐIỀU XE'!$N$5:$N$604,"Có")&gt;0,"Có","Không"))</f>
        <v/>
      </c>
      <c r="AI182" s="16" t="str">
        <f>IF(OR($A182="",H182="",N(T182)=0),"",IF(_xlfn.MAXIFS('LỆNH ĐIỀU XE'!$U$5:$U$604,'LỆNH ĐIỀU XE'!$B$5:$B$604,$A182,'LỆNH ĐIỀU XE'!$C$5:$C$604,$B182)=0,"",ROUND((H182+(H182&lt;4/24)-_xlfn.MAXIFS('LỆNH ĐIỀU XE'!$U$5:$U$604,'LỆNH ĐIỀU XE'!$B$5:$B$604,$A182,'LỆNH ĐIỀU XE'!$C$5:$C$604,$B182))*1440,0)))</f>
        <v/>
      </c>
      <c r="AJ182" s="16" t="str">
        <f>IF($A182="","",IF(OR(AI182="",V182=""),"Thiếu dữ liệu",IF(AND(AI182&lt;='THAM SỐ'!$B$29,ABS(V182)&lt;='THAM SỐ'!$B$28),"Đạt","Không đạt")))</f>
        <v/>
      </c>
      <c r="AK182" s="16" t="str">
        <f t="shared" si="28"/>
        <v/>
      </c>
      <c r="AL182" s="16" t="str">
        <f>IF($A182="","",TRIM(IF(T182=0,"Không có lệnh; ","")&amp;IF(N(N182)&gt;0,"Dừng ngoài lệnh; ","")&amp;IF(N(J182)&gt;0,"Quá tốc độ; ","")&amp;IF(N(K182)&gt;0,"Lái quá 4h; ","")&amp;IF(N(L182)&gt;0,"Không tắt máy; ","")&amp;IF(OR(P182&lt;&gt;"Đủ",Q182&lt;&gt;"Đủ",R182&lt;&gt;"Đủ"),"Thiếu ảnh; ","")&amp;IF(S182&lt;&gt;"Đạt","Lốp chưa đạt; ","")&amp;IF(N(W182)&gt;'THAM SỐ'!$B$27,"Có mặt quá giờ; ","")&amp;IF(N(X182)&gt;'THAM SỐ'!$B$25,"Lái quá giờ ngày; ","")&amp;IF(ISNUMBER(V182),IF(ABS(V182)&gt;'THAM SỐ'!$B$28,"Lệch km; ",""),"")))</f>
        <v/>
      </c>
      <c r="AM182" s="29"/>
      <c r="AN182" s="30"/>
      <c r="AO182" s="28" t="str">
        <f t="shared" si="29"/>
        <v/>
      </c>
      <c r="AP182" s="21" t="str">
        <f>IF(OR($A182="",AO182=""),"",IF(AG182=0,0,ROUND((AC182*'THAM SỐ'!$B$18+AD182*'THAM SỐ'!$B$19+AE182*'THAM SỐ'!$B$20+AF182*'THAM SỐ'!$B$21)*MIN(1,AO182/AG182),0)))</f>
        <v/>
      </c>
      <c r="AQ182" s="18"/>
    </row>
    <row r="183" spans="1:43" x14ac:dyDescent="0.45">
      <c r="A183" s="17"/>
      <c r="B183" s="18"/>
      <c r="C183" s="18"/>
      <c r="D183" s="25"/>
      <c r="E183" s="26"/>
      <c r="F183" s="26"/>
      <c r="G183" s="20"/>
      <c r="H183" s="20"/>
      <c r="I183" s="18"/>
      <c r="J183" s="18"/>
      <c r="K183" s="18"/>
      <c r="L183" s="18"/>
      <c r="M183" s="18"/>
      <c r="N183" s="18"/>
      <c r="O183" s="18"/>
      <c r="P183" s="18"/>
      <c r="Q183" s="18"/>
      <c r="R183" s="18"/>
      <c r="S183" s="18"/>
      <c r="T183" s="16" t="str">
        <f>IF($A183="","",COUNTIFS('LỆNH ĐIỀU XE'!$B$5:$B$604,$A183,'LỆNH ĐIỀU XE'!$C$5:$C$604,$B183))</f>
        <v/>
      </c>
      <c r="U183" s="27" t="str">
        <f>IF($A183="","",SUMIFS('LỆNH ĐIỀU XE'!$J$5:$J$604,'LỆNH ĐIỀU XE'!$B$5:$B$604,$A183,'LỆNH ĐIỀU XE'!$C$5:$C$604,$B183))</f>
        <v/>
      </c>
      <c r="V183" s="22" t="str">
        <f t="shared" si="20"/>
        <v/>
      </c>
      <c r="W183" s="28" t="str">
        <f t="shared" si="21"/>
        <v/>
      </c>
      <c r="X183" s="28" t="str">
        <f t="shared" si="22"/>
        <v/>
      </c>
      <c r="Y183" s="28" t="str">
        <f t="shared" si="23"/>
        <v/>
      </c>
      <c r="Z183" s="22" t="str">
        <f t="shared" si="24"/>
        <v/>
      </c>
      <c r="AA183" s="28" t="str">
        <f t="shared" si="25"/>
        <v/>
      </c>
      <c r="AB183" s="28" t="str">
        <f t="shared" si="26"/>
        <v/>
      </c>
      <c r="AC183" s="28" t="str">
        <f>IF($A183="","",SUMIFS('CHẶNG TĂNG CA'!$E$5:$E$304,'CHẶNG TĂNG CA'!$A$5:$A$304,$A183,'CHẶNG TĂNG CA'!$B$5:$B$304,$B183))</f>
        <v/>
      </c>
      <c r="AD183" s="28" t="str">
        <f>IF($A183="","",SUMIFS('CHẶNG TĂNG CA'!$F$5:$F$304,'CHẶNG TĂNG CA'!$A$5:$A$304,$A183,'CHẶNG TĂNG CA'!$B$5:$B$304,$B183))</f>
        <v/>
      </c>
      <c r="AE183" s="28" t="str">
        <f>IF($A183="","",SUMIFS('CHẶNG TĂNG CA'!$G$5:$G$304,'CHẶNG TĂNG CA'!$A$5:$A$304,$A183,'CHẶNG TĂNG CA'!$B$5:$B$304,$B183))</f>
        <v/>
      </c>
      <c r="AF183" s="28" t="str">
        <f>IF($A183="","",SUMIFS('CHẶNG TĂNG CA'!$H$5:$H$304,'CHẶNG TĂNG CA'!$A$5:$A$304,$A183,'CHẶNG TĂNG CA'!$B$5:$B$304,$B183))</f>
        <v/>
      </c>
      <c r="AG183" s="28" t="str">
        <f t="shared" si="27"/>
        <v/>
      </c>
      <c r="AH183" s="16" t="str">
        <f>IF($A183="","",IF(COUNTIFS('LỆNH ĐIỀU XE'!$B$5:$B$604,$A183,'LỆNH ĐIỀU XE'!$C$5:$C$604,$B183,'LỆNH ĐIỀU XE'!$N$5:$N$604,"Có")&gt;0,"Có","Không"))</f>
        <v/>
      </c>
      <c r="AI183" s="16" t="str">
        <f>IF(OR($A183="",H183="",N(T183)=0),"",IF(_xlfn.MAXIFS('LỆNH ĐIỀU XE'!$U$5:$U$604,'LỆNH ĐIỀU XE'!$B$5:$B$604,$A183,'LỆNH ĐIỀU XE'!$C$5:$C$604,$B183)=0,"",ROUND((H183+(H183&lt;4/24)-_xlfn.MAXIFS('LỆNH ĐIỀU XE'!$U$5:$U$604,'LỆNH ĐIỀU XE'!$B$5:$B$604,$A183,'LỆNH ĐIỀU XE'!$C$5:$C$604,$B183))*1440,0)))</f>
        <v/>
      </c>
      <c r="AJ183" s="16" t="str">
        <f>IF($A183="","",IF(OR(AI183="",V183=""),"Thiếu dữ liệu",IF(AND(AI183&lt;='THAM SỐ'!$B$29,ABS(V183)&lt;='THAM SỐ'!$B$28),"Đạt","Không đạt")))</f>
        <v/>
      </c>
      <c r="AK183" s="16" t="str">
        <f t="shared" si="28"/>
        <v/>
      </c>
      <c r="AL183" s="16" t="str">
        <f>IF($A183="","",TRIM(IF(T183=0,"Không có lệnh; ","")&amp;IF(N(N183)&gt;0,"Dừng ngoài lệnh; ","")&amp;IF(N(J183)&gt;0,"Quá tốc độ; ","")&amp;IF(N(K183)&gt;0,"Lái quá 4h; ","")&amp;IF(N(L183)&gt;0,"Không tắt máy; ","")&amp;IF(OR(P183&lt;&gt;"Đủ",Q183&lt;&gt;"Đủ",R183&lt;&gt;"Đủ"),"Thiếu ảnh; ","")&amp;IF(S183&lt;&gt;"Đạt","Lốp chưa đạt; ","")&amp;IF(N(W183)&gt;'THAM SỐ'!$B$27,"Có mặt quá giờ; ","")&amp;IF(N(X183)&gt;'THAM SỐ'!$B$25,"Lái quá giờ ngày; ","")&amp;IF(ISNUMBER(V183),IF(ABS(V183)&gt;'THAM SỐ'!$B$28,"Lệch km; ",""),"")))</f>
        <v/>
      </c>
      <c r="AM183" s="29"/>
      <c r="AN183" s="30"/>
      <c r="AO183" s="28" t="str">
        <f t="shared" si="29"/>
        <v/>
      </c>
      <c r="AP183" s="21" t="str">
        <f>IF(OR($A183="",AO183=""),"",IF(AG183=0,0,ROUND((AC183*'THAM SỐ'!$B$18+AD183*'THAM SỐ'!$B$19+AE183*'THAM SỐ'!$B$20+AF183*'THAM SỐ'!$B$21)*MIN(1,AO183/AG183),0)))</f>
        <v/>
      </c>
      <c r="AQ183" s="18"/>
    </row>
    <row r="184" spans="1:43" x14ac:dyDescent="0.45">
      <c r="A184" s="17"/>
      <c r="B184" s="18"/>
      <c r="C184" s="18"/>
      <c r="D184" s="25"/>
      <c r="E184" s="26"/>
      <c r="F184" s="26"/>
      <c r="G184" s="20"/>
      <c r="H184" s="20"/>
      <c r="I184" s="18"/>
      <c r="J184" s="18"/>
      <c r="K184" s="18"/>
      <c r="L184" s="18"/>
      <c r="M184" s="18"/>
      <c r="N184" s="18"/>
      <c r="O184" s="18"/>
      <c r="P184" s="18"/>
      <c r="Q184" s="18"/>
      <c r="R184" s="18"/>
      <c r="S184" s="18"/>
      <c r="T184" s="16" t="str">
        <f>IF($A184="","",COUNTIFS('LỆNH ĐIỀU XE'!$B$5:$B$604,$A184,'LỆNH ĐIỀU XE'!$C$5:$C$604,$B184))</f>
        <v/>
      </c>
      <c r="U184" s="27" t="str">
        <f>IF($A184="","",SUMIFS('LỆNH ĐIỀU XE'!$J$5:$J$604,'LỆNH ĐIỀU XE'!$B$5:$B$604,$A184,'LỆNH ĐIỀU XE'!$C$5:$C$604,$B184))</f>
        <v/>
      </c>
      <c r="V184" s="22" t="str">
        <f t="shared" si="20"/>
        <v/>
      </c>
      <c r="W184" s="28" t="str">
        <f t="shared" si="21"/>
        <v/>
      </c>
      <c r="X184" s="28" t="str">
        <f t="shared" si="22"/>
        <v/>
      </c>
      <c r="Y184" s="28" t="str">
        <f t="shared" si="23"/>
        <v/>
      </c>
      <c r="Z184" s="22" t="str">
        <f t="shared" si="24"/>
        <v/>
      </c>
      <c r="AA184" s="28" t="str">
        <f t="shared" si="25"/>
        <v/>
      </c>
      <c r="AB184" s="28" t="str">
        <f t="shared" si="26"/>
        <v/>
      </c>
      <c r="AC184" s="28" t="str">
        <f>IF($A184="","",SUMIFS('CHẶNG TĂNG CA'!$E$5:$E$304,'CHẶNG TĂNG CA'!$A$5:$A$304,$A184,'CHẶNG TĂNG CA'!$B$5:$B$304,$B184))</f>
        <v/>
      </c>
      <c r="AD184" s="28" t="str">
        <f>IF($A184="","",SUMIFS('CHẶNG TĂNG CA'!$F$5:$F$304,'CHẶNG TĂNG CA'!$A$5:$A$304,$A184,'CHẶNG TĂNG CA'!$B$5:$B$304,$B184))</f>
        <v/>
      </c>
      <c r="AE184" s="28" t="str">
        <f>IF($A184="","",SUMIFS('CHẶNG TĂNG CA'!$G$5:$G$304,'CHẶNG TĂNG CA'!$A$5:$A$304,$A184,'CHẶNG TĂNG CA'!$B$5:$B$304,$B184))</f>
        <v/>
      </c>
      <c r="AF184" s="28" t="str">
        <f>IF($A184="","",SUMIFS('CHẶNG TĂNG CA'!$H$5:$H$304,'CHẶNG TĂNG CA'!$A$5:$A$304,$A184,'CHẶNG TĂNG CA'!$B$5:$B$304,$B184))</f>
        <v/>
      </c>
      <c r="AG184" s="28" t="str">
        <f t="shared" si="27"/>
        <v/>
      </c>
      <c r="AH184" s="16" t="str">
        <f>IF($A184="","",IF(COUNTIFS('LỆNH ĐIỀU XE'!$B$5:$B$604,$A184,'LỆNH ĐIỀU XE'!$C$5:$C$604,$B184,'LỆNH ĐIỀU XE'!$N$5:$N$604,"Có")&gt;0,"Có","Không"))</f>
        <v/>
      </c>
      <c r="AI184" s="16" t="str">
        <f>IF(OR($A184="",H184="",N(T184)=0),"",IF(_xlfn.MAXIFS('LỆNH ĐIỀU XE'!$U$5:$U$604,'LỆNH ĐIỀU XE'!$B$5:$B$604,$A184,'LỆNH ĐIỀU XE'!$C$5:$C$604,$B184)=0,"",ROUND((H184+(H184&lt;4/24)-_xlfn.MAXIFS('LỆNH ĐIỀU XE'!$U$5:$U$604,'LỆNH ĐIỀU XE'!$B$5:$B$604,$A184,'LỆNH ĐIỀU XE'!$C$5:$C$604,$B184))*1440,0)))</f>
        <v/>
      </c>
      <c r="AJ184" s="16" t="str">
        <f>IF($A184="","",IF(OR(AI184="",V184=""),"Thiếu dữ liệu",IF(AND(AI184&lt;='THAM SỐ'!$B$29,ABS(V184)&lt;='THAM SỐ'!$B$28),"Đạt","Không đạt")))</f>
        <v/>
      </c>
      <c r="AK184" s="16" t="str">
        <f t="shared" si="28"/>
        <v/>
      </c>
      <c r="AL184" s="16" t="str">
        <f>IF($A184="","",TRIM(IF(T184=0,"Không có lệnh; ","")&amp;IF(N(N184)&gt;0,"Dừng ngoài lệnh; ","")&amp;IF(N(J184)&gt;0,"Quá tốc độ; ","")&amp;IF(N(K184)&gt;0,"Lái quá 4h; ","")&amp;IF(N(L184)&gt;0,"Không tắt máy; ","")&amp;IF(OR(P184&lt;&gt;"Đủ",Q184&lt;&gt;"Đủ",R184&lt;&gt;"Đủ"),"Thiếu ảnh; ","")&amp;IF(S184&lt;&gt;"Đạt","Lốp chưa đạt; ","")&amp;IF(N(W184)&gt;'THAM SỐ'!$B$27,"Có mặt quá giờ; ","")&amp;IF(N(X184)&gt;'THAM SỐ'!$B$25,"Lái quá giờ ngày; ","")&amp;IF(ISNUMBER(V184),IF(ABS(V184)&gt;'THAM SỐ'!$B$28,"Lệch km; ",""),"")))</f>
        <v/>
      </c>
      <c r="AM184" s="29"/>
      <c r="AN184" s="30"/>
      <c r="AO184" s="28" t="str">
        <f t="shared" si="29"/>
        <v/>
      </c>
      <c r="AP184" s="21" t="str">
        <f>IF(OR($A184="",AO184=""),"",IF(AG184=0,0,ROUND((AC184*'THAM SỐ'!$B$18+AD184*'THAM SỐ'!$B$19+AE184*'THAM SỐ'!$B$20+AF184*'THAM SỐ'!$B$21)*MIN(1,AO184/AG184),0)))</f>
        <v/>
      </c>
      <c r="AQ184" s="18"/>
    </row>
    <row r="185" spans="1:43" x14ac:dyDescent="0.45">
      <c r="A185" s="17"/>
      <c r="B185" s="18"/>
      <c r="C185" s="18"/>
      <c r="D185" s="25"/>
      <c r="E185" s="26"/>
      <c r="F185" s="26"/>
      <c r="G185" s="20"/>
      <c r="H185" s="20"/>
      <c r="I185" s="18"/>
      <c r="J185" s="18"/>
      <c r="K185" s="18"/>
      <c r="L185" s="18"/>
      <c r="M185" s="18"/>
      <c r="N185" s="18"/>
      <c r="O185" s="18"/>
      <c r="P185" s="18"/>
      <c r="Q185" s="18"/>
      <c r="R185" s="18"/>
      <c r="S185" s="18"/>
      <c r="T185" s="16" t="str">
        <f>IF($A185="","",COUNTIFS('LỆNH ĐIỀU XE'!$B$5:$B$604,$A185,'LỆNH ĐIỀU XE'!$C$5:$C$604,$B185))</f>
        <v/>
      </c>
      <c r="U185" s="27" t="str">
        <f>IF($A185="","",SUMIFS('LỆNH ĐIỀU XE'!$J$5:$J$604,'LỆNH ĐIỀU XE'!$B$5:$B$604,$A185,'LỆNH ĐIỀU XE'!$C$5:$C$604,$B185))</f>
        <v/>
      </c>
      <c r="V185" s="22" t="str">
        <f t="shared" si="20"/>
        <v/>
      </c>
      <c r="W185" s="28" t="str">
        <f t="shared" si="21"/>
        <v/>
      </c>
      <c r="X185" s="28" t="str">
        <f t="shared" si="22"/>
        <v/>
      </c>
      <c r="Y185" s="28" t="str">
        <f t="shared" si="23"/>
        <v/>
      </c>
      <c r="Z185" s="22" t="str">
        <f t="shared" si="24"/>
        <v/>
      </c>
      <c r="AA185" s="28" t="str">
        <f t="shared" si="25"/>
        <v/>
      </c>
      <c r="AB185" s="28" t="str">
        <f t="shared" si="26"/>
        <v/>
      </c>
      <c r="AC185" s="28" t="str">
        <f>IF($A185="","",SUMIFS('CHẶNG TĂNG CA'!$E$5:$E$304,'CHẶNG TĂNG CA'!$A$5:$A$304,$A185,'CHẶNG TĂNG CA'!$B$5:$B$304,$B185))</f>
        <v/>
      </c>
      <c r="AD185" s="28" t="str">
        <f>IF($A185="","",SUMIFS('CHẶNG TĂNG CA'!$F$5:$F$304,'CHẶNG TĂNG CA'!$A$5:$A$304,$A185,'CHẶNG TĂNG CA'!$B$5:$B$304,$B185))</f>
        <v/>
      </c>
      <c r="AE185" s="28" t="str">
        <f>IF($A185="","",SUMIFS('CHẶNG TĂNG CA'!$G$5:$G$304,'CHẶNG TĂNG CA'!$A$5:$A$304,$A185,'CHẶNG TĂNG CA'!$B$5:$B$304,$B185))</f>
        <v/>
      </c>
      <c r="AF185" s="28" t="str">
        <f>IF($A185="","",SUMIFS('CHẶNG TĂNG CA'!$H$5:$H$304,'CHẶNG TĂNG CA'!$A$5:$A$304,$A185,'CHẶNG TĂNG CA'!$B$5:$B$304,$B185))</f>
        <v/>
      </c>
      <c r="AG185" s="28" t="str">
        <f t="shared" si="27"/>
        <v/>
      </c>
      <c r="AH185" s="16" t="str">
        <f>IF($A185="","",IF(COUNTIFS('LỆNH ĐIỀU XE'!$B$5:$B$604,$A185,'LỆNH ĐIỀU XE'!$C$5:$C$604,$B185,'LỆNH ĐIỀU XE'!$N$5:$N$604,"Có")&gt;0,"Có","Không"))</f>
        <v/>
      </c>
      <c r="AI185" s="16" t="str">
        <f>IF(OR($A185="",H185="",N(T185)=0),"",IF(_xlfn.MAXIFS('LỆNH ĐIỀU XE'!$U$5:$U$604,'LỆNH ĐIỀU XE'!$B$5:$B$604,$A185,'LỆNH ĐIỀU XE'!$C$5:$C$604,$B185)=0,"",ROUND((H185+(H185&lt;4/24)-_xlfn.MAXIFS('LỆNH ĐIỀU XE'!$U$5:$U$604,'LỆNH ĐIỀU XE'!$B$5:$B$604,$A185,'LỆNH ĐIỀU XE'!$C$5:$C$604,$B185))*1440,0)))</f>
        <v/>
      </c>
      <c r="AJ185" s="16" t="str">
        <f>IF($A185="","",IF(OR(AI185="",V185=""),"Thiếu dữ liệu",IF(AND(AI185&lt;='THAM SỐ'!$B$29,ABS(V185)&lt;='THAM SỐ'!$B$28),"Đạt","Không đạt")))</f>
        <v/>
      </c>
      <c r="AK185" s="16" t="str">
        <f t="shared" si="28"/>
        <v/>
      </c>
      <c r="AL185" s="16" t="str">
        <f>IF($A185="","",TRIM(IF(T185=0,"Không có lệnh; ","")&amp;IF(N(N185)&gt;0,"Dừng ngoài lệnh; ","")&amp;IF(N(J185)&gt;0,"Quá tốc độ; ","")&amp;IF(N(K185)&gt;0,"Lái quá 4h; ","")&amp;IF(N(L185)&gt;0,"Không tắt máy; ","")&amp;IF(OR(P185&lt;&gt;"Đủ",Q185&lt;&gt;"Đủ",R185&lt;&gt;"Đủ"),"Thiếu ảnh; ","")&amp;IF(S185&lt;&gt;"Đạt","Lốp chưa đạt; ","")&amp;IF(N(W185)&gt;'THAM SỐ'!$B$27,"Có mặt quá giờ; ","")&amp;IF(N(X185)&gt;'THAM SỐ'!$B$25,"Lái quá giờ ngày; ","")&amp;IF(ISNUMBER(V185),IF(ABS(V185)&gt;'THAM SỐ'!$B$28,"Lệch km; ",""),"")))</f>
        <v/>
      </c>
      <c r="AM185" s="29"/>
      <c r="AN185" s="30"/>
      <c r="AO185" s="28" t="str">
        <f t="shared" si="29"/>
        <v/>
      </c>
      <c r="AP185" s="21" t="str">
        <f>IF(OR($A185="",AO185=""),"",IF(AG185=0,0,ROUND((AC185*'THAM SỐ'!$B$18+AD185*'THAM SỐ'!$B$19+AE185*'THAM SỐ'!$B$20+AF185*'THAM SỐ'!$B$21)*MIN(1,AO185/AG185),0)))</f>
        <v/>
      </c>
      <c r="AQ185" s="18"/>
    </row>
    <row r="186" spans="1:43" x14ac:dyDescent="0.45">
      <c r="A186" s="17"/>
      <c r="B186" s="18"/>
      <c r="C186" s="18"/>
      <c r="D186" s="25"/>
      <c r="E186" s="26"/>
      <c r="F186" s="26"/>
      <c r="G186" s="20"/>
      <c r="H186" s="20"/>
      <c r="I186" s="18"/>
      <c r="J186" s="18"/>
      <c r="K186" s="18"/>
      <c r="L186" s="18"/>
      <c r="M186" s="18"/>
      <c r="N186" s="18"/>
      <c r="O186" s="18"/>
      <c r="P186" s="18"/>
      <c r="Q186" s="18"/>
      <c r="R186" s="18"/>
      <c r="S186" s="18"/>
      <c r="T186" s="16" t="str">
        <f>IF($A186="","",COUNTIFS('LỆNH ĐIỀU XE'!$B$5:$B$604,$A186,'LỆNH ĐIỀU XE'!$C$5:$C$604,$B186))</f>
        <v/>
      </c>
      <c r="U186" s="27" t="str">
        <f>IF($A186="","",SUMIFS('LỆNH ĐIỀU XE'!$J$5:$J$604,'LỆNH ĐIỀU XE'!$B$5:$B$604,$A186,'LỆNH ĐIỀU XE'!$C$5:$C$604,$B186))</f>
        <v/>
      </c>
      <c r="V186" s="22" t="str">
        <f t="shared" si="20"/>
        <v/>
      </c>
      <c r="W186" s="28" t="str">
        <f t="shared" si="21"/>
        <v/>
      </c>
      <c r="X186" s="28" t="str">
        <f t="shared" si="22"/>
        <v/>
      </c>
      <c r="Y186" s="28" t="str">
        <f t="shared" si="23"/>
        <v/>
      </c>
      <c r="Z186" s="22" t="str">
        <f t="shared" si="24"/>
        <v/>
      </c>
      <c r="AA186" s="28" t="str">
        <f t="shared" si="25"/>
        <v/>
      </c>
      <c r="AB186" s="28" t="str">
        <f t="shared" si="26"/>
        <v/>
      </c>
      <c r="AC186" s="28" t="str">
        <f>IF($A186="","",SUMIFS('CHẶNG TĂNG CA'!$E$5:$E$304,'CHẶNG TĂNG CA'!$A$5:$A$304,$A186,'CHẶNG TĂNG CA'!$B$5:$B$304,$B186))</f>
        <v/>
      </c>
      <c r="AD186" s="28" t="str">
        <f>IF($A186="","",SUMIFS('CHẶNG TĂNG CA'!$F$5:$F$304,'CHẶNG TĂNG CA'!$A$5:$A$304,$A186,'CHẶNG TĂNG CA'!$B$5:$B$304,$B186))</f>
        <v/>
      </c>
      <c r="AE186" s="28" t="str">
        <f>IF($A186="","",SUMIFS('CHẶNG TĂNG CA'!$G$5:$G$304,'CHẶNG TĂNG CA'!$A$5:$A$304,$A186,'CHẶNG TĂNG CA'!$B$5:$B$304,$B186))</f>
        <v/>
      </c>
      <c r="AF186" s="28" t="str">
        <f>IF($A186="","",SUMIFS('CHẶNG TĂNG CA'!$H$5:$H$304,'CHẶNG TĂNG CA'!$A$5:$A$304,$A186,'CHẶNG TĂNG CA'!$B$5:$B$304,$B186))</f>
        <v/>
      </c>
      <c r="AG186" s="28" t="str">
        <f t="shared" si="27"/>
        <v/>
      </c>
      <c r="AH186" s="16" t="str">
        <f>IF($A186="","",IF(COUNTIFS('LỆNH ĐIỀU XE'!$B$5:$B$604,$A186,'LỆNH ĐIỀU XE'!$C$5:$C$604,$B186,'LỆNH ĐIỀU XE'!$N$5:$N$604,"Có")&gt;0,"Có","Không"))</f>
        <v/>
      </c>
      <c r="AI186" s="16" t="str">
        <f>IF(OR($A186="",H186="",N(T186)=0),"",IF(_xlfn.MAXIFS('LỆNH ĐIỀU XE'!$U$5:$U$604,'LỆNH ĐIỀU XE'!$B$5:$B$604,$A186,'LỆNH ĐIỀU XE'!$C$5:$C$604,$B186)=0,"",ROUND((H186+(H186&lt;4/24)-_xlfn.MAXIFS('LỆNH ĐIỀU XE'!$U$5:$U$604,'LỆNH ĐIỀU XE'!$B$5:$B$604,$A186,'LỆNH ĐIỀU XE'!$C$5:$C$604,$B186))*1440,0)))</f>
        <v/>
      </c>
      <c r="AJ186" s="16" t="str">
        <f>IF($A186="","",IF(OR(AI186="",V186=""),"Thiếu dữ liệu",IF(AND(AI186&lt;='THAM SỐ'!$B$29,ABS(V186)&lt;='THAM SỐ'!$B$28),"Đạt","Không đạt")))</f>
        <v/>
      </c>
      <c r="AK186" s="16" t="str">
        <f t="shared" si="28"/>
        <v/>
      </c>
      <c r="AL186" s="16" t="str">
        <f>IF($A186="","",TRIM(IF(T186=0,"Không có lệnh; ","")&amp;IF(N(N186)&gt;0,"Dừng ngoài lệnh; ","")&amp;IF(N(J186)&gt;0,"Quá tốc độ; ","")&amp;IF(N(K186)&gt;0,"Lái quá 4h; ","")&amp;IF(N(L186)&gt;0,"Không tắt máy; ","")&amp;IF(OR(P186&lt;&gt;"Đủ",Q186&lt;&gt;"Đủ",R186&lt;&gt;"Đủ"),"Thiếu ảnh; ","")&amp;IF(S186&lt;&gt;"Đạt","Lốp chưa đạt; ","")&amp;IF(N(W186)&gt;'THAM SỐ'!$B$27,"Có mặt quá giờ; ","")&amp;IF(N(X186)&gt;'THAM SỐ'!$B$25,"Lái quá giờ ngày; ","")&amp;IF(ISNUMBER(V186),IF(ABS(V186)&gt;'THAM SỐ'!$B$28,"Lệch km; ",""),"")))</f>
        <v/>
      </c>
      <c r="AM186" s="29"/>
      <c r="AN186" s="30"/>
      <c r="AO186" s="28" t="str">
        <f t="shared" si="29"/>
        <v/>
      </c>
      <c r="AP186" s="21" t="str">
        <f>IF(OR($A186="",AO186=""),"",IF(AG186=0,0,ROUND((AC186*'THAM SỐ'!$B$18+AD186*'THAM SỐ'!$B$19+AE186*'THAM SỐ'!$B$20+AF186*'THAM SỐ'!$B$21)*MIN(1,AO186/AG186),0)))</f>
        <v/>
      </c>
      <c r="AQ186" s="18"/>
    </row>
    <row r="187" spans="1:43" x14ac:dyDescent="0.45">
      <c r="A187" s="17"/>
      <c r="B187" s="18"/>
      <c r="C187" s="18"/>
      <c r="D187" s="25"/>
      <c r="E187" s="26"/>
      <c r="F187" s="26"/>
      <c r="G187" s="20"/>
      <c r="H187" s="20"/>
      <c r="I187" s="18"/>
      <c r="J187" s="18"/>
      <c r="K187" s="18"/>
      <c r="L187" s="18"/>
      <c r="M187" s="18"/>
      <c r="N187" s="18"/>
      <c r="O187" s="18"/>
      <c r="P187" s="18"/>
      <c r="Q187" s="18"/>
      <c r="R187" s="18"/>
      <c r="S187" s="18"/>
      <c r="T187" s="16" t="str">
        <f>IF($A187="","",COUNTIFS('LỆNH ĐIỀU XE'!$B$5:$B$604,$A187,'LỆNH ĐIỀU XE'!$C$5:$C$604,$B187))</f>
        <v/>
      </c>
      <c r="U187" s="27" t="str">
        <f>IF($A187="","",SUMIFS('LỆNH ĐIỀU XE'!$J$5:$J$604,'LỆNH ĐIỀU XE'!$B$5:$B$604,$A187,'LỆNH ĐIỀU XE'!$C$5:$C$604,$B187))</f>
        <v/>
      </c>
      <c r="V187" s="22" t="str">
        <f t="shared" si="20"/>
        <v/>
      </c>
      <c r="W187" s="28" t="str">
        <f t="shared" si="21"/>
        <v/>
      </c>
      <c r="X187" s="28" t="str">
        <f t="shared" si="22"/>
        <v/>
      </c>
      <c r="Y187" s="28" t="str">
        <f t="shared" si="23"/>
        <v/>
      </c>
      <c r="Z187" s="22" t="str">
        <f t="shared" si="24"/>
        <v/>
      </c>
      <c r="AA187" s="28" t="str">
        <f t="shared" si="25"/>
        <v/>
      </c>
      <c r="AB187" s="28" t="str">
        <f t="shared" si="26"/>
        <v/>
      </c>
      <c r="AC187" s="28" t="str">
        <f>IF($A187="","",SUMIFS('CHẶNG TĂNG CA'!$E$5:$E$304,'CHẶNG TĂNG CA'!$A$5:$A$304,$A187,'CHẶNG TĂNG CA'!$B$5:$B$304,$B187))</f>
        <v/>
      </c>
      <c r="AD187" s="28" t="str">
        <f>IF($A187="","",SUMIFS('CHẶNG TĂNG CA'!$F$5:$F$304,'CHẶNG TĂNG CA'!$A$5:$A$304,$A187,'CHẶNG TĂNG CA'!$B$5:$B$304,$B187))</f>
        <v/>
      </c>
      <c r="AE187" s="28" t="str">
        <f>IF($A187="","",SUMIFS('CHẶNG TĂNG CA'!$G$5:$G$304,'CHẶNG TĂNG CA'!$A$5:$A$304,$A187,'CHẶNG TĂNG CA'!$B$5:$B$304,$B187))</f>
        <v/>
      </c>
      <c r="AF187" s="28" t="str">
        <f>IF($A187="","",SUMIFS('CHẶNG TĂNG CA'!$H$5:$H$304,'CHẶNG TĂNG CA'!$A$5:$A$304,$A187,'CHẶNG TĂNG CA'!$B$5:$B$304,$B187))</f>
        <v/>
      </c>
      <c r="AG187" s="28" t="str">
        <f t="shared" si="27"/>
        <v/>
      </c>
      <c r="AH187" s="16" t="str">
        <f>IF($A187="","",IF(COUNTIFS('LỆNH ĐIỀU XE'!$B$5:$B$604,$A187,'LỆNH ĐIỀU XE'!$C$5:$C$604,$B187,'LỆNH ĐIỀU XE'!$N$5:$N$604,"Có")&gt;0,"Có","Không"))</f>
        <v/>
      </c>
      <c r="AI187" s="16" t="str">
        <f>IF(OR($A187="",H187="",N(T187)=0),"",IF(_xlfn.MAXIFS('LỆNH ĐIỀU XE'!$U$5:$U$604,'LỆNH ĐIỀU XE'!$B$5:$B$604,$A187,'LỆNH ĐIỀU XE'!$C$5:$C$604,$B187)=0,"",ROUND((H187+(H187&lt;4/24)-_xlfn.MAXIFS('LỆNH ĐIỀU XE'!$U$5:$U$604,'LỆNH ĐIỀU XE'!$B$5:$B$604,$A187,'LỆNH ĐIỀU XE'!$C$5:$C$604,$B187))*1440,0)))</f>
        <v/>
      </c>
      <c r="AJ187" s="16" t="str">
        <f>IF($A187="","",IF(OR(AI187="",V187=""),"Thiếu dữ liệu",IF(AND(AI187&lt;='THAM SỐ'!$B$29,ABS(V187)&lt;='THAM SỐ'!$B$28),"Đạt","Không đạt")))</f>
        <v/>
      </c>
      <c r="AK187" s="16" t="str">
        <f t="shared" si="28"/>
        <v/>
      </c>
      <c r="AL187" s="16" t="str">
        <f>IF($A187="","",TRIM(IF(T187=0,"Không có lệnh; ","")&amp;IF(N(N187)&gt;0,"Dừng ngoài lệnh; ","")&amp;IF(N(J187)&gt;0,"Quá tốc độ; ","")&amp;IF(N(K187)&gt;0,"Lái quá 4h; ","")&amp;IF(N(L187)&gt;0,"Không tắt máy; ","")&amp;IF(OR(P187&lt;&gt;"Đủ",Q187&lt;&gt;"Đủ",R187&lt;&gt;"Đủ"),"Thiếu ảnh; ","")&amp;IF(S187&lt;&gt;"Đạt","Lốp chưa đạt; ","")&amp;IF(N(W187)&gt;'THAM SỐ'!$B$27,"Có mặt quá giờ; ","")&amp;IF(N(X187)&gt;'THAM SỐ'!$B$25,"Lái quá giờ ngày; ","")&amp;IF(ISNUMBER(V187),IF(ABS(V187)&gt;'THAM SỐ'!$B$28,"Lệch km; ",""),"")))</f>
        <v/>
      </c>
      <c r="AM187" s="29"/>
      <c r="AN187" s="30"/>
      <c r="AO187" s="28" t="str">
        <f t="shared" si="29"/>
        <v/>
      </c>
      <c r="AP187" s="21" t="str">
        <f>IF(OR($A187="",AO187=""),"",IF(AG187=0,0,ROUND((AC187*'THAM SỐ'!$B$18+AD187*'THAM SỐ'!$B$19+AE187*'THAM SỐ'!$B$20+AF187*'THAM SỐ'!$B$21)*MIN(1,AO187/AG187),0)))</f>
        <v/>
      </c>
      <c r="AQ187" s="18"/>
    </row>
    <row r="188" spans="1:43" x14ac:dyDescent="0.45">
      <c r="A188" s="17"/>
      <c r="B188" s="18"/>
      <c r="C188" s="18"/>
      <c r="D188" s="25"/>
      <c r="E188" s="26"/>
      <c r="F188" s="26"/>
      <c r="G188" s="20"/>
      <c r="H188" s="20"/>
      <c r="I188" s="18"/>
      <c r="J188" s="18"/>
      <c r="K188" s="18"/>
      <c r="L188" s="18"/>
      <c r="M188" s="18"/>
      <c r="N188" s="18"/>
      <c r="O188" s="18"/>
      <c r="P188" s="18"/>
      <c r="Q188" s="18"/>
      <c r="R188" s="18"/>
      <c r="S188" s="18"/>
      <c r="T188" s="16" t="str">
        <f>IF($A188="","",COUNTIFS('LỆNH ĐIỀU XE'!$B$5:$B$604,$A188,'LỆNH ĐIỀU XE'!$C$5:$C$604,$B188))</f>
        <v/>
      </c>
      <c r="U188" s="27" t="str">
        <f>IF($A188="","",SUMIFS('LỆNH ĐIỀU XE'!$J$5:$J$604,'LỆNH ĐIỀU XE'!$B$5:$B$604,$A188,'LỆNH ĐIỀU XE'!$C$5:$C$604,$B188))</f>
        <v/>
      </c>
      <c r="V188" s="22" t="str">
        <f t="shared" si="20"/>
        <v/>
      </c>
      <c r="W188" s="28" t="str">
        <f t="shared" si="21"/>
        <v/>
      </c>
      <c r="X188" s="28" t="str">
        <f t="shared" si="22"/>
        <v/>
      </c>
      <c r="Y188" s="28" t="str">
        <f t="shared" si="23"/>
        <v/>
      </c>
      <c r="Z188" s="22" t="str">
        <f t="shared" si="24"/>
        <v/>
      </c>
      <c r="AA188" s="28" t="str">
        <f t="shared" si="25"/>
        <v/>
      </c>
      <c r="AB188" s="28" t="str">
        <f t="shared" si="26"/>
        <v/>
      </c>
      <c r="AC188" s="28" t="str">
        <f>IF($A188="","",SUMIFS('CHẶNG TĂNG CA'!$E$5:$E$304,'CHẶNG TĂNG CA'!$A$5:$A$304,$A188,'CHẶNG TĂNG CA'!$B$5:$B$304,$B188))</f>
        <v/>
      </c>
      <c r="AD188" s="28" t="str">
        <f>IF($A188="","",SUMIFS('CHẶNG TĂNG CA'!$F$5:$F$304,'CHẶNG TĂNG CA'!$A$5:$A$304,$A188,'CHẶNG TĂNG CA'!$B$5:$B$304,$B188))</f>
        <v/>
      </c>
      <c r="AE188" s="28" t="str">
        <f>IF($A188="","",SUMIFS('CHẶNG TĂNG CA'!$G$5:$G$304,'CHẶNG TĂNG CA'!$A$5:$A$304,$A188,'CHẶNG TĂNG CA'!$B$5:$B$304,$B188))</f>
        <v/>
      </c>
      <c r="AF188" s="28" t="str">
        <f>IF($A188="","",SUMIFS('CHẶNG TĂNG CA'!$H$5:$H$304,'CHẶNG TĂNG CA'!$A$5:$A$304,$A188,'CHẶNG TĂNG CA'!$B$5:$B$304,$B188))</f>
        <v/>
      </c>
      <c r="AG188" s="28" t="str">
        <f t="shared" si="27"/>
        <v/>
      </c>
      <c r="AH188" s="16" t="str">
        <f>IF($A188="","",IF(COUNTIFS('LỆNH ĐIỀU XE'!$B$5:$B$604,$A188,'LỆNH ĐIỀU XE'!$C$5:$C$604,$B188,'LỆNH ĐIỀU XE'!$N$5:$N$604,"Có")&gt;0,"Có","Không"))</f>
        <v/>
      </c>
      <c r="AI188" s="16" t="str">
        <f>IF(OR($A188="",H188="",N(T188)=0),"",IF(_xlfn.MAXIFS('LỆNH ĐIỀU XE'!$U$5:$U$604,'LỆNH ĐIỀU XE'!$B$5:$B$604,$A188,'LỆNH ĐIỀU XE'!$C$5:$C$604,$B188)=0,"",ROUND((H188+(H188&lt;4/24)-_xlfn.MAXIFS('LỆNH ĐIỀU XE'!$U$5:$U$604,'LỆNH ĐIỀU XE'!$B$5:$B$604,$A188,'LỆNH ĐIỀU XE'!$C$5:$C$604,$B188))*1440,0)))</f>
        <v/>
      </c>
      <c r="AJ188" s="16" t="str">
        <f>IF($A188="","",IF(OR(AI188="",V188=""),"Thiếu dữ liệu",IF(AND(AI188&lt;='THAM SỐ'!$B$29,ABS(V188)&lt;='THAM SỐ'!$B$28),"Đạt","Không đạt")))</f>
        <v/>
      </c>
      <c r="AK188" s="16" t="str">
        <f t="shared" si="28"/>
        <v/>
      </c>
      <c r="AL188" s="16" t="str">
        <f>IF($A188="","",TRIM(IF(T188=0,"Không có lệnh; ","")&amp;IF(N(N188)&gt;0,"Dừng ngoài lệnh; ","")&amp;IF(N(J188)&gt;0,"Quá tốc độ; ","")&amp;IF(N(K188)&gt;0,"Lái quá 4h; ","")&amp;IF(N(L188)&gt;0,"Không tắt máy; ","")&amp;IF(OR(P188&lt;&gt;"Đủ",Q188&lt;&gt;"Đủ",R188&lt;&gt;"Đủ"),"Thiếu ảnh; ","")&amp;IF(S188&lt;&gt;"Đạt","Lốp chưa đạt; ","")&amp;IF(N(W188)&gt;'THAM SỐ'!$B$27,"Có mặt quá giờ; ","")&amp;IF(N(X188)&gt;'THAM SỐ'!$B$25,"Lái quá giờ ngày; ","")&amp;IF(ISNUMBER(V188),IF(ABS(V188)&gt;'THAM SỐ'!$B$28,"Lệch km; ",""),"")))</f>
        <v/>
      </c>
      <c r="AM188" s="29"/>
      <c r="AN188" s="30"/>
      <c r="AO188" s="28" t="str">
        <f t="shared" si="29"/>
        <v/>
      </c>
      <c r="AP188" s="21" t="str">
        <f>IF(OR($A188="",AO188=""),"",IF(AG188=0,0,ROUND((AC188*'THAM SỐ'!$B$18+AD188*'THAM SỐ'!$B$19+AE188*'THAM SỐ'!$B$20+AF188*'THAM SỐ'!$B$21)*MIN(1,AO188/AG188),0)))</f>
        <v/>
      </c>
      <c r="AQ188" s="18"/>
    </row>
    <row r="189" spans="1:43" x14ac:dyDescent="0.45">
      <c r="A189" s="17"/>
      <c r="B189" s="18"/>
      <c r="C189" s="18"/>
      <c r="D189" s="25"/>
      <c r="E189" s="26"/>
      <c r="F189" s="26"/>
      <c r="G189" s="20"/>
      <c r="H189" s="20"/>
      <c r="I189" s="18"/>
      <c r="J189" s="18"/>
      <c r="K189" s="18"/>
      <c r="L189" s="18"/>
      <c r="M189" s="18"/>
      <c r="N189" s="18"/>
      <c r="O189" s="18"/>
      <c r="P189" s="18"/>
      <c r="Q189" s="18"/>
      <c r="R189" s="18"/>
      <c r="S189" s="18"/>
      <c r="T189" s="16" t="str">
        <f>IF($A189="","",COUNTIFS('LỆNH ĐIỀU XE'!$B$5:$B$604,$A189,'LỆNH ĐIỀU XE'!$C$5:$C$604,$B189))</f>
        <v/>
      </c>
      <c r="U189" s="27" t="str">
        <f>IF($A189="","",SUMIFS('LỆNH ĐIỀU XE'!$J$5:$J$604,'LỆNH ĐIỀU XE'!$B$5:$B$604,$A189,'LỆNH ĐIỀU XE'!$C$5:$C$604,$B189))</f>
        <v/>
      </c>
      <c r="V189" s="22" t="str">
        <f t="shared" si="20"/>
        <v/>
      </c>
      <c r="W189" s="28" t="str">
        <f t="shared" si="21"/>
        <v/>
      </c>
      <c r="X189" s="28" t="str">
        <f t="shared" si="22"/>
        <v/>
      </c>
      <c r="Y189" s="28" t="str">
        <f t="shared" si="23"/>
        <v/>
      </c>
      <c r="Z189" s="22" t="str">
        <f t="shared" si="24"/>
        <v/>
      </c>
      <c r="AA189" s="28" t="str">
        <f t="shared" si="25"/>
        <v/>
      </c>
      <c r="AB189" s="28" t="str">
        <f t="shared" si="26"/>
        <v/>
      </c>
      <c r="AC189" s="28" t="str">
        <f>IF($A189="","",SUMIFS('CHẶNG TĂNG CA'!$E$5:$E$304,'CHẶNG TĂNG CA'!$A$5:$A$304,$A189,'CHẶNG TĂNG CA'!$B$5:$B$304,$B189))</f>
        <v/>
      </c>
      <c r="AD189" s="28" t="str">
        <f>IF($A189="","",SUMIFS('CHẶNG TĂNG CA'!$F$5:$F$304,'CHẶNG TĂNG CA'!$A$5:$A$304,$A189,'CHẶNG TĂNG CA'!$B$5:$B$304,$B189))</f>
        <v/>
      </c>
      <c r="AE189" s="28" t="str">
        <f>IF($A189="","",SUMIFS('CHẶNG TĂNG CA'!$G$5:$G$304,'CHẶNG TĂNG CA'!$A$5:$A$304,$A189,'CHẶNG TĂNG CA'!$B$5:$B$304,$B189))</f>
        <v/>
      </c>
      <c r="AF189" s="28" t="str">
        <f>IF($A189="","",SUMIFS('CHẶNG TĂNG CA'!$H$5:$H$304,'CHẶNG TĂNG CA'!$A$5:$A$304,$A189,'CHẶNG TĂNG CA'!$B$5:$B$304,$B189))</f>
        <v/>
      </c>
      <c r="AG189" s="28" t="str">
        <f t="shared" si="27"/>
        <v/>
      </c>
      <c r="AH189" s="16" t="str">
        <f>IF($A189="","",IF(COUNTIFS('LỆNH ĐIỀU XE'!$B$5:$B$604,$A189,'LỆNH ĐIỀU XE'!$C$5:$C$604,$B189,'LỆNH ĐIỀU XE'!$N$5:$N$604,"Có")&gt;0,"Có","Không"))</f>
        <v/>
      </c>
      <c r="AI189" s="16" t="str">
        <f>IF(OR($A189="",H189="",N(T189)=0),"",IF(_xlfn.MAXIFS('LỆNH ĐIỀU XE'!$U$5:$U$604,'LỆNH ĐIỀU XE'!$B$5:$B$604,$A189,'LỆNH ĐIỀU XE'!$C$5:$C$604,$B189)=0,"",ROUND((H189+(H189&lt;4/24)-_xlfn.MAXIFS('LỆNH ĐIỀU XE'!$U$5:$U$604,'LỆNH ĐIỀU XE'!$B$5:$B$604,$A189,'LỆNH ĐIỀU XE'!$C$5:$C$604,$B189))*1440,0)))</f>
        <v/>
      </c>
      <c r="AJ189" s="16" t="str">
        <f>IF($A189="","",IF(OR(AI189="",V189=""),"Thiếu dữ liệu",IF(AND(AI189&lt;='THAM SỐ'!$B$29,ABS(V189)&lt;='THAM SỐ'!$B$28),"Đạt","Không đạt")))</f>
        <v/>
      </c>
      <c r="AK189" s="16" t="str">
        <f t="shared" si="28"/>
        <v/>
      </c>
      <c r="AL189" s="16" t="str">
        <f>IF($A189="","",TRIM(IF(T189=0,"Không có lệnh; ","")&amp;IF(N(N189)&gt;0,"Dừng ngoài lệnh; ","")&amp;IF(N(J189)&gt;0,"Quá tốc độ; ","")&amp;IF(N(K189)&gt;0,"Lái quá 4h; ","")&amp;IF(N(L189)&gt;0,"Không tắt máy; ","")&amp;IF(OR(P189&lt;&gt;"Đủ",Q189&lt;&gt;"Đủ",R189&lt;&gt;"Đủ"),"Thiếu ảnh; ","")&amp;IF(S189&lt;&gt;"Đạt","Lốp chưa đạt; ","")&amp;IF(N(W189)&gt;'THAM SỐ'!$B$27,"Có mặt quá giờ; ","")&amp;IF(N(X189)&gt;'THAM SỐ'!$B$25,"Lái quá giờ ngày; ","")&amp;IF(ISNUMBER(V189),IF(ABS(V189)&gt;'THAM SỐ'!$B$28,"Lệch km; ",""),"")))</f>
        <v/>
      </c>
      <c r="AM189" s="29"/>
      <c r="AN189" s="30"/>
      <c r="AO189" s="28" t="str">
        <f t="shared" si="29"/>
        <v/>
      </c>
      <c r="AP189" s="21" t="str">
        <f>IF(OR($A189="",AO189=""),"",IF(AG189=0,0,ROUND((AC189*'THAM SỐ'!$B$18+AD189*'THAM SỐ'!$B$19+AE189*'THAM SỐ'!$B$20+AF189*'THAM SỐ'!$B$21)*MIN(1,AO189/AG189),0)))</f>
        <v/>
      </c>
      <c r="AQ189" s="18"/>
    </row>
    <row r="190" spans="1:43" x14ac:dyDescent="0.45">
      <c r="A190" s="17"/>
      <c r="B190" s="18"/>
      <c r="C190" s="18"/>
      <c r="D190" s="25"/>
      <c r="E190" s="26"/>
      <c r="F190" s="26"/>
      <c r="G190" s="20"/>
      <c r="H190" s="20"/>
      <c r="I190" s="18"/>
      <c r="J190" s="18"/>
      <c r="K190" s="18"/>
      <c r="L190" s="18"/>
      <c r="M190" s="18"/>
      <c r="N190" s="18"/>
      <c r="O190" s="18"/>
      <c r="P190" s="18"/>
      <c r="Q190" s="18"/>
      <c r="R190" s="18"/>
      <c r="S190" s="18"/>
      <c r="T190" s="16" t="str">
        <f>IF($A190="","",COUNTIFS('LỆNH ĐIỀU XE'!$B$5:$B$604,$A190,'LỆNH ĐIỀU XE'!$C$5:$C$604,$B190))</f>
        <v/>
      </c>
      <c r="U190" s="27" t="str">
        <f>IF($A190="","",SUMIFS('LỆNH ĐIỀU XE'!$J$5:$J$604,'LỆNH ĐIỀU XE'!$B$5:$B$604,$A190,'LỆNH ĐIỀU XE'!$C$5:$C$604,$B190))</f>
        <v/>
      </c>
      <c r="V190" s="22" t="str">
        <f t="shared" si="20"/>
        <v/>
      </c>
      <c r="W190" s="28" t="str">
        <f t="shared" si="21"/>
        <v/>
      </c>
      <c r="X190" s="28" t="str">
        <f t="shared" si="22"/>
        <v/>
      </c>
      <c r="Y190" s="28" t="str">
        <f t="shared" si="23"/>
        <v/>
      </c>
      <c r="Z190" s="22" t="str">
        <f t="shared" si="24"/>
        <v/>
      </c>
      <c r="AA190" s="28" t="str">
        <f t="shared" si="25"/>
        <v/>
      </c>
      <c r="AB190" s="28" t="str">
        <f t="shared" si="26"/>
        <v/>
      </c>
      <c r="AC190" s="28" t="str">
        <f>IF($A190="","",SUMIFS('CHẶNG TĂNG CA'!$E$5:$E$304,'CHẶNG TĂNG CA'!$A$5:$A$304,$A190,'CHẶNG TĂNG CA'!$B$5:$B$304,$B190))</f>
        <v/>
      </c>
      <c r="AD190" s="28" t="str">
        <f>IF($A190="","",SUMIFS('CHẶNG TĂNG CA'!$F$5:$F$304,'CHẶNG TĂNG CA'!$A$5:$A$304,$A190,'CHẶNG TĂNG CA'!$B$5:$B$304,$B190))</f>
        <v/>
      </c>
      <c r="AE190" s="28" t="str">
        <f>IF($A190="","",SUMIFS('CHẶNG TĂNG CA'!$G$5:$G$304,'CHẶNG TĂNG CA'!$A$5:$A$304,$A190,'CHẶNG TĂNG CA'!$B$5:$B$304,$B190))</f>
        <v/>
      </c>
      <c r="AF190" s="28" t="str">
        <f>IF($A190="","",SUMIFS('CHẶNG TĂNG CA'!$H$5:$H$304,'CHẶNG TĂNG CA'!$A$5:$A$304,$A190,'CHẶNG TĂNG CA'!$B$5:$B$304,$B190))</f>
        <v/>
      </c>
      <c r="AG190" s="28" t="str">
        <f t="shared" si="27"/>
        <v/>
      </c>
      <c r="AH190" s="16" t="str">
        <f>IF($A190="","",IF(COUNTIFS('LỆNH ĐIỀU XE'!$B$5:$B$604,$A190,'LỆNH ĐIỀU XE'!$C$5:$C$604,$B190,'LỆNH ĐIỀU XE'!$N$5:$N$604,"Có")&gt;0,"Có","Không"))</f>
        <v/>
      </c>
      <c r="AI190" s="16" t="str">
        <f>IF(OR($A190="",H190="",N(T190)=0),"",IF(_xlfn.MAXIFS('LỆNH ĐIỀU XE'!$U$5:$U$604,'LỆNH ĐIỀU XE'!$B$5:$B$604,$A190,'LỆNH ĐIỀU XE'!$C$5:$C$604,$B190)=0,"",ROUND((H190+(H190&lt;4/24)-_xlfn.MAXIFS('LỆNH ĐIỀU XE'!$U$5:$U$604,'LỆNH ĐIỀU XE'!$B$5:$B$604,$A190,'LỆNH ĐIỀU XE'!$C$5:$C$604,$B190))*1440,0)))</f>
        <v/>
      </c>
      <c r="AJ190" s="16" t="str">
        <f>IF($A190="","",IF(OR(AI190="",V190=""),"Thiếu dữ liệu",IF(AND(AI190&lt;='THAM SỐ'!$B$29,ABS(V190)&lt;='THAM SỐ'!$B$28),"Đạt","Không đạt")))</f>
        <v/>
      </c>
      <c r="AK190" s="16" t="str">
        <f t="shared" si="28"/>
        <v/>
      </c>
      <c r="AL190" s="16" t="str">
        <f>IF($A190="","",TRIM(IF(T190=0,"Không có lệnh; ","")&amp;IF(N(N190)&gt;0,"Dừng ngoài lệnh; ","")&amp;IF(N(J190)&gt;0,"Quá tốc độ; ","")&amp;IF(N(K190)&gt;0,"Lái quá 4h; ","")&amp;IF(N(L190)&gt;0,"Không tắt máy; ","")&amp;IF(OR(P190&lt;&gt;"Đủ",Q190&lt;&gt;"Đủ",R190&lt;&gt;"Đủ"),"Thiếu ảnh; ","")&amp;IF(S190&lt;&gt;"Đạt","Lốp chưa đạt; ","")&amp;IF(N(W190)&gt;'THAM SỐ'!$B$27,"Có mặt quá giờ; ","")&amp;IF(N(X190)&gt;'THAM SỐ'!$B$25,"Lái quá giờ ngày; ","")&amp;IF(ISNUMBER(V190),IF(ABS(V190)&gt;'THAM SỐ'!$B$28,"Lệch km; ",""),"")))</f>
        <v/>
      </c>
      <c r="AM190" s="29"/>
      <c r="AN190" s="30"/>
      <c r="AO190" s="28" t="str">
        <f t="shared" si="29"/>
        <v/>
      </c>
      <c r="AP190" s="21" t="str">
        <f>IF(OR($A190="",AO190=""),"",IF(AG190=0,0,ROUND((AC190*'THAM SỐ'!$B$18+AD190*'THAM SỐ'!$B$19+AE190*'THAM SỐ'!$B$20+AF190*'THAM SỐ'!$B$21)*MIN(1,AO190/AG190),0)))</f>
        <v/>
      </c>
      <c r="AQ190" s="18"/>
    </row>
    <row r="191" spans="1:43" x14ac:dyDescent="0.45">
      <c r="A191" s="17"/>
      <c r="B191" s="18"/>
      <c r="C191" s="18"/>
      <c r="D191" s="25"/>
      <c r="E191" s="26"/>
      <c r="F191" s="26"/>
      <c r="G191" s="20"/>
      <c r="H191" s="20"/>
      <c r="I191" s="18"/>
      <c r="J191" s="18"/>
      <c r="K191" s="18"/>
      <c r="L191" s="18"/>
      <c r="M191" s="18"/>
      <c r="N191" s="18"/>
      <c r="O191" s="18"/>
      <c r="P191" s="18"/>
      <c r="Q191" s="18"/>
      <c r="R191" s="18"/>
      <c r="S191" s="18"/>
      <c r="T191" s="16" t="str">
        <f>IF($A191="","",COUNTIFS('LỆNH ĐIỀU XE'!$B$5:$B$604,$A191,'LỆNH ĐIỀU XE'!$C$5:$C$604,$B191))</f>
        <v/>
      </c>
      <c r="U191" s="27" t="str">
        <f>IF($A191="","",SUMIFS('LỆNH ĐIỀU XE'!$J$5:$J$604,'LỆNH ĐIỀU XE'!$B$5:$B$604,$A191,'LỆNH ĐIỀU XE'!$C$5:$C$604,$B191))</f>
        <v/>
      </c>
      <c r="V191" s="22" t="str">
        <f t="shared" si="20"/>
        <v/>
      </c>
      <c r="W191" s="28" t="str">
        <f t="shared" si="21"/>
        <v/>
      </c>
      <c r="X191" s="28" t="str">
        <f t="shared" si="22"/>
        <v/>
      </c>
      <c r="Y191" s="28" t="str">
        <f t="shared" si="23"/>
        <v/>
      </c>
      <c r="Z191" s="22" t="str">
        <f t="shared" si="24"/>
        <v/>
      </c>
      <c r="AA191" s="28" t="str">
        <f t="shared" si="25"/>
        <v/>
      </c>
      <c r="AB191" s="28" t="str">
        <f t="shared" si="26"/>
        <v/>
      </c>
      <c r="AC191" s="28" t="str">
        <f>IF($A191="","",SUMIFS('CHẶNG TĂNG CA'!$E$5:$E$304,'CHẶNG TĂNG CA'!$A$5:$A$304,$A191,'CHẶNG TĂNG CA'!$B$5:$B$304,$B191))</f>
        <v/>
      </c>
      <c r="AD191" s="28" t="str">
        <f>IF($A191="","",SUMIFS('CHẶNG TĂNG CA'!$F$5:$F$304,'CHẶNG TĂNG CA'!$A$5:$A$304,$A191,'CHẶNG TĂNG CA'!$B$5:$B$304,$B191))</f>
        <v/>
      </c>
      <c r="AE191" s="28" t="str">
        <f>IF($A191="","",SUMIFS('CHẶNG TĂNG CA'!$G$5:$G$304,'CHẶNG TĂNG CA'!$A$5:$A$304,$A191,'CHẶNG TĂNG CA'!$B$5:$B$304,$B191))</f>
        <v/>
      </c>
      <c r="AF191" s="28" t="str">
        <f>IF($A191="","",SUMIFS('CHẶNG TĂNG CA'!$H$5:$H$304,'CHẶNG TĂNG CA'!$A$5:$A$304,$A191,'CHẶNG TĂNG CA'!$B$5:$B$304,$B191))</f>
        <v/>
      </c>
      <c r="AG191" s="28" t="str">
        <f t="shared" si="27"/>
        <v/>
      </c>
      <c r="AH191" s="16" t="str">
        <f>IF($A191="","",IF(COUNTIFS('LỆNH ĐIỀU XE'!$B$5:$B$604,$A191,'LỆNH ĐIỀU XE'!$C$5:$C$604,$B191,'LỆNH ĐIỀU XE'!$N$5:$N$604,"Có")&gt;0,"Có","Không"))</f>
        <v/>
      </c>
      <c r="AI191" s="16" t="str">
        <f>IF(OR($A191="",H191="",N(T191)=0),"",IF(_xlfn.MAXIFS('LỆNH ĐIỀU XE'!$U$5:$U$604,'LỆNH ĐIỀU XE'!$B$5:$B$604,$A191,'LỆNH ĐIỀU XE'!$C$5:$C$604,$B191)=0,"",ROUND((H191+(H191&lt;4/24)-_xlfn.MAXIFS('LỆNH ĐIỀU XE'!$U$5:$U$604,'LỆNH ĐIỀU XE'!$B$5:$B$604,$A191,'LỆNH ĐIỀU XE'!$C$5:$C$604,$B191))*1440,0)))</f>
        <v/>
      </c>
      <c r="AJ191" s="16" t="str">
        <f>IF($A191="","",IF(OR(AI191="",V191=""),"Thiếu dữ liệu",IF(AND(AI191&lt;='THAM SỐ'!$B$29,ABS(V191)&lt;='THAM SỐ'!$B$28),"Đạt","Không đạt")))</f>
        <v/>
      </c>
      <c r="AK191" s="16" t="str">
        <f t="shared" si="28"/>
        <v/>
      </c>
      <c r="AL191" s="16" t="str">
        <f>IF($A191="","",TRIM(IF(T191=0,"Không có lệnh; ","")&amp;IF(N(N191)&gt;0,"Dừng ngoài lệnh; ","")&amp;IF(N(J191)&gt;0,"Quá tốc độ; ","")&amp;IF(N(K191)&gt;0,"Lái quá 4h; ","")&amp;IF(N(L191)&gt;0,"Không tắt máy; ","")&amp;IF(OR(P191&lt;&gt;"Đủ",Q191&lt;&gt;"Đủ",R191&lt;&gt;"Đủ"),"Thiếu ảnh; ","")&amp;IF(S191&lt;&gt;"Đạt","Lốp chưa đạt; ","")&amp;IF(N(W191)&gt;'THAM SỐ'!$B$27,"Có mặt quá giờ; ","")&amp;IF(N(X191)&gt;'THAM SỐ'!$B$25,"Lái quá giờ ngày; ","")&amp;IF(ISNUMBER(V191),IF(ABS(V191)&gt;'THAM SỐ'!$B$28,"Lệch km; ",""),"")))</f>
        <v/>
      </c>
      <c r="AM191" s="29"/>
      <c r="AN191" s="30"/>
      <c r="AO191" s="28" t="str">
        <f t="shared" si="29"/>
        <v/>
      </c>
      <c r="AP191" s="21" t="str">
        <f>IF(OR($A191="",AO191=""),"",IF(AG191=0,0,ROUND((AC191*'THAM SỐ'!$B$18+AD191*'THAM SỐ'!$B$19+AE191*'THAM SỐ'!$B$20+AF191*'THAM SỐ'!$B$21)*MIN(1,AO191/AG191),0)))</f>
        <v/>
      </c>
      <c r="AQ191" s="18"/>
    </row>
    <row r="192" spans="1:43" x14ac:dyDescent="0.45">
      <c r="A192" s="17"/>
      <c r="B192" s="18"/>
      <c r="C192" s="18"/>
      <c r="D192" s="25"/>
      <c r="E192" s="26"/>
      <c r="F192" s="26"/>
      <c r="G192" s="20"/>
      <c r="H192" s="20"/>
      <c r="I192" s="18"/>
      <c r="J192" s="18"/>
      <c r="K192" s="18"/>
      <c r="L192" s="18"/>
      <c r="M192" s="18"/>
      <c r="N192" s="18"/>
      <c r="O192" s="18"/>
      <c r="P192" s="18"/>
      <c r="Q192" s="18"/>
      <c r="R192" s="18"/>
      <c r="S192" s="18"/>
      <c r="T192" s="16" t="str">
        <f>IF($A192="","",COUNTIFS('LỆNH ĐIỀU XE'!$B$5:$B$604,$A192,'LỆNH ĐIỀU XE'!$C$5:$C$604,$B192))</f>
        <v/>
      </c>
      <c r="U192" s="27" t="str">
        <f>IF($A192="","",SUMIFS('LỆNH ĐIỀU XE'!$J$5:$J$604,'LỆNH ĐIỀU XE'!$B$5:$B$604,$A192,'LỆNH ĐIỀU XE'!$C$5:$C$604,$B192))</f>
        <v/>
      </c>
      <c r="V192" s="22" t="str">
        <f t="shared" si="20"/>
        <v/>
      </c>
      <c r="W192" s="28" t="str">
        <f t="shared" si="21"/>
        <v/>
      </c>
      <c r="X192" s="28" t="str">
        <f t="shared" si="22"/>
        <v/>
      </c>
      <c r="Y192" s="28" t="str">
        <f t="shared" si="23"/>
        <v/>
      </c>
      <c r="Z192" s="22" t="str">
        <f t="shared" si="24"/>
        <v/>
      </c>
      <c r="AA192" s="28" t="str">
        <f t="shared" si="25"/>
        <v/>
      </c>
      <c r="AB192" s="28" t="str">
        <f t="shared" si="26"/>
        <v/>
      </c>
      <c r="AC192" s="28" t="str">
        <f>IF($A192="","",SUMIFS('CHẶNG TĂNG CA'!$E$5:$E$304,'CHẶNG TĂNG CA'!$A$5:$A$304,$A192,'CHẶNG TĂNG CA'!$B$5:$B$304,$B192))</f>
        <v/>
      </c>
      <c r="AD192" s="28" t="str">
        <f>IF($A192="","",SUMIFS('CHẶNG TĂNG CA'!$F$5:$F$304,'CHẶNG TĂNG CA'!$A$5:$A$304,$A192,'CHẶNG TĂNG CA'!$B$5:$B$304,$B192))</f>
        <v/>
      </c>
      <c r="AE192" s="28" t="str">
        <f>IF($A192="","",SUMIFS('CHẶNG TĂNG CA'!$G$5:$G$304,'CHẶNG TĂNG CA'!$A$5:$A$304,$A192,'CHẶNG TĂNG CA'!$B$5:$B$304,$B192))</f>
        <v/>
      </c>
      <c r="AF192" s="28" t="str">
        <f>IF($A192="","",SUMIFS('CHẶNG TĂNG CA'!$H$5:$H$304,'CHẶNG TĂNG CA'!$A$5:$A$304,$A192,'CHẶNG TĂNG CA'!$B$5:$B$304,$B192))</f>
        <v/>
      </c>
      <c r="AG192" s="28" t="str">
        <f t="shared" si="27"/>
        <v/>
      </c>
      <c r="AH192" s="16" t="str">
        <f>IF($A192="","",IF(COUNTIFS('LỆNH ĐIỀU XE'!$B$5:$B$604,$A192,'LỆNH ĐIỀU XE'!$C$5:$C$604,$B192,'LỆNH ĐIỀU XE'!$N$5:$N$604,"Có")&gt;0,"Có","Không"))</f>
        <v/>
      </c>
      <c r="AI192" s="16" t="str">
        <f>IF(OR($A192="",H192="",N(T192)=0),"",IF(_xlfn.MAXIFS('LỆNH ĐIỀU XE'!$U$5:$U$604,'LỆNH ĐIỀU XE'!$B$5:$B$604,$A192,'LỆNH ĐIỀU XE'!$C$5:$C$604,$B192)=0,"",ROUND((H192+(H192&lt;4/24)-_xlfn.MAXIFS('LỆNH ĐIỀU XE'!$U$5:$U$604,'LỆNH ĐIỀU XE'!$B$5:$B$604,$A192,'LỆNH ĐIỀU XE'!$C$5:$C$604,$B192))*1440,0)))</f>
        <v/>
      </c>
      <c r="AJ192" s="16" t="str">
        <f>IF($A192="","",IF(OR(AI192="",V192=""),"Thiếu dữ liệu",IF(AND(AI192&lt;='THAM SỐ'!$B$29,ABS(V192)&lt;='THAM SỐ'!$B$28),"Đạt","Không đạt")))</f>
        <v/>
      </c>
      <c r="AK192" s="16" t="str">
        <f t="shared" si="28"/>
        <v/>
      </c>
      <c r="AL192" s="16" t="str">
        <f>IF($A192="","",TRIM(IF(T192=0,"Không có lệnh; ","")&amp;IF(N(N192)&gt;0,"Dừng ngoài lệnh; ","")&amp;IF(N(J192)&gt;0,"Quá tốc độ; ","")&amp;IF(N(K192)&gt;0,"Lái quá 4h; ","")&amp;IF(N(L192)&gt;0,"Không tắt máy; ","")&amp;IF(OR(P192&lt;&gt;"Đủ",Q192&lt;&gt;"Đủ",R192&lt;&gt;"Đủ"),"Thiếu ảnh; ","")&amp;IF(S192&lt;&gt;"Đạt","Lốp chưa đạt; ","")&amp;IF(N(W192)&gt;'THAM SỐ'!$B$27,"Có mặt quá giờ; ","")&amp;IF(N(X192)&gt;'THAM SỐ'!$B$25,"Lái quá giờ ngày; ","")&amp;IF(ISNUMBER(V192),IF(ABS(V192)&gt;'THAM SỐ'!$B$28,"Lệch km; ",""),"")))</f>
        <v/>
      </c>
      <c r="AM192" s="29"/>
      <c r="AN192" s="30"/>
      <c r="AO192" s="28" t="str">
        <f t="shared" si="29"/>
        <v/>
      </c>
      <c r="AP192" s="21" t="str">
        <f>IF(OR($A192="",AO192=""),"",IF(AG192=0,0,ROUND((AC192*'THAM SỐ'!$B$18+AD192*'THAM SỐ'!$B$19+AE192*'THAM SỐ'!$B$20+AF192*'THAM SỐ'!$B$21)*MIN(1,AO192/AG192),0)))</f>
        <v/>
      </c>
      <c r="AQ192" s="18"/>
    </row>
    <row r="193" spans="1:43" x14ac:dyDescent="0.45">
      <c r="A193" s="17"/>
      <c r="B193" s="18"/>
      <c r="C193" s="18"/>
      <c r="D193" s="25"/>
      <c r="E193" s="26"/>
      <c r="F193" s="26"/>
      <c r="G193" s="20"/>
      <c r="H193" s="20"/>
      <c r="I193" s="18"/>
      <c r="J193" s="18"/>
      <c r="K193" s="18"/>
      <c r="L193" s="18"/>
      <c r="M193" s="18"/>
      <c r="N193" s="18"/>
      <c r="O193" s="18"/>
      <c r="P193" s="18"/>
      <c r="Q193" s="18"/>
      <c r="R193" s="18"/>
      <c r="S193" s="18"/>
      <c r="T193" s="16" t="str">
        <f>IF($A193="","",COUNTIFS('LỆNH ĐIỀU XE'!$B$5:$B$604,$A193,'LỆNH ĐIỀU XE'!$C$5:$C$604,$B193))</f>
        <v/>
      </c>
      <c r="U193" s="27" t="str">
        <f>IF($A193="","",SUMIFS('LỆNH ĐIỀU XE'!$J$5:$J$604,'LỆNH ĐIỀU XE'!$B$5:$B$604,$A193,'LỆNH ĐIỀU XE'!$C$5:$C$604,$B193))</f>
        <v/>
      </c>
      <c r="V193" s="22" t="str">
        <f t="shared" si="20"/>
        <v/>
      </c>
      <c r="W193" s="28" t="str">
        <f t="shared" si="21"/>
        <v/>
      </c>
      <c r="X193" s="28" t="str">
        <f t="shared" si="22"/>
        <v/>
      </c>
      <c r="Y193" s="28" t="str">
        <f t="shared" si="23"/>
        <v/>
      </c>
      <c r="Z193" s="22" t="str">
        <f t="shared" si="24"/>
        <v/>
      </c>
      <c r="AA193" s="28" t="str">
        <f t="shared" si="25"/>
        <v/>
      </c>
      <c r="AB193" s="28" t="str">
        <f t="shared" si="26"/>
        <v/>
      </c>
      <c r="AC193" s="28" t="str">
        <f>IF($A193="","",SUMIFS('CHẶNG TĂNG CA'!$E$5:$E$304,'CHẶNG TĂNG CA'!$A$5:$A$304,$A193,'CHẶNG TĂNG CA'!$B$5:$B$304,$B193))</f>
        <v/>
      </c>
      <c r="AD193" s="28" t="str">
        <f>IF($A193="","",SUMIFS('CHẶNG TĂNG CA'!$F$5:$F$304,'CHẶNG TĂNG CA'!$A$5:$A$304,$A193,'CHẶNG TĂNG CA'!$B$5:$B$304,$B193))</f>
        <v/>
      </c>
      <c r="AE193" s="28" t="str">
        <f>IF($A193="","",SUMIFS('CHẶNG TĂNG CA'!$G$5:$G$304,'CHẶNG TĂNG CA'!$A$5:$A$304,$A193,'CHẶNG TĂNG CA'!$B$5:$B$304,$B193))</f>
        <v/>
      </c>
      <c r="AF193" s="28" t="str">
        <f>IF($A193="","",SUMIFS('CHẶNG TĂNG CA'!$H$5:$H$304,'CHẶNG TĂNG CA'!$A$5:$A$304,$A193,'CHẶNG TĂNG CA'!$B$5:$B$304,$B193))</f>
        <v/>
      </c>
      <c r="AG193" s="28" t="str">
        <f t="shared" si="27"/>
        <v/>
      </c>
      <c r="AH193" s="16" t="str">
        <f>IF($A193="","",IF(COUNTIFS('LỆNH ĐIỀU XE'!$B$5:$B$604,$A193,'LỆNH ĐIỀU XE'!$C$5:$C$604,$B193,'LỆNH ĐIỀU XE'!$N$5:$N$604,"Có")&gt;0,"Có","Không"))</f>
        <v/>
      </c>
      <c r="AI193" s="16" t="str">
        <f>IF(OR($A193="",H193="",N(T193)=0),"",IF(_xlfn.MAXIFS('LỆNH ĐIỀU XE'!$U$5:$U$604,'LỆNH ĐIỀU XE'!$B$5:$B$604,$A193,'LỆNH ĐIỀU XE'!$C$5:$C$604,$B193)=0,"",ROUND((H193+(H193&lt;4/24)-_xlfn.MAXIFS('LỆNH ĐIỀU XE'!$U$5:$U$604,'LỆNH ĐIỀU XE'!$B$5:$B$604,$A193,'LỆNH ĐIỀU XE'!$C$5:$C$604,$B193))*1440,0)))</f>
        <v/>
      </c>
      <c r="AJ193" s="16" t="str">
        <f>IF($A193="","",IF(OR(AI193="",V193=""),"Thiếu dữ liệu",IF(AND(AI193&lt;='THAM SỐ'!$B$29,ABS(V193)&lt;='THAM SỐ'!$B$28),"Đạt","Không đạt")))</f>
        <v/>
      </c>
      <c r="AK193" s="16" t="str">
        <f t="shared" si="28"/>
        <v/>
      </c>
      <c r="AL193" s="16" t="str">
        <f>IF($A193="","",TRIM(IF(T193=0,"Không có lệnh; ","")&amp;IF(N(N193)&gt;0,"Dừng ngoài lệnh; ","")&amp;IF(N(J193)&gt;0,"Quá tốc độ; ","")&amp;IF(N(K193)&gt;0,"Lái quá 4h; ","")&amp;IF(N(L193)&gt;0,"Không tắt máy; ","")&amp;IF(OR(P193&lt;&gt;"Đủ",Q193&lt;&gt;"Đủ",R193&lt;&gt;"Đủ"),"Thiếu ảnh; ","")&amp;IF(S193&lt;&gt;"Đạt","Lốp chưa đạt; ","")&amp;IF(N(W193)&gt;'THAM SỐ'!$B$27,"Có mặt quá giờ; ","")&amp;IF(N(X193)&gt;'THAM SỐ'!$B$25,"Lái quá giờ ngày; ","")&amp;IF(ISNUMBER(V193),IF(ABS(V193)&gt;'THAM SỐ'!$B$28,"Lệch km; ",""),"")))</f>
        <v/>
      </c>
      <c r="AM193" s="29"/>
      <c r="AN193" s="30"/>
      <c r="AO193" s="28" t="str">
        <f t="shared" si="29"/>
        <v/>
      </c>
      <c r="AP193" s="21" t="str">
        <f>IF(OR($A193="",AO193=""),"",IF(AG193=0,0,ROUND((AC193*'THAM SỐ'!$B$18+AD193*'THAM SỐ'!$B$19+AE193*'THAM SỐ'!$B$20+AF193*'THAM SỐ'!$B$21)*MIN(1,AO193/AG193),0)))</f>
        <v/>
      </c>
      <c r="AQ193" s="18"/>
    </row>
    <row r="194" spans="1:43" x14ac:dyDescent="0.45">
      <c r="A194" s="17"/>
      <c r="B194" s="18"/>
      <c r="C194" s="18"/>
      <c r="D194" s="25"/>
      <c r="E194" s="26"/>
      <c r="F194" s="26"/>
      <c r="G194" s="20"/>
      <c r="H194" s="20"/>
      <c r="I194" s="18"/>
      <c r="J194" s="18"/>
      <c r="K194" s="18"/>
      <c r="L194" s="18"/>
      <c r="M194" s="18"/>
      <c r="N194" s="18"/>
      <c r="O194" s="18"/>
      <c r="P194" s="18"/>
      <c r="Q194" s="18"/>
      <c r="R194" s="18"/>
      <c r="S194" s="18"/>
      <c r="T194" s="16" t="str">
        <f>IF($A194="","",COUNTIFS('LỆNH ĐIỀU XE'!$B$5:$B$604,$A194,'LỆNH ĐIỀU XE'!$C$5:$C$604,$B194))</f>
        <v/>
      </c>
      <c r="U194" s="27" t="str">
        <f>IF($A194="","",SUMIFS('LỆNH ĐIỀU XE'!$J$5:$J$604,'LỆNH ĐIỀU XE'!$B$5:$B$604,$A194,'LỆNH ĐIỀU XE'!$C$5:$C$604,$B194))</f>
        <v/>
      </c>
      <c r="V194" s="22" t="str">
        <f t="shared" si="20"/>
        <v/>
      </c>
      <c r="W194" s="28" t="str">
        <f t="shared" si="21"/>
        <v/>
      </c>
      <c r="X194" s="28" t="str">
        <f t="shared" si="22"/>
        <v/>
      </c>
      <c r="Y194" s="28" t="str">
        <f t="shared" si="23"/>
        <v/>
      </c>
      <c r="Z194" s="22" t="str">
        <f t="shared" si="24"/>
        <v/>
      </c>
      <c r="AA194" s="28" t="str">
        <f t="shared" si="25"/>
        <v/>
      </c>
      <c r="AB194" s="28" t="str">
        <f t="shared" si="26"/>
        <v/>
      </c>
      <c r="AC194" s="28" t="str">
        <f>IF($A194="","",SUMIFS('CHẶNG TĂNG CA'!$E$5:$E$304,'CHẶNG TĂNG CA'!$A$5:$A$304,$A194,'CHẶNG TĂNG CA'!$B$5:$B$304,$B194))</f>
        <v/>
      </c>
      <c r="AD194" s="28" t="str">
        <f>IF($A194="","",SUMIFS('CHẶNG TĂNG CA'!$F$5:$F$304,'CHẶNG TĂNG CA'!$A$5:$A$304,$A194,'CHẶNG TĂNG CA'!$B$5:$B$304,$B194))</f>
        <v/>
      </c>
      <c r="AE194" s="28" t="str">
        <f>IF($A194="","",SUMIFS('CHẶNG TĂNG CA'!$G$5:$G$304,'CHẶNG TĂNG CA'!$A$5:$A$304,$A194,'CHẶNG TĂNG CA'!$B$5:$B$304,$B194))</f>
        <v/>
      </c>
      <c r="AF194" s="28" t="str">
        <f>IF($A194="","",SUMIFS('CHẶNG TĂNG CA'!$H$5:$H$304,'CHẶNG TĂNG CA'!$A$5:$A$304,$A194,'CHẶNG TĂNG CA'!$B$5:$B$304,$B194))</f>
        <v/>
      </c>
      <c r="AG194" s="28" t="str">
        <f t="shared" si="27"/>
        <v/>
      </c>
      <c r="AH194" s="16" t="str">
        <f>IF($A194="","",IF(COUNTIFS('LỆNH ĐIỀU XE'!$B$5:$B$604,$A194,'LỆNH ĐIỀU XE'!$C$5:$C$604,$B194,'LỆNH ĐIỀU XE'!$N$5:$N$604,"Có")&gt;0,"Có","Không"))</f>
        <v/>
      </c>
      <c r="AI194" s="16" t="str">
        <f>IF(OR($A194="",H194="",N(T194)=0),"",IF(_xlfn.MAXIFS('LỆNH ĐIỀU XE'!$U$5:$U$604,'LỆNH ĐIỀU XE'!$B$5:$B$604,$A194,'LỆNH ĐIỀU XE'!$C$5:$C$604,$B194)=0,"",ROUND((H194+(H194&lt;4/24)-_xlfn.MAXIFS('LỆNH ĐIỀU XE'!$U$5:$U$604,'LỆNH ĐIỀU XE'!$B$5:$B$604,$A194,'LỆNH ĐIỀU XE'!$C$5:$C$604,$B194))*1440,0)))</f>
        <v/>
      </c>
      <c r="AJ194" s="16" t="str">
        <f>IF($A194="","",IF(OR(AI194="",V194=""),"Thiếu dữ liệu",IF(AND(AI194&lt;='THAM SỐ'!$B$29,ABS(V194)&lt;='THAM SỐ'!$B$28),"Đạt","Không đạt")))</f>
        <v/>
      </c>
      <c r="AK194" s="16" t="str">
        <f t="shared" si="28"/>
        <v/>
      </c>
      <c r="AL194" s="16" t="str">
        <f>IF($A194="","",TRIM(IF(T194=0,"Không có lệnh; ","")&amp;IF(N(N194)&gt;0,"Dừng ngoài lệnh; ","")&amp;IF(N(J194)&gt;0,"Quá tốc độ; ","")&amp;IF(N(K194)&gt;0,"Lái quá 4h; ","")&amp;IF(N(L194)&gt;0,"Không tắt máy; ","")&amp;IF(OR(P194&lt;&gt;"Đủ",Q194&lt;&gt;"Đủ",R194&lt;&gt;"Đủ"),"Thiếu ảnh; ","")&amp;IF(S194&lt;&gt;"Đạt","Lốp chưa đạt; ","")&amp;IF(N(W194)&gt;'THAM SỐ'!$B$27,"Có mặt quá giờ; ","")&amp;IF(N(X194)&gt;'THAM SỐ'!$B$25,"Lái quá giờ ngày; ","")&amp;IF(ISNUMBER(V194),IF(ABS(V194)&gt;'THAM SỐ'!$B$28,"Lệch km; ",""),"")))</f>
        <v/>
      </c>
      <c r="AM194" s="29"/>
      <c r="AN194" s="30"/>
      <c r="AO194" s="28" t="str">
        <f t="shared" si="29"/>
        <v/>
      </c>
      <c r="AP194" s="21" t="str">
        <f>IF(OR($A194="",AO194=""),"",IF(AG194=0,0,ROUND((AC194*'THAM SỐ'!$B$18+AD194*'THAM SỐ'!$B$19+AE194*'THAM SỐ'!$B$20+AF194*'THAM SỐ'!$B$21)*MIN(1,AO194/AG194),0)))</f>
        <v/>
      </c>
      <c r="AQ194" s="18"/>
    </row>
    <row r="195" spans="1:43" x14ac:dyDescent="0.45">
      <c r="A195" s="17"/>
      <c r="B195" s="18"/>
      <c r="C195" s="18"/>
      <c r="D195" s="25"/>
      <c r="E195" s="26"/>
      <c r="F195" s="26"/>
      <c r="G195" s="20"/>
      <c r="H195" s="20"/>
      <c r="I195" s="18"/>
      <c r="J195" s="18"/>
      <c r="K195" s="18"/>
      <c r="L195" s="18"/>
      <c r="M195" s="18"/>
      <c r="N195" s="18"/>
      <c r="O195" s="18"/>
      <c r="P195" s="18"/>
      <c r="Q195" s="18"/>
      <c r="R195" s="18"/>
      <c r="S195" s="18"/>
      <c r="T195" s="16" t="str">
        <f>IF($A195="","",COUNTIFS('LỆNH ĐIỀU XE'!$B$5:$B$604,$A195,'LỆNH ĐIỀU XE'!$C$5:$C$604,$B195))</f>
        <v/>
      </c>
      <c r="U195" s="27" t="str">
        <f>IF($A195="","",SUMIFS('LỆNH ĐIỀU XE'!$J$5:$J$604,'LỆNH ĐIỀU XE'!$B$5:$B$604,$A195,'LỆNH ĐIỀU XE'!$C$5:$C$604,$B195))</f>
        <v/>
      </c>
      <c r="V195" s="22" t="str">
        <f t="shared" si="20"/>
        <v/>
      </c>
      <c r="W195" s="28" t="str">
        <f t="shared" si="21"/>
        <v/>
      </c>
      <c r="X195" s="28" t="str">
        <f t="shared" si="22"/>
        <v/>
      </c>
      <c r="Y195" s="28" t="str">
        <f t="shared" si="23"/>
        <v/>
      </c>
      <c r="Z195" s="22" t="str">
        <f t="shared" si="24"/>
        <v/>
      </c>
      <c r="AA195" s="28" t="str">
        <f t="shared" si="25"/>
        <v/>
      </c>
      <c r="AB195" s="28" t="str">
        <f t="shared" si="26"/>
        <v/>
      </c>
      <c r="AC195" s="28" t="str">
        <f>IF($A195="","",SUMIFS('CHẶNG TĂNG CA'!$E$5:$E$304,'CHẶNG TĂNG CA'!$A$5:$A$304,$A195,'CHẶNG TĂNG CA'!$B$5:$B$304,$B195))</f>
        <v/>
      </c>
      <c r="AD195" s="28" t="str">
        <f>IF($A195="","",SUMIFS('CHẶNG TĂNG CA'!$F$5:$F$304,'CHẶNG TĂNG CA'!$A$5:$A$304,$A195,'CHẶNG TĂNG CA'!$B$5:$B$304,$B195))</f>
        <v/>
      </c>
      <c r="AE195" s="28" t="str">
        <f>IF($A195="","",SUMIFS('CHẶNG TĂNG CA'!$G$5:$G$304,'CHẶNG TĂNG CA'!$A$5:$A$304,$A195,'CHẶNG TĂNG CA'!$B$5:$B$304,$B195))</f>
        <v/>
      </c>
      <c r="AF195" s="28" t="str">
        <f>IF($A195="","",SUMIFS('CHẶNG TĂNG CA'!$H$5:$H$304,'CHẶNG TĂNG CA'!$A$5:$A$304,$A195,'CHẶNG TĂNG CA'!$B$5:$B$304,$B195))</f>
        <v/>
      </c>
      <c r="AG195" s="28" t="str">
        <f t="shared" si="27"/>
        <v/>
      </c>
      <c r="AH195" s="16" t="str">
        <f>IF($A195="","",IF(COUNTIFS('LỆNH ĐIỀU XE'!$B$5:$B$604,$A195,'LỆNH ĐIỀU XE'!$C$5:$C$604,$B195,'LỆNH ĐIỀU XE'!$N$5:$N$604,"Có")&gt;0,"Có","Không"))</f>
        <v/>
      </c>
      <c r="AI195" s="16" t="str">
        <f>IF(OR($A195="",H195="",N(T195)=0),"",IF(_xlfn.MAXIFS('LỆNH ĐIỀU XE'!$U$5:$U$604,'LỆNH ĐIỀU XE'!$B$5:$B$604,$A195,'LỆNH ĐIỀU XE'!$C$5:$C$604,$B195)=0,"",ROUND((H195+(H195&lt;4/24)-_xlfn.MAXIFS('LỆNH ĐIỀU XE'!$U$5:$U$604,'LỆNH ĐIỀU XE'!$B$5:$B$604,$A195,'LỆNH ĐIỀU XE'!$C$5:$C$604,$B195))*1440,0)))</f>
        <v/>
      </c>
      <c r="AJ195" s="16" t="str">
        <f>IF($A195="","",IF(OR(AI195="",V195=""),"Thiếu dữ liệu",IF(AND(AI195&lt;='THAM SỐ'!$B$29,ABS(V195)&lt;='THAM SỐ'!$B$28),"Đạt","Không đạt")))</f>
        <v/>
      </c>
      <c r="AK195" s="16" t="str">
        <f t="shared" si="28"/>
        <v/>
      </c>
      <c r="AL195" s="16" t="str">
        <f>IF($A195="","",TRIM(IF(T195=0,"Không có lệnh; ","")&amp;IF(N(N195)&gt;0,"Dừng ngoài lệnh; ","")&amp;IF(N(J195)&gt;0,"Quá tốc độ; ","")&amp;IF(N(K195)&gt;0,"Lái quá 4h; ","")&amp;IF(N(L195)&gt;0,"Không tắt máy; ","")&amp;IF(OR(P195&lt;&gt;"Đủ",Q195&lt;&gt;"Đủ",R195&lt;&gt;"Đủ"),"Thiếu ảnh; ","")&amp;IF(S195&lt;&gt;"Đạt","Lốp chưa đạt; ","")&amp;IF(N(W195)&gt;'THAM SỐ'!$B$27,"Có mặt quá giờ; ","")&amp;IF(N(X195)&gt;'THAM SỐ'!$B$25,"Lái quá giờ ngày; ","")&amp;IF(ISNUMBER(V195),IF(ABS(V195)&gt;'THAM SỐ'!$B$28,"Lệch km; ",""),"")))</f>
        <v/>
      </c>
      <c r="AM195" s="29"/>
      <c r="AN195" s="30"/>
      <c r="AO195" s="28" t="str">
        <f t="shared" si="29"/>
        <v/>
      </c>
      <c r="AP195" s="21" t="str">
        <f>IF(OR($A195="",AO195=""),"",IF(AG195=0,0,ROUND((AC195*'THAM SỐ'!$B$18+AD195*'THAM SỐ'!$B$19+AE195*'THAM SỐ'!$B$20+AF195*'THAM SỐ'!$B$21)*MIN(1,AO195/AG195),0)))</f>
        <v/>
      </c>
      <c r="AQ195" s="18"/>
    </row>
    <row r="196" spans="1:43" x14ac:dyDescent="0.45">
      <c r="A196" s="17"/>
      <c r="B196" s="18"/>
      <c r="C196" s="18"/>
      <c r="D196" s="25"/>
      <c r="E196" s="26"/>
      <c r="F196" s="26"/>
      <c r="G196" s="20"/>
      <c r="H196" s="20"/>
      <c r="I196" s="18"/>
      <c r="J196" s="18"/>
      <c r="K196" s="18"/>
      <c r="L196" s="18"/>
      <c r="M196" s="18"/>
      <c r="N196" s="18"/>
      <c r="O196" s="18"/>
      <c r="P196" s="18"/>
      <c r="Q196" s="18"/>
      <c r="R196" s="18"/>
      <c r="S196" s="18"/>
      <c r="T196" s="16" t="str">
        <f>IF($A196="","",COUNTIFS('LỆNH ĐIỀU XE'!$B$5:$B$604,$A196,'LỆNH ĐIỀU XE'!$C$5:$C$604,$B196))</f>
        <v/>
      </c>
      <c r="U196" s="27" t="str">
        <f>IF($A196="","",SUMIFS('LỆNH ĐIỀU XE'!$J$5:$J$604,'LỆNH ĐIỀU XE'!$B$5:$B$604,$A196,'LỆNH ĐIỀU XE'!$C$5:$C$604,$B196))</f>
        <v/>
      </c>
      <c r="V196" s="22" t="str">
        <f t="shared" si="20"/>
        <v/>
      </c>
      <c r="W196" s="28" t="str">
        <f t="shared" si="21"/>
        <v/>
      </c>
      <c r="X196" s="28" t="str">
        <f t="shared" si="22"/>
        <v/>
      </c>
      <c r="Y196" s="28" t="str">
        <f t="shared" si="23"/>
        <v/>
      </c>
      <c r="Z196" s="22" t="str">
        <f t="shared" si="24"/>
        <v/>
      </c>
      <c r="AA196" s="28" t="str">
        <f t="shared" si="25"/>
        <v/>
      </c>
      <c r="AB196" s="28" t="str">
        <f t="shared" si="26"/>
        <v/>
      </c>
      <c r="AC196" s="28" t="str">
        <f>IF($A196="","",SUMIFS('CHẶNG TĂNG CA'!$E$5:$E$304,'CHẶNG TĂNG CA'!$A$5:$A$304,$A196,'CHẶNG TĂNG CA'!$B$5:$B$304,$B196))</f>
        <v/>
      </c>
      <c r="AD196" s="28" t="str">
        <f>IF($A196="","",SUMIFS('CHẶNG TĂNG CA'!$F$5:$F$304,'CHẶNG TĂNG CA'!$A$5:$A$304,$A196,'CHẶNG TĂNG CA'!$B$5:$B$304,$B196))</f>
        <v/>
      </c>
      <c r="AE196" s="28" t="str">
        <f>IF($A196="","",SUMIFS('CHẶNG TĂNG CA'!$G$5:$G$304,'CHẶNG TĂNG CA'!$A$5:$A$304,$A196,'CHẶNG TĂNG CA'!$B$5:$B$304,$B196))</f>
        <v/>
      </c>
      <c r="AF196" s="28" t="str">
        <f>IF($A196="","",SUMIFS('CHẶNG TĂNG CA'!$H$5:$H$304,'CHẶNG TĂNG CA'!$A$5:$A$304,$A196,'CHẶNG TĂNG CA'!$B$5:$B$304,$B196))</f>
        <v/>
      </c>
      <c r="AG196" s="28" t="str">
        <f t="shared" si="27"/>
        <v/>
      </c>
      <c r="AH196" s="16" t="str">
        <f>IF($A196="","",IF(COUNTIFS('LỆNH ĐIỀU XE'!$B$5:$B$604,$A196,'LỆNH ĐIỀU XE'!$C$5:$C$604,$B196,'LỆNH ĐIỀU XE'!$N$5:$N$604,"Có")&gt;0,"Có","Không"))</f>
        <v/>
      </c>
      <c r="AI196" s="16" t="str">
        <f>IF(OR($A196="",H196="",N(T196)=0),"",IF(_xlfn.MAXIFS('LỆNH ĐIỀU XE'!$U$5:$U$604,'LỆNH ĐIỀU XE'!$B$5:$B$604,$A196,'LỆNH ĐIỀU XE'!$C$5:$C$604,$B196)=0,"",ROUND((H196+(H196&lt;4/24)-_xlfn.MAXIFS('LỆNH ĐIỀU XE'!$U$5:$U$604,'LỆNH ĐIỀU XE'!$B$5:$B$604,$A196,'LỆNH ĐIỀU XE'!$C$5:$C$604,$B196))*1440,0)))</f>
        <v/>
      </c>
      <c r="AJ196" s="16" t="str">
        <f>IF($A196="","",IF(OR(AI196="",V196=""),"Thiếu dữ liệu",IF(AND(AI196&lt;='THAM SỐ'!$B$29,ABS(V196)&lt;='THAM SỐ'!$B$28),"Đạt","Không đạt")))</f>
        <v/>
      </c>
      <c r="AK196" s="16" t="str">
        <f t="shared" si="28"/>
        <v/>
      </c>
      <c r="AL196" s="16" t="str">
        <f>IF($A196="","",TRIM(IF(T196=0,"Không có lệnh; ","")&amp;IF(N(N196)&gt;0,"Dừng ngoài lệnh; ","")&amp;IF(N(J196)&gt;0,"Quá tốc độ; ","")&amp;IF(N(K196)&gt;0,"Lái quá 4h; ","")&amp;IF(N(L196)&gt;0,"Không tắt máy; ","")&amp;IF(OR(P196&lt;&gt;"Đủ",Q196&lt;&gt;"Đủ",R196&lt;&gt;"Đủ"),"Thiếu ảnh; ","")&amp;IF(S196&lt;&gt;"Đạt","Lốp chưa đạt; ","")&amp;IF(N(W196)&gt;'THAM SỐ'!$B$27,"Có mặt quá giờ; ","")&amp;IF(N(X196)&gt;'THAM SỐ'!$B$25,"Lái quá giờ ngày; ","")&amp;IF(ISNUMBER(V196),IF(ABS(V196)&gt;'THAM SỐ'!$B$28,"Lệch km; ",""),"")))</f>
        <v/>
      </c>
      <c r="AM196" s="29"/>
      <c r="AN196" s="30"/>
      <c r="AO196" s="28" t="str">
        <f t="shared" si="29"/>
        <v/>
      </c>
      <c r="AP196" s="21" t="str">
        <f>IF(OR($A196="",AO196=""),"",IF(AG196=0,0,ROUND((AC196*'THAM SỐ'!$B$18+AD196*'THAM SỐ'!$B$19+AE196*'THAM SỐ'!$B$20+AF196*'THAM SỐ'!$B$21)*MIN(1,AO196/AG196),0)))</f>
        <v/>
      </c>
      <c r="AQ196" s="18"/>
    </row>
    <row r="197" spans="1:43" x14ac:dyDescent="0.45">
      <c r="A197" s="17"/>
      <c r="B197" s="18"/>
      <c r="C197" s="18"/>
      <c r="D197" s="25"/>
      <c r="E197" s="26"/>
      <c r="F197" s="26"/>
      <c r="G197" s="20"/>
      <c r="H197" s="20"/>
      <c r="I197" s="18"/>
      <c r="J197" s="18"/>
      <c r="K197" s="18"/>
      <c r="L197" s="18"/>
      <c r="M197" s="18"/>
      <c r="N197" s="18"/>
      <c r="O197" s="18"/>
      <c r="P197" s="18"/>
      <c r="Q197" s="18"/>
      <c r="R197" s="18"/>
      <c r="S197" s="18"/>
      <c r="T197" s="16" t="str">
        <f>IF($A197="","",COUNTIFS('LỆNH ĐIỀU XE'!$B$5:$B$604,$A197,'LỆNH ĐIỀU XE'!$C$5:$C$604,$B197))</f>
        <v/>
      </c>
      <c r="U197" s="27" t="str">
        <f>IF($A197="","",SUMIFS('LỆNH ĐIỀU XE'!$J$5:$J$604,'LỆNH ĐIỀU XE'!$B$5:$B$604,$A197,'LỆNH ĐIỀU XE'!$C$5:$C$604,$B197))</f>
        <v/>
      </c>
      <c r="V197" s="22" t="str">
        <f t="shared" ref="V197:V260" si="30">IF(OR($A197="",D197="",N(U197)=0),"",(D197-U197)/U197)</f>
        <v/>
      </c>
      <c r="W197" s="28" t="str">
        <f t="shared" ref="W197:W260" si="31">IF(OR($A197="",G197="",H197=""),"",ROUND((H197+(H197&lt;G197)-G197)*24,2))</f>
        <v/>
      </c>
      <c r="X197" s="28" t="str">
        <f t="shared" ref="X197:X260" si="32">IF(OR($A197="",E197=""),"",ROUND(E197*24,2))</f>
        <v/>
      </c>
      <c r="Y197" s="28" t="str">
        <f t="shared" ref="Y197:Y260" si="33">IF(OR(W197="",X197=""),"",MAX(0,W197-X197))</f>
        <v/>
      </c>
      <c r="Z197" s="22" t="str">
        <f t="shared" ref="Z197:Z260" si="34">IF(OR(W197="",X197="",N(W197)=0),"",X197/W197)</f>
        <v/>
      </c>
      <c r="AA197" s="28" t="str">
        <f t="shared" ref="AA197:AA260" si="35">IF(OR($A197="",F197="",X197=""),"",MAX(0,ROUND(F197*24-X197,2)))</f>
        <v/>
      </c>
      <c r="AB197" s="28" t="str">
        <f t="shared" ref="AB197:AB260" si="36">IF(OR($A197="",M197="",N(D197)=0),"",M197/D197*100)</f>
        <v/>
      </c>
      <c r="AC197" s="28" t="str">
        <f>IF($A197="","",SUMIFS('CHẶNG TĂNG CA'!$E$5:$E$304,'CHẶNG TĂNG CA'!$A$5:$A$304,$A197,'CHẶNG TĂNG CA'!$B$5:$B$304,$B197))</f>
        <v/>
      </c>
      <c r="AD197" s="28" t="str">
        <f>IF($A197="","",SUMIFS('CHẶNG TĂNG CA'!$F$5:$F$304,'CHẶNG TĂNG CA'!$A$5:$A$304,$A197,'CHẶNG TĂNG CA'!$B$5:$B$304,$B197))</f>
        <v/>
      </c>
      <c r="AE197" s="28" t="str">
        <f>IF($A197="","",SUMIFS('CHẶNG TĂNG CA'!$G$5:$G$304,'CHẶNG TĂNG CA'!$A$5:$A$304,$A197,'CHẶNG TĂNG CA'!$B$5:$B$304,$B197))</f>
        <v/>
      </c>
      <c r="AF197" s="28" t="str">
        <f>IF($A197="","",SUMIFS('CHẶNG TĂNG CA'!$H$5:$H$304,'CHẶNG TĂNG CA'!$A$5:$A$304,$A197,'CHẶNG TĂNG CA'!$B$5:$B$304,$B197))</f>
        <v/>
      </c>
      <c r="AG197" s="28" t="str">
        <f t="shared" ref="AG197:AG260" si="37">IF($A197="","",SUM(AC197:AF197))</f>
        <v/>
      </c>
      <c r="AH197" s="16" t="str">
        <f>IF($A197="","",IF(COUNTIFS('LỆNH ĐIỀU XE'!$B$5:$B$604,$A197,'LỆNH ĐIỀU XE'!$C$5:$C$604,$B197,'LỆNH ĐIỀU XE'!$N$5:$N$604,"Có")&gt;0,"Có","Không"))</f>
        <v/>
      </c>
      <c r="AI197" s="16" t="str">
        <f>IF(OR($A197="",H197="",N(T197)=0),"",IF(_xlfn.MAXIFS('LỆNH ĐIỀU XE'!$U$5:$U$604,'LỆNH ĐIỀU XE'!$B$5:$B$604,$A197,'LỆNH ĐIỀU XE'!$C$5:$C$604,$B197)=0,"",ROUND((H197+(H197&lt;4/24)-_xlfn.MAXIFS('LỆNH ĐIỀU XE'!$U$5:$U$604,'LỆNH ĐIỀU XE'!$B$5:$B$604,$A197,'LỆNH ĐIỀU XE'!$C$5:$C$604,$B197))*1440,0)))</f>
        <v/>
      </c>
      <c r="AJ197" s="16" t="str">
        <f>IF($A197="","",IF(OR(AI197="",V197=""),"Thiếu dữ liệu",IF(AND(AI197&lt;='THAM SỐ'!$B$29,ABS(V197)&lt;='THAM SỐ'!$B$28),"Đạt","Không đạt")))</f>
        <v/>
      </c>
      <c r="AK197" s="16" t="str">
        <f t="shared" ref="AK197:AK260" si="38">IF($A197="","",IF(AG197=0,"Không có OT",IF(AND(AH197="Có",AJ197="Đạt"),"Đủ điều kiện","Cần giải trình")))</f>
        <v/>
      </c>
      <c r="AL197" s="16" t="str">
        <f>IF($A197="","",TRIM(IF(T197=0,"Không có lệnh; ","")&amp;IF(N(N197)&gt;0,"Dừng ngoài lệnh; ","")&amp;IF(N(J197)&gt;0,"Quá tốc độ; ","")&amp;IF(N(K197)&gt;0,"Lái quá 4h; ","")&amp;IF(N(L197)&gt;0,"Không tắt máy; ","")&amp;IF(OR(P197&lt;&gt;"Đủ",Q197&lt;&gt;"Đủ",R197&lt;&gt;"Đủ"),"Thiếu ảnh; ","")&amp;IF(S197&lt;&gt;"Đạt","Lốp chưa đạt; ","")&amp;IF(N(W197)&gt;'THAM SỐ'!$B$27,"Có mặt quá giờ; ","")&amp;IF(N(X197)&gt;'THAM SỐ'!$B$25,"Lái quá giờ ngày; ","")&amp;IF(ISNUMBER(V197),IF(ABS(V197)&gt;'THAM SỐ'!$B$28,"Lệch km; ",""),"")))</f>
        <v/>
      </c>
      <c r="AM197" s="29"/>
      <c r="AN197" s="30"/>
      <c r="AO197" s="28" t="str">
        <f t="shared" ref="AO197:AO260" si="39">IF($A197="","",IF(AM197="Duyệt đủ",AG197,IF(AM197="Duyệt một phần",N(AN197),IF(AM197="Không duyệt",0,""))))</f>
        <v/>
      </c>
      <c r="AP197" s="21" t="str">
        <f>IF(OR($A197="",AO197=""),"",IF(AG197=0,0,ROUND((AC197*'THAM SỐ'!$B$18+AD197*'THAM SỐ'!$B$19+AE197*'THAM SỐ'!$B$20+AF197*'THAM SỐ'!$B$21)*MIN(1,AO197/AG197),0)))</f>
        <v/>
      </c>
      <c r="AQ197" s="18"/>
    </row>
    <row r="198" spans="1:43" x14ac:dyDescent="0.45">
      <c r="A198" s="17"/>
      <c r="B198" s="18"/>
      <c r="C198" s="18"/>
      <c r="D198" s="25"/>
      <c r="E198" s="26"/>
      <c r="F198" s="26"/>
      <c r="G198" s="20"/>
      <c r="H198" s="20"/>
      <c r="I198" s="18"/>
      <c r="J198" s="18"/>
      <c r="K198" s="18"/>
      <c r="L198" s="18"/>
      <c r="M198" s="18"/>
      <c r="N198" s="18"/>
      <c r="O198" s="18"/>
      <c r="P198" s="18"/>
      <c r="Q198" s="18"/>
      <c r="R198" s="18"/>
      <c r="S198" s="18"/>
      <c r="T198" s="16" t="str">
        <f>IF($A198="","",COUNTIFS('LỆNH ĐIỀU XE'!$B$5:$B$604,$A198,'LỆNH ĐIỀU XE'!$C$5:$C$604,$B198))</f>
        <v/>
      </c>
      <c r="U198" s="27" t="str">
        <f>IF($A198="","",SUMIFS('LỆNH ĐIỀU XE'!$J$5:$J$604,'LỆNH ĐIỀU XE'!$B$5:$B$604,$A198,'LỆNH ĐIỀU XE'!$C$5:$C$604,$B198))</f>
        <v/>
      </c>
      <c r="V198" s="22" t="str">
        <f t="shared" si="30"/>
        <v/>
      </c>
      <c r="W198" s="28" t="str">
        <f t="shared" si="31"/>
        <v/>
      </c>
      <c r="X198" s="28" t="str">
        <f t="shared" si="32"/>
        <v/>
      </c>
      <c r="Y198" s="28" t="str">
        <f t="shared" si="33"/>
        <v/>
      </c>
      <c r="Z198" s="22" t="str">
        <f t="shared" si="34"/>
        <v/>
      </c>
      <c r="AA198" s="28" t="str">
        <f t="shared" si="35"/>
        <v/>
      </c>
      <c r="AB198" s="28" t="str">
        <f t="shared" si="36"/>
        <v/>
      </c>
      <c r="AC198" s="28" t="str">
        <f>IF($A198="","",SUMIFS('CHẶNG TĂNG CA'!$E$5:$E$304,'CHẶNG TĂNG CA'!$A$5:$A$304,$A198,'CHẶNG TĂNG CA'!$B$5:$B$304,$B198))</f>
        <v/>
      </c>
      <c r="AD198" s="28" t="str">
        <f>IF($A198="","",SUMIFS('CHẶNG TĂNG CA'!$F$5:$F$304,'CHẶNG TĂNG CA'!$A$5:$A$304,$A198,'CHẶNG TĂNG CA'!$B$5:$B$304,$B198))</f>
        <v/>
      </c>
      <c r="AE198" s="28" t="str">
        <f>IF($A198="","",SUMIFS('CHẶNG TĂNG CA'!$G$5:$G$304,'CHẶNG TĂNG CA'!$A$5:$A$304,$A198,'CHẶNG TĂNG CA'!$B$5:$B$304,$B198))</f>
        <v/>
      </c>
      <c r="AF198" s="28" t="str">
        <f>IF($A198="","",SUMIFS('CHẶNG TĂNG CA'!$H$5:$H$304,'CHẶNG TĂNG CA'!$A$5:$A$304,$A198,'CHẶNG TĂNG CA'!$B$5:$B$304,$B198))</f>
        <v/>
      </c>
      <c r="AG198" s="28" t="str">
        <f t="shared" si="37"/>
        <v/>
      </c>
      <c r="AH198" s="16" t="str">
        <f>IF($A198="","",IF(COUNTIFS('LỆNH ĐIỀU XE'!$B$5:$B$604,$A198,'LỆNH ĐIỀU XE'!$C$5:$C$604,$B198,'LỆNH ĐIỀU XE'!$N$5:$N$604,"Có")&gt;0,"Có","Không"))</f>
        <v/>
      </c>
      <c r="AI198" s="16" t="str">
        <f>IF(OR($A198="",H198="",N(T198)=0),"",IF(_xlfn.MAXIFS('LỆNH ĐIỀU XE'!$U$5:$U$604,'LỆNH ĐIỀU XE'!$B$5:$B$604,$A198,'LỆNH ĐIỀU XE'!$C$5:$C$604,$B198)=0,"",ROUND((H198+(H198&lt;4/24)-_xlfn.MAXIFS('LỆNH ĐIỀU XE'!$U$5:$U$604,'LỆNH ĐIỀU XE'!$B$5:$B$604,$A198,'LỆNH ĐIỀU XE'!$C$5:$C$604,$B198))*1440,0)))</f>
        <v/>
      </c>
      <c r="AJ198" s="16" t="str">
        <f>IF($A198="","",IF(OR(AI198="",V198=""),"Thiếu dữ liệu",IF(AND(AI198&lt;='THAM SỐ'!$B$29,ABS(V198)&lt;='THAM SỐ'!$B$28),"Đạt","Không đạt")))</f>
        <v/>
      </c>
      <c r="AK198" s="16" t="str">
        <f t="shared" si="38"/>
        <v/>
      </c>
      <c r="AL198" s="16" t="str">
        <f>IF($A198="","",TRIM(IF(T198=0,"Không có lệnh; ","")&amp;IF(N(N198)&gt;0,"Dừng ngoài lệnh; ","")&amp;IF(N(J198)&gt;0,"Quá tốc độ; ","")&amp;IF(N(K198)&gt;0,"Lái quá 4h; ","")&amp;IF(N(L198)&gt;0,"Không tắt máy; ","")&amp;IF(OR(P198&lt;&gt;"Đủ",Q198&lt;&gt;"Đủ",R198&lt;&gt;"Đủ"),"Thiếu ảnh; ","")&amp;IF(S198&lt;&gt;"Đạt","Lốp chưa đạt; ","")&amp;IF(N(W198)&gt;'THAM SỐ'!$B$27,"Có mặt quá giờ; ","")&amp;IF(N(X198)&gt;'THAM SỐ'!$B$25,"Lái quá giờ ngày; ","")&amp;IF(ISNUMBER(V198),IF(ABS(V198)&gt;'THAM SỐ'!$B$28,"Lệch km; ",""),"")))</f>
        <v/>
      </c>
      <c r="AM198" s="29"/>
      <c r="AN198" s="30"/>
      <c r="AO198" s="28" t="str">
        <f t="shared" si="39"/>
        <v/>
      </c>
      <c r="AP198" s="21" t="str">
        <f>IF(OR($A198="",AO198=""),"",IF(AG198=0,0,ROUND((AC198*'THAM SỐ'!$B$18+AD198*'THAM SỐ'!$B$19+AE198*'THAM SỐ'!$B$20+AF198*'THAM SỐ'!$B$21)*MIN(1,AO198/AG198),0)))</f>
        <v/>
      </c>
      <c r="AQ198" s="18"/>
    </row>
    <row r="199" spans="1:43" x14ac:dyDescent="0.45">
      <c r="A199" s="17"/>
      <c r="B199" s="18"/>
      <c r="C199" s="18"/>
      <c r="D199" s="25"/>
      <c r="E199" s="26"/>
      <c r="F199" s="26"/>
      <c r="G199" s="20"/>
      <c r="H199" s="20"/>
      <c r="I199" s="18"/>
      <c r="J199" s="18"/>
      <c r="K199" s="18"/>
      <c r="L199" s="18"/>
      <c r="M199" s="18"/>
      <c r="N199" s="18"/>
      <c r="O199" s="18"/>
      <c r="P199" s="18"/>
      <c r="Q199" s="18"/>
      <c r="R199" s="18"/>
      <c r="S199" s="18"/>
      <c r="T199" s="16" t="str">
        <f>IF($A199="","",COUNTIFS('LỆNH ĐIỀU XE'!$B$5:$B$604,$A199,'LỆNH ĐIỀU XE'!$C$5:$C$604,$B199))</f>
        <v/>
      </c>
      <c r="U199" s="27" t="str">
        <f>IF($A199="","",SUMIFS('LỆNH ĐIỀU XE'!$J$5:$J$604,'LỆNH ĐIỀU XE'!$B$5:$B$604,$A199,'LỆNH ĐIỀU XE'!$C$5:$C$604,$B199))</f>
        <v/>
      </c>
      <c r="V199" s="22" t="str">
        <f t="shared" si="30"/>
        <v/>
      </c>
      <c r="W199" s="28" t="str">
        <f t="shared" si="31"/>
        <v/>
      </c>
      <c r="X199" s="28" t="str">
        <f t="shared" si="32"/>
        <v/>
      </c>
      <c r="Y199" s="28" t="str">
        <f t="shared" si="33"/>
        <v/>
      </c>
      <c r="Z199" s="22" t="str">
        <f t="shared" si="34"/>
        <v/>
      </c>
      <c r="AA199" s="28" t="str">
        <f t="shared" si="35"/>
        <v/>
      </c>
      <c r="AB199" s="28" t="str">
        <f t="shared" si="36"/>
        <v/>
      </c>
      <c r="AC199" s="28" t="str">
        <f>IF($A199="","",SUMIFS('CHẶNG TĂNG CA'!$E$5:$E$304,'CHẶNG TĂNG CA'!$A$5:$A$304,$A199,'CHẶNG TĂNG CA'!$B$5:$B$304,$B199))</f>
        <v/>
      </c>
      <c r="AD199" s="28" t="str">
        <f>IF($A199="","",SUMIFS('CHẶNG TĂNG CA'!$F$5:$F$304,'CHẶNG TĂNG CA'!$A$5:$A$304,$A199,'CHẶNG TĂNG CA'!$B$5:$B$304,$B199))</f>
        <v/>
      </c>
      <c r="AE199" s="28" t="str">
        <f>IF($A199="","",SUMIFS('CHẶNG TĂNG CA'!$G$5:$G$304,'CHẶNG TĂNG CA'!$A$5:$A$304,$A199,'CHẶNG TĂNG CA'!$B$5:$B$304,$B199))</f>
        <v/>
      </c>
      <c r="AF199" s="28" t="str">
        <f>IF($A199="","",SUMIFS('CHẶNG TĂNG CA'!$H$5:$H$304,'CHẶNG TĂNG CA'!$A$5:$A$304,$A199,'CHẶNG TĂNG CA'!$B$5:$B$304,$B199))</f>
        <v/>
      </c>
      <c r="AG199" s="28" t="str">
        <f t="shared" si="37"/>
        <v/>
      </c>
      <c r="AH199" s="16" t="str">
        <f>IF($A199="","",IF(COUNTIFS('LỆNH ĐIỀU XE'!$B$5:$B$604,$A199,'LỆNH ĐIỀU XE'!$C$5:$C$604,$B199,'LỆNH ĐIỀU XE'!$N$5:$N$604,"Có")&gt;0,"Có","Không"))</f>
        <v/>
      </c>
      <c r="AI199" s="16" t="str">
        <f>IF(OR($A199="",H199="",N(T199)=0),"",IF(_xlfn.MAXIFS('LỆNH ĐIỀU XE'!$U$5:$U$604,'LỆNH ĐIỀU XE'!$B$5:$B$604,$A199,'LỆNH ĐIỀU XE'!$C$5:$C$604,$B199)=0,"",ROUND((H199+(H199&lt;4/24)-_xlfn.MAXIFS('LỆNH ĐIỀU XE'!$U$5:$U$604,'LỆNH ĐIỀU XE'!$B$5:$B$604,$A199,'LỆNH ĐIỀU XE'!$C$5:$C$604,$B199))*1440,0)))</f>
        <v/>
      </c>
      <c r="AJ199" s="16" t="str">
        <f>IF($A199="","",IF(OR(AI199="",V199=""),"Thiếu dữ liệu",IF(AND(AI199&lt;='THAM SỐ'!$B$29,ABS(V199)&lt;='THAM SỐ'!$B$28),"Đạt","Không đạt")))</f>
        <v/>
      </c>
      <c r="AK199" s="16" t="str">
        <f t="shared" si="38"/>
        <v/>
      </c>
      <c r="AL199" s="16" t="str">
        <f>IF($A199="","",TRIM(IF(T199=0,"Không có lệnh; ","")&amp;IF(N(N199)&gt;0,"Dừng ngoài lệnh; ","")&amp;IF(N(J199)&gt;0,"Quá tốc độ; ","")&amp;IF(N(K199)&gt;0,"Lái quá 4h; ","")&amp;IF(N(L199)&gt;0,"Không tắt máy; ","")&amp;IF(OR(P199&lt;&gt;"Đủ",Q199&lt;&gt;"Đủ",R199&lt;&gt;"Đủ"),"Thiếu ảnh; ","")&amp;IF(S199&lt;&gt;"Đạt","Lốp chưa đạt; ","")&amp;IF(N(W199)&gt;'THAM SỐ'!$B$27,"Có mặt quá giờ; ","")&amp;IF(N(X199)&gt;'THAM SỐ'!$B$25,"Lái quá giờ ngày; ","")&amp;IF(ISNUMBER(V199),IF(ABS(V199)&gt;'THAM SỐ'!$B$28,"Lệch km; ",""),"")))</f>
        <v/>
      </c>
      <c r="AM199" s="29"/>
      <c r="AN199" s="30"/>
      <c r="AO199" s="28" t="str">
        <f t="shared" si="39"/>
        <v/>
      </c>
      <c r="AP199" s="21" t="str">
        <f>IF(OR($A199="",AO199=""),"",IF(AG199=0,0,ROUND((AC199*'THAM SỐ'!$B$18+AD199*'THAM SỐ'!$B$19+AE199*'THAM SỐ'!$B$20+AF199*'THAM SỐ'!$B$21)*MIN(1,AO199/AG199),0)))</f>
        <v/>
      </c>
      <c r="AQ199" s="18"/>
    </row>
    <row r="200" spans="1:43" x14ac:dyDescent="0.45">
      <c r="A200" s="17"/>
      <c r="B200" s="18"/>
      <c r="C200" s="18"/>
      <c r="D200" s="25"/>
      <c r="E200" s="26"/>
      <c r="F200" s="26"/>
      <c r="G200" s="20"/>
      <c r="H200" s="20"/>
      <c r="I200" s="18"/>
      <c r="J200" s="18"/>
      <c r="K200" s="18"/>
      <c r="L200" s="18"/>
      <c r="M200" s="18"/>
      <c r="N200" s="18"/>
      <c r="O200" s="18"/>
      <c r="P200" s="18"/>
      <c r="Q200" s="18"/>
      <c r="R200" s="18"/>
      <c r="S200" s="18"/>
      <c r="T200" s="16" t="str">
        <f>IF($A200="","",COUNTIFS('LỆNH ĐIỀU XE'!$B$5:$B$604,$A200,'LỆNH ĐIỀU XE'!$C$5:$C$604,$B200))</f>
        <v/>
      </c>
      <c r="U200" s="27" t="str">
        <f>IF($A200="","",SUMIFS('LỆNH ĐIỀU XE'!$J$5:$J$604,'LỆNH ĐIỀU XE'!$B$5:$B$604,$A200,'LỆNH ĐIỀU XE'!$C$5:$C$604,$B200))</f>
        <v/>
      </c>
      <c r="V200" s="22" t="str">
        <f t="shared" si="30"/>
        <v/>
      </c>
      <c r="W200" s="28" t="str">
        <f t="shared" si="31"/>
        <v/>
      </c>
      <c r="X200" s="28" t="str">
        <f t="shared" si="32"/>
        <v/>
      </c>
      <c r="Y200" s="28" t="str">
        <f t="shared" si="33"/>
        <v/>
      </c>
      <c r="Z200" s="22" t="str">
        <f t="shared" si="34"/>
        <v/>
      </c>
      <c r="AA200" s="28" t="str">
        <f t="shared" si="35"/>
        <v/>
      </c>
      <c r="AB200" s="28" t="str">
        <f t="shared" si="36"/>
        <v/>
      </c>
      <c r="AC200" s="28" t="str">
        <f>IF($A200="","",SUMIFS('CHẶNG TĂNG CA'!$E$5:$E$304,'CHẶNG TĂNG CA'!$A$5:$A$304,$A200,'CHẶNG TĂNG CA'!$B$5:$B$304,$B200))</f>
        <v/>
      </c>
      <c r="AD200" s="28" t="str">
        <f>IF($A200="","",SUMIFS('CHẶNG TĂNG CA'!$F$5:$F$304,'CHẶNG TĂNG CA'!$A$5:$A$304,$A200,'CHẶNG TĂNG CA'!$B$5:$B$304,$B200))</f>
        <v/>
      </c>
      <c r="AE200" s="28" t="str">
        <f>IF($A200="","",SUMIFS('CHẶNG TĂNG CA'!$G$5:$G$304,'CHẶNG TĂNG CA'!$A$5:$A$304,$A200,'CHẶNG TĂNG CA'!$B$5:$B$304,$B200))</f>
        <v/>
      </c>
      <c r="AF200" s="28" t="str">
        <f>IF($A200="","",SUMIFS('CHẶNG TĂNG CA'!$H$5:$H$304,'CHẶNG TĂNG CA'!$A$5:$A$304,$A200,'CHẶNG TĂNG CA'!$B$5:$B$304,$B200))</f>
        <v/>
      </c>
      <c r="AG200" s="28" t="str">
        <f t="shared" si="37"/>
        <v/>
      </c>
      <c r="AH200" s="16" t="str">
        <f>IF($A200="","",IF(COUNTIFS('LỆNH ĐIỀU XE'!$B$5:$B$604,$A200,'LỆNH ĐIỀU XE'!$C$5:$C$604,$B200,'LỆNH ĐIỀU XE'!$N$5:$N$604,"Có")&gt;0,"Có","Không"))</f>
        <v/>
      </c>
      <c r="AI200" s="16" t="str">
        <f>IF(OR($A200="",H200="",N(T200)=0),"",IF(_xlfn.MAXIFS('LỆNH ĐIỀU XE'!$U$5:$U$604,'LỆNH ĐIỀU XE'!$B$5:$B$604,$A200,'LỆNH ĐIỀU XE'!$C$5:$C$604,$B200)=0,"",ROUND((H200+(H200&lt;4/24)-_xlfn.MAXIFS('LỆNH ĐIỀU XE'!$U$5:$U$604,'LỆNH ĐIỀU XE'!$B$5:$B$604,$A200,'LỆNH ĐIỀU XE'!$C$5:$C$604,$B200))*1440,0)))</f>
        <v/>
      </c>
      <c r="AJ200" s="16" t="str">
        <f>IF($A200="","",IF(OR(AI200="",V200=""),"Thiếu dữ liệu",IF(AND(AI200&lt;='THAM SỐ'!$B$29,ABS(V200)&lt;='THAM SỐ'!$B$28),"Đạt","Không đạt")))</f>
        <v/>
      </c>
      <c r="AK200" s="16" t="str">
        <f t="shared" si="38"/>
        <v/>
      </c>
      <c r="AL200" s="16" t="str">
        <f>IF($A200="","",TRIM(IF(T200=0,"Không có lệnh; ","")&amp;IF(N(N200)&gt;0,"Dừng ngoài lệnh; ","")&amp;IF(N(J200)&gt;0,"Quá tốc độ; ","")&amp;IF(N(K200)&gt;0,"Lái quá 4h; ","")&amp;IF(N(L200)&gt;0,"Không tắt máy; ","")&amp;IF(OR(P200&lt;&gt;"Đủ",Q200&lt;&gt;"Đủ",R200&lt;&gt;"Đủ"),"Thiếu ảnh; ","")&amp;IF(S200&lt;&gt;"Đạt","Lốp chưa đạt; ","")&amp;IF(N(W200)&gt;'THAM SỐ'!$B$27,"Có mặt quá giờ; ","")&amp;IF(N(X200)&gt;'THAM SỐ'!$B$25,"Lái quá giờ ngày; ","")&amp;IF(ISNUMBER(V200),IF(ABS(V200)&gt;'THAM SỐ'!$B$28,"Lệch km; ",""),"")))</f>
        <v/>
      </c>
      <c r="AM200" s="29"/>
      <c r="AN200" s="30"/>
      <c r="AO200" s="28" t="str">
        <f t="shared" si="39"/>
        <v/>
      </c>
      <c r="AP200" s="21" t="str">
        <f>IF(OR($A200="",AO200=""),"",IF(AG200=0,0,ROUND((AC200*'THAM SỐ'!$B$18+AD200*'THAM SỐ'!$B$19+AE200*'THAM SỐ'!$B$20+AF200*'THAM SỐ'!$B$21)*MIN(1,AO200/AG200),0)))</f>
        <v/>
      </c>
      <c r="AQ200" s="18"/>
    </row>
    <row r="201" spans="1:43" x14ac:dyDescent="0.45">
      <c r="A201" s="17"/>
      <c r="B201" s="18"/>
      <c r="C201" s="18"/>
      <c r="D201" s="25"/>
      <c r="E201" s="26"/>
      <c r="F201" s="26"/>
      <c r="G201" s="20"/>
      <c r="H201" s="20"/>
      <c r="I201" s="18"/>
      <c r="J201" s="18"/>
      <c r="K201" s="18"/>
      <c r="L201" s="18"/>
      <c r="M201" s="18"/>
      <c r="N201" s="18"/>
      <c r="O201" s="18"/>
      <c r="P201" s="18"/>
      <c r="Q201" s="18"/>
      <c r="R201" s="18"/>
      <c r="S201" s="18"/>
      <c r="T201" s="16" t="str">
        <f>IF($A201="","",COUNTIFS('LỆNH ĐIỀU XE'!$B$5:$B$604,$A201,'LỆNH ĐIỀU XE'!$C$5:$C$604,$B201))</f>
        <v/>
      </c>
      <c r="U201" s="27" t="str">
        <f>IF($A201="","",SUMIFS('LỆNH ĐIỀU XE'!$J$5:$J$604,'LỆNH ĐIỀU XE'!$B$5:$B$604,$A201,'LỆNH ĐIỀU XE'!$C$5:$C$604,$B201))</f>
        <v/>
      </c>
      <c r="V201" s="22" t="str">
        <f t="shared" si="30"/>
        <v/>
      </c>
      <c r="W201" s="28" t="str">
        <f t="shared" si="31"/>
        <v/>
      </c>
      <c r="X201" s="28" t="str">
        <f t="shared" si="32"/>
        <v/>
      </c>
      <c r="Y201" s="28" t="str">
        <f t="shared" si="33"/>
        <v/>
      </c>
      <c r="Z201" s="22" t="str">
        <f t="shared" si="34"/>
        <v/>
      </c>
      <c r="AA201" s="28" t="str">
        <f t="shared" si="35"/>
        <v/>
      </c>
      <c r="AB201" s="28" t="str">
        <f t="shared" si="36"/>
        <v/>
      </c>
      <c r="AC201" s="28" t="str">
        <f>IF($A201="","",SUMIFS('CHẶNG TĂNG CA'!$E$5:$E$304,'CHẶNG TĂNG CA'!$A$5:$A$304,$A201,'CHẶNG TĂNG CA'!$B$5:$B$304,$B201))</f>
        <v/>
      </c>
      <c r="AD201" s="28" t="str">
        <f>IF($A201="","",SUMIFS('CHẶNG TĂNG CA'!$F$5:$F$304,'CHẶNG TĂNG CA'!$A$5:$A$304,$A201,'CHẶNG TĂNG CA'!$B$5:$B$304,$B201))</f>
        <v/>
      </c>
      <c r="AE201" s="28" t="str">
        <f>IF($A201="","",SUMIFS('CHẶNG TĂNG CA'!$G$5:$G$304,'CHẶNG TĂNG CA'!$A$5:$A$304,$A201,'CHẶNG TĂNG CA'!$B$5:$B$304,$B201))</f>
        <v/>
      </c>
      <c r="AF201" s="28" t="str">
        <f>IF($A201="","",SUMIFS('CHẶNG TĂNG CA'!$H$5:$H$304,'CHẶNG TĂNG CA'!$A$5:$A$304,$A201,'CHẶNG TĂNG CA'!$B$5:$B$304,$B201))</f>
        <v/>
      </c>
      <c r="AG201" s="28" t="str">
        <f t="shared" si="37"/>
        <v/>
      </c>
      <c r="AH201" s="16" t="str">
        <f>IF($A201="","",IF(COUNTIFS('LỆNH ĐIỀU XE'!$B$5:$B$604,$A201,'LỆNH ĐIỀU XE'!$C$5:$C$604,$B201,'LỆNH ĐIỀU XE'!$N$5:$N$604,"Có")&gt;0,"Có","Không"))</f>
        <v/>
      </c>
      <c r="AI201" s="16" t="str">
        <f>IF(OR($A201="",H201="",N(T201)=0),"",IF(_xlfn.MAXIFS('LỆNH ĐIỀU XE'!$U$5:$U$604,'LỆNH ĐIỀU XE'!$B$5:$B$604,$A201,'LỆNH ĐIỀU XE'!$C$5:$C$604,$B201)=0,"",ROUND((H201+(H201&lt;4/24)-_xlfn.MAXIFS('LỆNH ĐIỀU XE'!$U$5:$U$604,'LỆNH ĐIỀU XE'!$B$5:$B$604,$A201,'LỆNH ĐIỀU XE'!$C$5:$C$604,$B201))*1440,0)))</f>
        <v/>
      </c>
      <c r="AJ201" s="16" t="str">
        <f>IF($A201="","",IF(OR(AI201="",V201=""),"Thiếu dữ liệu",IF(AND(AI201&lt;='THAM SỐ'!$B$29,ABS(V201)&lt;='THAM SỐ'!$B$28),"Đạt","Không đạt")))</f>
        <v/>
      </c>
      <c r="AK201" s="16" t="str">
        <f t="shared" si="38"/>
        <v/>
      </c>
      <c r="AL201" s="16" t="str">
        <f>IF($A201="","",TRIM(IF(T201=0,"Không có lệnh; ","")&amp;IF(N(N201)&gt;0,"Dừng ngoài lệnh; ","")&amp;IF(N(J201)&gt;0,"Quá tốc độ; ","")&amp;IF(N(K201)&gt;0,"Lái quá 4h; ","")&amp;IF(N(L201)&gt;0,"Không tắt máy; ","")&amp;IF(OR(P201&lt;&gt;"Đủ",Q201&lt;&gt;"Đủ",R201&lt;&gt;"Đủ"),"Thiếu ảnh; ","")&amp;IF(S201&lt;&gt;"Đạt","Lốp chưa đạt; ","")&amp;IF(N(W201)&gt;'THAM SỐ'!$B$27,"Có mặt quá giờ; ","")&amp;IF(N(X201)&gt;'THAM SỐ'!$B$25,"Lái quá giờ ngày; ","")&amp;IF(ISNUMBER(V201),IF(ABS(V201)&gt;'THAM SỐ'!$B$28,"Lệch km; ",""),"")))</f>
        <v/>
      </c>
      <c r="AM201" s="29"/>
      <c r="AN201" s="30"/>
      <c r="AO201" s="28" t="str">
        <f t="shared" si="39"/>
        <v/>
      </c>
      <c r="AP201" s="21" t="str">
        <f>IF(OR($A201="",AO201=""),"",IF(AG201=0,0,ROUND((AC201*'THAM SỐ'!$B$18+AD201*'THAM SỐ'!$B$19+AE201*'THAM SỐ'!$B$20+AF201*'THAM SỐ'!$B$21)*MIN(1,AO201/AG201),0)))</f>
        <v/>
      </c>
      <c r="AQ201" s="18"/>
    </row>
    <row r="202" spans="1:43" x14ac:dyDescent="0.45">
      <c r="A202" s="17"/>
      <c r="B202" s="18"/>
      <c r="C202" s="18"/>
      <c r="D202" s="25"/>
      <c r="E202" s="26"/>
      <c r="F202" s="26"/>
      <c r="G202" s="20"/>
      <c r="H202" s="20"/>
      <c r="I202" s="18"/>
      <c r="J202" s="18"/>
      <c r="K202" s="18"/>
      <c r="L202" s="18"/>
      <c r="M202" s="18"/>
      <c r="N202" s="18"/>
      <c r="O202" s="18"/>
      <c r="P202" s="18"/>
      <c r="Q202" s="18"/>
      <c r="R202" s="18"/>
      <c r="S202" s="18"/>
      <c r="T202" s="16" t="str">
        <f>IF($A202="","",COUNTIFS('LỆNH ĐIỀU XE'!$B$5:$B$604,$A202,'LỆNH ĐIỀU XE'!$C$5:$C$604,$B202))</f>
        <v/>
      </c>
      <c r="U202" s="27" t="str">
        <f>IF($A202="","",SUMIFS('LỆNH ĐIỀU XE'!$J$5:$J$604,'LỆNH ĐIỀU XE'!$B$5:$B$604,$A202,'LỆNH ĐIỀU XE'!$C$5:$C$604,$B202))</f>
        <v/>
      </c>
      <c r="V202" s="22" t="str">
        <f t="shared" si="30"/>
        <v/>
      </c>
      <c r="W202" s="28" t="str">
        <f t="shared" si="31"/>
        <v/>
      </c>
      <c r="X202" s="28" t="str">
        <f t="shared" si="32"/>
        <v/>
      </c>
      <c r="Y202" s="28" t="str">
        <f t="shared" si="33"/>
        <v/>
      </c>
      <c r="Z202" s="22" t="str">
        <f t="shared" si="34"/>
        <v/>
      </c>
      <c r="AA202" s="28" t="str">
        <f t="shared" si="35"/>
        <v/>
      </c>
      <c r="AB202" s="28" t="str">
        <f t="shared" si="36"/>
        <v/>
      </c>
      <c r="AC202" s="28" t="str">
        <f>IF($A202="","",SUMIFS('CHẶNG TĂNG CA'!$E$5:$E$304,'CHẶNG TĂNG CA'!$A$5:$A$304,$A202,'CHẶNG TĂNG CA'!$B$5:$B$304,$B202))</f>
        <v/>
      </c>
      <c r="AD202" s="28" t="str">
        <f>IF($A202="","",SUMIFS('CHẶNG TĂNG CA'!$F$5:$F$304,'CHẶNG TĂNG CA'!$A$5:$A$304,$A202,'CHẶNG TĂNG CA'!$B$5:$B$304,$B202))</f>
        <v/>
      </c>
      <c r="AE202" s="28" t="str">
        <f>IF($A202="","",SUMIFS('CHẶNG TĂNG CA'!$G$5:$G$304,'CHẶNG TĂNG CA'!$A$5:$A$304,$A202,'CHẶNG TĂNG CA'!$B$5:$B$304,$B202))</f>
        <v/>
      </c>
      <c r="AF202" s="28" t="str">
        <f>IF($A202="","",SUMIFS('CHẶNG TĂNG CA'!$H$5:$H$304,'CHẶNG TĂNG CA'!$A$5:$A$304,$A202,'CHẶNG TĂNG CA'!$B$5:$B$304,$B202))</f>
        <v/>
      </c>
      <c r="AG202" s="28" t="str">
        <f t="shared" si="37"/>
        <v/>
      </c>
      <c r="AH202" s="16" t="str">
        <f>IF($A202="","",IF(COUNTIFS('LỆNH ĐIỀU XE'!$B$5:$B$604,$A202,'LỆNH ĐIỀU XE'!$C$5:$C$604,$B202,'LỆNH ĐIỀU XE'!$N$5:$N$604,"Có")&gt;0,"Có","Không"))</f>
        <v/>
      </c>
      <c r="AI202" s="16" t="str">
        <f>IF(OR($A202="",H202="",N(T202)=0),"",IF(_xlfn.MAXIFS('LỆNH ĐIỀU XE'!$U$5:$U$604,'LỆNH ĐIỀU XE'!$B$5:$B$604,$A202,'LỆNH ĐIỀU XE'!$C$5:$C$604,$B202)=0,"",ROUND((H202+(H202&lt;4/24)-_xlfn.MAXIFS('LỆNH ĐIỀU XE'!$U$5:$U$604,'LỆNH ĐIỀU XE'!$B$5:$B$604,$A202,'LỆNH ĐIỀU XE'!$C$5:$C$604,$B202))*1440,0)))</f>
        <v/>
      </c>
      <c r="AJ202" s="16" t="str">
        <f>IF($A202="","",IF(OR(AI202="",V202=""),"Thiếu dữ liệu",IF(AND(AI202&lt;='THAM SỐ'!$B$29,ABS(V202)&lt;='THAM SỐ'!$B$28),"Đạt","Không đạt")))</f>
        <v/>
      </c>
      <c r="AK202" s="16" t="str">
        <f t="shared" si="38"/>
        <v/>
      </c>
      <c r="AL202" s="16" t="str">
        <f>IF($A202="","",TRIM(IF(T202=0,"Không có lệnh; ","")&amp;IF(N(N202)&gt;0,"Dừng ngoài lệnh; ","")&amp;IF(N(J202)&gt;0,"Quá tốc độ; ","")&amp;IF(N(K202)&gt;0,"Lái quá 4h; ","")&amp;IF(N(L202)&gt;0,"Không tắt máy; ","")&amp;IF(OR(P202&lt;&gt;"Đủ",Q202&lt;&gt;"Đủ",R202&lt;&gt;"Đủ"),"Thiếu ảnh; ","")&amp;IF(S202&lt;&gt;"Đạt","Lốp chưa đạt; ","")&amp;IF(N(W202)&gt;'THAM SỐ'!$B$27,"Có mặt quá giờ; ","")&amp;IF(N(X202)&gt;'THAM SỐ'!$B$25,"Lái quá giờ ngày; ","")&amp;IF(ISNUMBER(V202),IF(ABS(V202)&gt;'THAM SỐ'!$B$28,"Lệch km; ",""),"")))</f>
        <v/>
      </c>
      <c r="AM202" s="29"/>
      <c r="AN202" s="30"/>
      <c r="AO202" s="28" t="str">
        <f t="shared" si="39"/>
        <v/>
      </c>
      <c r="AP202" s="21" t="str">
        <f>IF(OR($A202="",AO202=""),"",IF(AG202=0,0,ROUND((AC202*'THAM SỐ'!$B$18+AD202*'THAM SỐ'!$B$19+AE202*'THAM SỐ'!$B$20+AF202*'THAM SỐ'!$B$21)*MIN(1,AO202/AG202),0)))</f>
        <v/>
      </c>
      <c r="AQ202" s="18"/>
    </row>
    <row r="203" spans="1:43" x14ac:dyDescent="0.45">
      <c r="A203" s="17"/>
      <c r="B203" s="18"/>
      <c r="C203" s="18"/>
      <c r="D203" s="25"/>
      <c r="E203" s="26"/>
      <c r="F203" s="26"/>
      <c r="G203" s="20"/>
      <c r="H203" s="20"/>
      <c r="I203" s="18"/>
      <c r="J203" s="18"/>
      <c r="K203" s="18"/>
      <c r="L203" s="18"/>
      <c r="M203" s="18"/>
      <c r="N203" s="18"/>
      <c r="O203" s="18"/>
      <c r="P203" s="18"/>
      <c r="Q203" s="18"/>
      <c r="R203" s="18"/>
      <c r="S203" s="18"/>
      <c r="T203" s="16" t="str">
        <f>IF($A203="","",COUNTIFS('LỆNH ĐIỀU XE'!$B$5:$B$604,$A203,'LỆNH ĐIỀU XE'!$C$5:$C$604,$B203))</f>
        <v/>
      </c>
      <c r="U203" s="27" t="str">
        <f>IF($A203="","",SUMIFS('LỆNH ĐIỀU XE'!$J$5:$J$604,'LỆNH ĐIỀU XE'!$B$5:$B$604,$A203,'LỆNH ĐIỀU XE'!$C$5:$C$604,$B203))</f>
        <v/>
      </c>
      <c r="V203" s="22" t="str">
        <f t="shared" si="30"/>
        <v/>
      </c>
      <c r="W203" s="28" t="str">
        <f t="shared" si="31"/>
        <v/>
      </c>
      <c r="X203" s="28" t="str">
        <f t="shared" si="32"/>
        <v/>
      </c>
      <c r="Y203" s="28" t="str">
        <f t="shared" si="33"/>
        <v/>
      </c>
      <c r="Z203" s="22" t="str">
        <f t="shared" si="34"/>
        <v/>
      </c>
      <c r="AA203" s="28" t="str">
        <f t="shared" si="35"/>
        <v/>
      </c>
      <c r="AB203" s="28" t="str">
        <f t="shared" si="36"/>
        <v/>
      </c>
      <c r="AC203" s="28" t="str">
        <f>IF($A203="","",SUMIFS('CHẶNG TĂNG CA'!$E$5:$E$304,'CHẶNG TĂNG CA'!$A$5:$A$304,$A203,'CHẶNG TĂNG CA'!$B$5:$B$304,$B203))</f>
        <v/>
      </c>
      <c r="AD203" s="28" t="str">
        <f>IF($A203="","",SUMIFS('CHẶNG TĂNG CA'!$F$5:$F$304,'CHẶNG TĂNG CA'!$A$5:$A$304,$A203,'CHẶNG TĂNG CA'!$B$5:$B$304,$B203))</f>
        <v/>
      </c>
      <c r="AE203" s="28" t="str">
        <f>IF($A203="","",SUMIFS('CHẶNG TĂNG CA'!$G$5:$G$304,'CHẶNG TĂNG CA'!$A$5:$A$304,$A203,'CHẶNG TĂNG CA'!$B$5:$B$304,$B203))</f>
        <v/>
      </c>
      <c r="AF203" s="28" t="str">
        <f>IF($A203="","",SUMIFS('CHẶNG TĂNG CA'!$H$5:$H$304,'CHẶNG TĂNG CA'!$A$5:$A$304,$A203,'CHẶNG TĂNG CA'!$B$5:$B$304,$B203))</f>
        <v/>
      </c>
      <c r="AG203" s="28" t="str">
        <f t="shared" si="37"/>
        <v/>
      </c>
      <c r="AH203" s="16" t="str">
        <f>IF($A203="","",IF(COUNTIFS('LỆNH ĐIỀU XE'!$B$5:$B$604,$A203,'LỆNH ĐIỀU XE'!$C$5:$C$604,$B203,'LỆNH ĐIỀU XE'!$N$5:$N$604,"Có")&gt;0,"Có","Không"))</f>
        <v/>
      </c>
      <c r="AI203" s="16" t="str">
        <f>IF(OR($A203="",H203="",N(T203)=0),"",IF(_xlfn.MAXIFS('LỆNH ĐIỀU XE'!$U$5:$U$604,'LỆNH ĐIỀU XE'!$B$5:$B$604,$A203,'LỆNH ĐIỀU XE'!$C$5:$C$604,$B203)=0,"",ROUND((H203+(H203&lt;4/24)-_xlfn.MAXIFS('LỆNH ĐIỀU XE'!$U$5:$U$604,'LỆNH ĐIỀU XE'!$B$5:$B$604,$A203,'LỆNH ĐIỀU XE'!$C$5:$C$604,$B203))*1440,0)))</f>
        <v/>
      </c>
      <c r="AJ203" s="16" t="str">
        <f>IF($A203="","",IF(OR(AI203="",V203=""),"Thiếu dữ liệu",IF(AND(AI203&lt;='THAM SỐ'!$B$29,ABS(V203)&lt;='THAM SỐ'!$B$28),"Đạt","Không đạt")))</f>
        <v/>
      </c>
      <c r="AK203" s="16" t="str">
        <f t="shared" si="38"/>
        <v/>
      </c>
      <c r="AL203" s="16" t="str">
        <f>IF($A203="","",TRIM(IF(T203=0,"Không có lệnh; ","")&amp;IF(N(N203)&gt;0,"Dừng ngoài lệnh; ","")&amp;IF(N(J203)&gt;0,"Quá tốc độ; ","")&amp;IF(N(K203)&gt;0,"Lái quá 4h; ","")&amp;IF(N(L203)&gt;0,"Không tắt máy; ","")&amp;IF(OR(P203&lt;&gt;"Đủ",Q203&lt;&gt;"Đủ",R203&lt;&gt;"Đủ"),"Thiếu ảnh; ","")&amp;IF(S203&lt;&gt;"Đạt","Lốp chưa đạt; ","")&amp;IF(N(W203)&gt;'THAM SỐ'!$B$27,"Có mặt quá giờ; ","")&amp;IF(N(X203)&gt;'THAM SỐ'!$B$25,"Lái quá giờ ngày; ","")&amp;IF(ISNUMBER(V203),IF(ABS(V203)&gt;'THAM SỐ'!$B$28,"Lệch km; ",""),"")))</f>
        <v/>
      </c>
      <c r="AM203" s="29"/>
      <c r="AN203" s="30"/>
      <c r="AO203" s="28" t="str">
        <f t="shared" si="39"/>
        <v/>
      </c>
      <c r="AP203" s="21" t="str">
        <f>IF(OR($A203="",AO203=""),"",IF(AG203=0,0,ROUND((AC203*'THAM SỐ'!$B$18+AD203*'THAM SỐ'!$B$19+AE203*'THAM SỐ'!$B$20+AF203*'THAM SỐ'!$B$21)*MIN(1,AO203/AG203),0)))</f>
        <v/>
      </c>
      <c r="AQ203" s="18"/>
    </row>
    <row r="204" spans="1:43" x14ac:dyDescent="0.45">
      <c r="A204" s="17"/>
      <c r="B204" s="18"/>
      <c r="C204" s="18"/>
      <c r="D204" s="25"/>
      <c r="E204" s="26"/>
      <c r="F204" s="26"/>
      <c r="G204" s="20"/>
      <c r="H204" s="20"/>
      <c r="I204" s="18"/>
      <c r="J204" s="18"/>
      <c r="K204" s="18"/>
      <c r="L204" s="18"/>
      <c r="M204" s="18"/>
      <c r="N204" s="18"/>
      <c r="O204" s="18"/>
      <c r="P204" s="18"/>
      <c r="Q204" s="18"/>
      <c r="R204" s="18"/>
      <c r="S204" s="18"/>
      <c r="T204" s="16" t="str">
        <f>IF($A204="","",COUNTIFS('LỆNH ĐIỀU XE'!$B$5:$B$604,$A204,'LỆNH ĐIỀU XE'!$C$5:$C$604,$B204))</f>
        <v/>
      </c>
      <c r="U204" s="27" t="str">
        <f>IF($A204="","",SUMIFS('LỆNH ĐIỀU XE'!$J$5:$J$604,'LỆNH ĐIỀU XE'!$B$5:$B$604,$A204,'LỆNH ĐIỀU XE'!$C$5:$C$604,$B204))</f>
        <v/>
      </c>
      <c r="V204" s="22" t="str">
        <f t="shared" si="30"/>
        <v/>
      </c>
      <c r="W204" s="28" t="str">
        <f t="shared" si="31"/>
        <v/>
      </c>
      <c r="X204" s="28" t="str">
        <f t="shared" si="32"/>
        <v/>
      </c>
      <c r="Y204" s="28" t="str">
        <f t="shared" si="33"/>
        <v/>
      </c>
      <c r="Z204" s="22" t="str">
        <f t="shared" si="34"/>
        <v/>
      </c>
      <c r="AA204" s="28" t="str">
        <f t="shared" si="35"/>
        <v/>
      </c>
      <c r="AB204" s="28" t="str">
        <f t="shared" si="36"/>
        <v/>
      </c>
      <c r="AC204" s="28" t="str">
        <f>IF($A204="","",SUMIFS('CHẶNG TĂNG CA'!$E$5:$E$304,'CHẶNG TĂNG CA'!$A$5:$A$304,$A204,'CHẶNG TĂNG CA'!$B$5:$B$304,$B204))</f>
        <v/>
      </c>
      <c r="AD204" s="28" t="str">
        <f>IF($A204="","",SUMIFS('CHẶNG TĂNG CA'!$F$5:$F$304,'CHẶNG TĂNG CA'!$A$5:$A$304,$A204,'CHẶNG TĂNG CA'!$B$5:$B$304,$B204))</f>
        <v/>
      </c>
      <c r="AE204" s="28" t="str">
        <f>IF($A204="","",SUMIFS('CHẶNG TĂNG CA'!$G$5:$G$304,'CHẶNG TĂNG CA'!$A$5:$A$304,$A204,'CHẶNG TĂNG CA'!$B$5:$B$304,$B204))</f>
        <v/>
      </c>
      <c r="AF204" s="28" t="str">
        <f>IF($A204="","",SUMIFS('CHẶNG TĂNG CA'!$H$5:$H$304,'CHẶNG TĂNG CA'!$A$5:$A$304,$A204,'CHẶNG TĂNG CA'!$B$5:$B$304,$B204))</f>
        <v/>
      </c>
      <c r="AG204" s="28" t="str">
        <f t="shared" si="37"/>
        <v/>
      </c>
      <c r="AH204" s="16" t="str">
        <f>IF($A204="","",IF(COUNTIFS('LỆNH ĐIỀU XE'!$B$5:$B$604,$A204,'LỆNH ĐIỀU XE'!$C$5:$C$604,$B204,'LỆNH ĐIỀU XE'!$N$5:$N$604,"Có")&gt;0,"Có","Không"))</f>
        <v/>
      </c>
      <c r="AI204" s="16" t="str">
        <f>IF(OR($A204="",H204="",N(T204)=0),"",IF(_xlfn.MAXIFS('LỆNH ĐIỀU XE'!$U$5:$U$604,'LỆNH ĐIỀU XE'!$B$5:$B$604,$A204,'LỆNH ĐIỀU XE'!$C$5:$C$604,$B204)=0,"",ROUND((H204+(H204&lt;4/24)-_xlfn.MAXIFS('LỆNH ĐIỀU XE'!$U$5:$U$604,'LỆNH ĐIỀU XE'!$B$5:$B$604,$A204,'LỆNH ĐIỀU XE'!$C$5:$C$604,$B204))*1440,0)))</f>
        <v/>
      </c>
      <c r="AJ204" s="16" t="str">
        <f>IF($A204="","",IF(OR(AI204="",V204=""),"Thiếu dữ liệu",IF(AND(AI204&lt;='THAM SỐ'!$B$29,ABS(V204)&lt;='THAM SỐ'!$B$28),"Đạt","Không đạt")))</f>
        <v/>
      </c>
      <c r="AK204" s="16" t="str">
        <f t="shared" si="38"/>
        <v/>
      </c>
      <c r="AL204" s="16" t="str">
        <f>IF($A204="","",TRIM(IF(T204=0,"Không có lệnh; ","")&amp;IF(N(N204)&gt;0,"Dừng ngoài lệnh; ","")&amp;IF(N(J204)&gt;0,"Quá tốc độ; ","")&amp;IF(N(K204)&gt;0,"Lái quá 4h; ","")&amp;IF(N(L204)&gt;0,"Không tắt máy; ","")&amp;IF(OR(P204&lt;&gt;"Đủ",Q204&lt;&gt;"Đủ",R204&lt;&gt;"Đủ"),"Thiếu ảnh; ","")&amp;IF(S204&lt;&gt;"Đạt","Lốp chưa đạt; ","")&amp;IF(N(W204)&gt;'THAM SỐ'!$B$27,"Có mặt quá giờ; ","")&amp;IF(N(X204)&gt;'THAM SỐ'!$B$25,"Lái quá giờ ngày; ","")&amp;IF(ISNUMBER(V204),IF(ABS(V204)&gt;'THAM SỐ'!$B$28,"Lệch km; ",""),"")))</f>
        <v/>
      </c>
      <c r="AM204" s="29"/>
      <c r="AN204" s="30"/>
      <c r="AO204" s="28" t="str">
        <f t="shared" si="39"/>
        <v/>
      </c>
      <c r="AP204" s="21" t="str">
        <f>IF(OR($A204="",AO204=""),"",IF(AG204=0,0,ROUND((AC204*'THAM SỐ'!$B$18+AD204*'THAM SỐ'!$B$19+AE204*'THAM SỐ'!$B$20+AF204*'THAM SỐ'!$B$21)*MIN(1,AO204/AG204),0)))</f>
        <v/>
      </c>
      <c r="AQ204" s="18"/>
    </row>
    <row r="205" spans="1:43" x14ac:dyDescent="0.45">
      <c r="A205" s="17"/>
      <c r="B205" s="18"/>
      <c r="C205" s="18"/>
      <c r="D205" s="25"/>
      <c r="E205" s="26"/>
      <c r="F205" s="26"/>
      <c r="G205" s="20"/>
      <c r="H205" s="20"/>
      <c r="I205" s="18"/>
      <c r="J205" s="18"/>
      <c r="K205" s="18"/>
      <c r="L205" s="18"/>
      <c r="M205" s="18"/>
      <c r="N205" s="18"/>
      <c r="O205" s="18"/>
      <c r="P205" s="18"/>
      <c r="Q205" s="18"/>
      <c r="R205" s="18"/>
      <c r="S205" s="18"/>
      <c r="T205" s="16" t="str">
        <f>IF($A205="","",COUNTIFS('LỆNH ĐIỀU XE'!$B$5:$B$604,$A205,'LỆNH ĐIỀU XE'!$C$5:$C$604,$B205))</f>
        <v/>
      </c>
      <c r="U205" s="27" t="str">
        <f>IF($A205="","",SUMIFS('LỆNH ĐIỀU XE'!$J$5:$J$604,'LỆNH ĐIỀU XE'!$B$5:$B$604,$A205,'LỆNH ĐIỀU XE'!$C$5:$C$604,$B205))</f>
        <v/>
      </c>
      <c r="V205" s="22" t="str">
        <f t="shared" si="30"/>
        <v/>
      </c>
      <c r="W205" s="28" t="str">
        <f t="shared" si="31"/>
        <v/>
      </c>
      <c r="X205" s="28" t="str">
        <f t="shared" si="32"/>
        <v/>
      </c>
      <c r="Y205" s="28" t="str">
        <f t="shared" si="33"/>
        <v/>
      </c>
      <c r="Z205" s="22" t="str">
        <f t="shared" si="34"/>
        <v/>
      </c>
      <c r="AA205" s="28" t="str">
        <f t="shared" si="35"/>
        <v/>
      </c>
      <c r="AB205" s="28" t="str">
        <f t="shared" si="36"/>
        <v/>
      </c>
      <c r="AC205" s="28" t="str">
        <f>IF($A205="","",SUMIFS('CHẶNG TĂNG CA'!$E$5:$E$304,'CHẶNG TĂNG CA'!$A$5:$A$304,$A205,'CHẶNG TĂNG CA'!$B$5:$B$304,$B205))</f>
        <v/>
      </c>
      <c r="AD205" s="28" t="str">
        <f>IF($A205="","",SUMIFS('CHẶNG TĂNG CA'!$F$5:$F$304,'CHẶNG TĂNG CA'!$A$5:$A$304,$A205,'CHẶNG TĂNG CA'!$B$5:$B$304,$B205))</f>
        <v/>
      </c>
      <c r="AE205" s="28" t="str">
        <f>IF($A205="","",SUMIFS('CHẶNG TĂNG CA'!$G$5:$G$304,'CHẶNG TĂNG CA'!$A$5:$A$304,$A205,'CHẶNG TĂNG CA'!$B$5:$B$304,$B205))</f>
        <v/>
      </c>
      <c r="AF205" s="28" t="str">
        <f>IF($A205="","",SUMIFS('CHẶNG TĂNG CA'!$H$5:$H$304,'CHẶNG TĂNG CA'!$A$5:$A$304,$A205,'CHẶNG TĂNG CA'!$B$5:$B$304,$B205))</f>
        <v/>
      </c>
      <c r="AG205" s="28" t="str">
        <f t="shared" si="37"/>
        <v/>
      </c>
      <c r="AH205" s="16" t="str">
        <f>IF($A205="","",IF(COUNTIFS('LỆNH ĐIỀU XE'!$B$5:$B$604,$A205,'LỆNH ĐIỀU XE'!$C$5:$C$604,$B205,'LỆNH ĐIỀU XE'!$N$5:$N$604,"Có")&gt;0,"Có","Không"))</f>
        <v/>
      </c>
      <c r="AI205" s="16" t="str">
        <f>IF(OR($A205="",H205="",N(T205)=0),"",IF(_xlfn.MAXIFS('LỆNH ĐIỀU XE'!$U$5:$U$604,'LỆNH ĐIỀU XE'!$B$5:$B$604,$A205,'LỆNH ĐIỀU XE'!$C$5:$C$604,$B205)=0,"",ROUND((H205+(H205&lt;4/24)-_xlfn.MAXIFS('LỆNH ĐIỀU XE'!$U$5:$U$604,'LỆNH ĐIỀU XE'!$B$5:$B$604,$A205,'LỆNH ĐIỀU XE'!$C$5:$C$604,$B205))*1440,0)))</f>
        <v/>
      </c>
      <c r="AJ205" s="16" t="str">
        <f>IF($A205="","",IF(OR(AI205="",V205=""),"Thiếu dữ liệu",IF(AND(AI205&lt;='THAM SỐ'!$B$29,ABS(V205)&lt;='THAM SỐ'!$B$28),"Đạt","Không đạt")))</f>
        <v/>
      </c>
      <c r="AK205" s="16" t="str">
        <f t="shared" si="38"/>
        <v/>
      </c>
      <c r="AL205" s="16" t="str">
        <f>IF($A205="","",TRIM(IF(T205=0,"Không có lệnh; ","")&amp;IF(N(N205)&gt;0,"Dừng ngoài lệnh; ","")&amp;IF(N(J205)&gt;0,"Quá tốc độ; ","")&amp;IF(N(K205)&gt;0,"Lái quá 4h; ","")&amp;IF(N(L205)&gt;0,"Không tắt máy; ","")&amp;IF(OR(P205&lt;&gt;"Đủ",Q205&lt;&gt;"Đủ",R205&lt;&gt;"Đủ"),"Thiếu ảnh; ","")&amp;IF(S205&lt;&gt;"Đạt","Lốp chưa đạt; ","")&amp;IF(N(W205)&gt;'THAM SỐ'!$B$27,"Có mặt quá giờ; ","")&amp;IF(N(X205)&gt;'THAM SỐ'!$B$25,"Lái quá giờ ngày; ","")&amp;IF(ISNUMBER(V205),IF(ABS(V205)&gt;'THAM SỐ'!$B$28,"Lệch km; ",""),"")))</f>
        <v/>
      </c>
      <c r="AM205" s="29"/>
      <c r="AN205" s="30"/>
      <c r="AO205" s="28" t="str">
        <f t="shared" si="39"/>
        <v/>
      </c>
      <c r="AP205" s="21" t="str">
        <f>IF(OR($A205="",AO205=""),"",IF(AG205=0,0,ROUND((AC205*'THAM SỐ'!$B$18+AD205*'THAM SỐ'!$B$19+AE205*'THAM SỐ'!$B$20+AF205*'THAM SỐ'!$B$21)*MIN(1,AO205/AG205),0)))</f>
        <v/>
      </c>
      <c r="AQ205" s="18"/>
    </row>
    <row r="206" spans="1:43" x14ac:dyDescent="0.45">
      <c r="A206" s="17"/>
      <c r="B206" s="18"/>
      <c r="C206" s="18"/>
      <c r="D206" s="25"/>
      <c r="E206" s="26"/>
      <c r="F206" s="26"/>
      <c r="G206" s="20"/>
      <c r="H206" s="20"/>
      <c r="I206" s="18"/>
      <c r="J206" s="18"/>
      <c r="K206" s="18"/>
      <c r="L206" s="18"/>
      <c r="M206" s="18"/>
      <c r="N206" s="18"/>
      <c r="O206" s="18"/>
      <c r="P206" s="18"/>
      <c r="Q206" s="18"/>
      <c r="R206" s="18"/>
      <c r="S206" s="18"/>
      <c r="T206" s="16" t="str">
        <f>IF($A206="","",COUNTIFS('LỆNH ĐIỀU XE'!$B$5:$B$604,$A206,'LỆNH ĐIỀU XE'!$C$5:$C$604,$B206))</f>
        <v/>
      </c>
      <c r="U206" s="27" t="str">
        <f>IF($A206="","",SUMIFS('LỆNH ĐIỀU XE'!$J$5:$J$604,'LỆNH ĐIỀU XE'!$B$5:$B$604,$A206,'LỆNH ĐIỀU XE'!$C$5:$C$604,$B206))</f>
        <v/>
      </c>
      <c r="V206" s="22" t="str">
        <f t="shared" si="30"/>
        <v/>
      </c>
      <c r="W206" s="28" t="str">
        <f t="shared" si="31"/>
        <v/>
      </c>
      <c r="X206" s="28" t="str">
        <f t="shared" si="32"/>
        <v/>
      </c>
      <c r="Y206" s="28" t="str">
        <f t="shared" si="33"/>
        <v/>
      </c>
      <c r="Z206" s="22" t="str">
        <f t="shared" si="34"/>
        <v/>
      </c>
      <c r="AA206" s="28" t="str">
        <f t="shared" si="35"/>
        <v/>
      </c>
      <c r="AB206" s="28" t="str">
        <f t="shared" si="36"/>
        <v/>
      </c>
      <c r="AC206" s="28" t="str">
        <f>IF($A206="","",SUMIFS('CHẶNG TĂNG CA'!$E$5:$E$304,'CHẶNG TĂNG CA'!$A$5:$A$304,$A206,'CHẶNG TĂNG CA'!$B$5:$B$304,$B206))</f>
        <v/>
      </c>
      <c r="AD206" s="28" t="str">
        <f>IF($A206="","",SUMIFS('CHẶNG TĂNG CA'!$F$5:$F$304,'CHẶNG TĂNG CA'!$A$5:$A$304,$A206,'CHẶNG TĂNG CA'!$B$5:$B$304,$B206))</f>
        <v/>
      </c>
      <c r="AE206" s="28" t="str">
        <f>IF($A206="","",SUMIFS('CHẶNG TĂNG CA'!$G$5:$G$304,'CHẶNG TĂNG CA'!$A$5:$A$304,$A206,'CHẶNG TĂNG CA'!$B$5:$B$304,$B206))</f>
        <v/>
      </c>
      <c r="AF206" s="28" t="str">
        <f>IF($A206="","",SUMIFS('CHẶNG TĂNG CA'!$H$5:$H$304,'CHẶNG TĂNG CA'!$A$5:$A$304,$A206,'CHẶNG TĂNG CA'!$B$5:$B$304,$B206))</f>
        <v/>
      </c>
      <c r="AG206" s="28" t="str">
        <f t="shared" si="37"/>
        <v/>
      </c>
      <c r="AH206" s="16" t="str">
        <f>IF($A206="","",IF(COUNTIFS('LỆNH ĐIỀU XE'!$B$5:$B$604,$A206,'LỆNH ĐIỀU XE'!$C$5:$C$604,$B206,'LỆNH ĐIỀU XE'!$N$5:$N$604,"Có")&gt;0,"Có","Không"))</f>
        <v/>
      </c>
      <c r="AI206" s="16" t="str">
        <f>IF(OR($A206="",H206="",N(T206)=0),"",IF(_xlfn.MAXIFS('LỆNH ĐIỀU XE'!$U$5:$U$604,'LỆNH ĐIỀU XE'!$B$5:$B$604,$A206,'LỆNH ĐIỀU XE'!$C$5:$C$604,$B206)=0,"",ROUND((H206+(H206&lt;4/24)-_xlfn.MAXIFS('LỆNH ĐIỀU XE'!$U$5:$U$604,'LỆNH ĐIỀU XE'!$B$5:$B$604,$A206,'LỆNH ĐIỀU XE'!$C$5:$C$604,$B206))*1440,0)))</f>
        <v/>
      </c>
      <c r="AJ206" s="16" t="str">
        <f>IF($A206="","",IF(OR(AI206="",V206=""),"Thiếu dữ liệu",IF(AND(AI206&lt;='THAM SỐ'!$B$29,ABS(V206)&lt;='THAM SỐ'!$B$28),"Đạt","Không đạt")))</f>
        <v/>
      </c>
      <c r="AK206" s="16" t="str">
        <f t="shared" si="38"/>
        <v/>
      </c>
      <c r="AL206" s="16" t="str">
        <f>IF($A206="","",TRIM(IF(T206=0,"Không có lệnh; ","")&amp;IF(N(N206)&gt;0,"Dừng ngoài lệnh; ","")&amp;IF(N(J206)&gt;0,"Quá tốc độ; ","")&amp;IF(N(K206)&gt;0,"Lái quá 4h; ","")&amp;IF(N(L206)&gt;0,"Không tắt máy; ","")&amp;IF(OR(P206&lt;&gt;"Đủ",Q206&lt;&gt;"Đủ",R206&lt;&gt;"Đủ"),"Thiếu ảnh; ","")&amp;IF(S206&lt;&gt;"Đạt","Lốp chưa đạt; ","")&amp;IF(N(W206)&gt;'THAM SỐ'!$B$27,"Có mặt quá giờ; ","")&amp;IF(N(X206)&gt;'THAM SỐ'!$B$25,"Lái quá giờ ngày; ","")&amp;IF(ISNUMBER(V206),IF(ABS(V206)&gt;'THAM SỐ'!$B$28,"Lệch km; ",""),"")))</f>
        <v/>
      </c>
      <c r="AM206" s="29"/>
      <c r="AN206" s="30"/>
      <c r="AO206" s="28" t="str">
        <f t="shared" si="39"/>
        <v/>
      </c>
      <c r="AP206" s="21" t="str">
        <f>IF(OR($A206="",AO206=""),"",IF(AG206=0,0,ROUND((AC206*'THAM SỐ'!$B$18+AD206*'THAM SỐ'!$B$19+AE206*'THAM SỐ'!$B$20+AF206*'THAM SỐ'!$B$21)*MIN(1,AO206/AG206),0)))</f>
        <v/>
      </c>
      <c r="AQ206" s="18"/>
    </row>
    <row r="207" spans="1:43" x14ac:dyDescent="0.45">
      <c r="A207" s="17"/>
      <c r="B207" s="18"/>
      <c r="C207" s="18"/>
      <c r="D207" s="25"/>
      <c r="E207" s="26"/>
      <c r="F207" s="26"/>
      <c r="G207" s="20"/>
      <c r="H207" s="20"/>
      <c r="I207" s="18"/>
      <c r="J207" s="18"/>
      <c r="K207" s="18"/>
      <c r="L207" s="18"/>
      <c r="M207" s="18"/>
      <c r="N207" s="18"/>
      <c r="O207" s="18"/>
      <c r="P207" s="18"/>
      <c r="Q207" s="18"/>
      <c r="R207" s="18"/>
      <c r="S207" s="18"/>
      <c r="T207" s="16" t="str">
        <f>IF($A207="","",COUNTIFS('LỆNH ĐIỀU XE'!$B$5:$B$604,$A207,'LỆNH ĐIỀU XE'!$C$5:$C$604,$B207))</f>
        <v/>
      </c>
      <c r="U207" s="27" t="str">
        <f>IF($A207="","",SUMIFS('LỆNH ĐIỀU XE'!$J$5:$J$604,'LỆNH ĐIỀU XE'!$B$5:$B$604,$A207,'LỆNH ĐIỀU XE'!$C$5:$C$604,$B207))</f>
        <v/>
      </c>
      <c r="V207" s="22" t="str">
        <f t="shared" si="30"/>
        <v/>
      </c>
      <c r="W207" s="28" t="str">
        <f t="shared" si="31"/>
        <v/>
      </c>
      <c r="X207" s="28" t="str">
        <f t="shared" si="32"/>
        <v/>
      </c>
      <c r="Y207" s="28" t="str">
        <f t="shared" si="33"/>
        <v/>
      </c>
      <c r="Z207" s="22" t="str">
        <f t="shared" si="34"/>
        <v/>
      </c>
      <c r="AA207" s="28" t="str">
        <f t="shared" si="35"/>
        <v/>
      </c>
      <c r="AB207" s="28" t="str">
        <f t="shared" si="36"/>
        <v/>
      </c>
      <c r="AC207" s="28" t="str">
        <f>IF($A207="","",SUMIFS('CHẶNG TĂNG CA'!$E$5:$E$304,'CHẶNG TĂNG CA'!$A$5:$A$304,$A207,'CHẶNG TĂNG CA'!$B$5:$B$304,$B207))</f>
        <v/>
      </c>
      <c r="AD207" s="28" t="str">
        <f>IF($A207="","",SUMIFS('CHẶNG TĂNG CA'!$F$5:$F$304,'CHẶNG TĂNG CA'!$A$5:$A$304,$A207,'CHẶNG TĂNG CA'!$B$5:$B$304,$B207))</f>
        <v/>
      </c>
      <c r="AE207" s="28" t="str">
        <f>IF($A207="","",SUMIFS('CHẶNG TĂNG CA'!$G$5:$G$304,'CHẶNG TĂNG CA'!$A$5:$A$304,$A207,'CHẶNG TĂNG CA'!$B$5:$B$304,$B207))</f>
        <v/>
      </c>
      <c r="AF207" s="28" t="str">
        <f>IF($A207="","",SUMIFS('CHẶNG TĂNG CA'!$H$5:$H$304,'CHẶNG TĂNG CA'!$A$5:$A$304,$A207,'CHẶNG TĂNG CA'!$B$5:$B$304,$B207))</f>
        <v/>
      </c>
      <c r="AG207" s="28" t="str">
        <f t="shared" si="37"/>
        <v/>
      </c>
      <c r="AH207" s="16" t="str">
        <f>IF($A207="","",IF(COUNTIFS('LỆNH ĐIỀU XE'!$B$5:$B$604,$A207,'LỆNH ĐIỀU XE'!$C$5:$C$604,$B207,'LỆNH ĐIỀU XE'!$N$5:$N$604,"Có")&gt;0,"Có","Không"))</f>
        <v/>
      </c>
      <c r="AI207" s="16" t="str">
        <f>IF(OR($A207="",H207="",N(T207)=0),"",IF(_xlfn.MAXIFS('LỆNH ĐIỀU XE'!$U$5:$U$604,'LỆNH ĐIỀU XE'!$B$5:$B$604,$A207,'LỆNH ĐIỀU XE'!$C$5:$C$604,$B207)=0,"",ROUND((H207+(H207&lt;4/24)-_xlfn.MAXIFS('LỆNH ĐIỀU XE'!$U$5:$U$604,'LỆNH ĐIỀU XE'!$B$5:$B$604,$A207,'LỆNH ĐIỀU XE'!$C$5:$C$604,$B207))*1440,0)))</f>
        <v/>
      </c>
      <c r="AJ207" s="16" t="str">
        <f>IF($A207="","",IF(OR(AI207="",V207=""),"Thiếu dữ liệu",IF(AND(AI207&lt;='THAM SỐ'!$B$29,ABS(V207)&lt;='THAM SỐ'!$B$28),"Đạt","Không đạt")))</f>
        <v/>
      </c>
      <c r="AK207" s="16" t="str">
        <f t="shared" si="38"/>
        <v/>
      </c>
      <c r="AL207" s="16" t="str">
        <f>IF($A207="","",TRIM(IF(T207=0,"Không có lệnh; ","")&amp;IF(N(N207)&gt;0,"Dừng ngoài lệnh; ","")&amp;IF(N(J207)&gt;0,"Quá tốc độ; ","")&amp;IF(N(K207)&gt;0,"Lái quá 4h; ","")&amp;IF(N(L207)&gt;0,"Không tắt máy; ","")&amp;IF(OR(P207&lt;&gt;"Đủ",Q207&lt;&gt;"Đủ",R207&lt;&gt;"Đủ"),"Thiếu ảnh; ","")&amp;IF(S207&lt;&gt;"Đạt","Lốp chưa đạt; ","")&amp;IF(N(W207)&gt;'THAM SỐ'!$B$27,"Có mặt quá giờ; ","")&amp;IF(N(X207)&gt;'THAM SỐ'!$B$25,"Lái quá giờ ngày; ","")&amp;IF(ISNUMBER(V207),IF(ABS(V207)&gt;'THAM SỐ'!$B$28,"Lệch km; ",""),"")))</f>
        <v/>
      </c>
      <c r="AM207" s="29"/>
      <c r="AN207" s="30"/>
      <c r="AO207" s="28" t="str">
        <f t="shared" si="39"/>
        <v/>
      </c>
      <c r="AP207" s="21" t="str">
        <f>IF(OR($A207="",AO207=""),"",IF(AG207=0,0,ROUND((AC207*'THAM SỐ'!$B$18+AD207*'THAM SỐ'!$B$19+AE207*'THAM SỐ'!$B$20+AF207*'THAM SỐ'!$B$21)*MIN(1,AO207/AG207),0)))</f>
        <v/>
      </c>
      <c r="AQ207" s="18"/>
    </row>
    <row r="208" spans="1:43" x14ac:dyDescent="0.45">
      <c r="A208" s="17"/>
      <c r="B208" s="18"/>
      <c r="C208" s="18"/>
      <c r="D208" s="25"/>
      <c r="E208" s="26"/>
      <c r="F208" s="26"/>
      <c r="G208" s="20"/>
      <c r="H208" s="20"/>
      <c r="I208" s="18"/>
      <c r="J208" s="18"/>
      <c r="K208" s="18"/>
      <c r="L208" s="18"/>
      <c r="M208" s="18"/>
      <c r="N208" s="18"/>
      <c r="O208" s="18"/>
      <c r="P208" s="18"/>
      <c r="Q208" s="18"/>
      <c r="R208" s="18"/>
      <c r="S208" s="18"/>
      <c r="T208" s="16" t="str">
        <f>IF($A208="","",COUNTIFS('LỆNH ĐIỀU XE'!$B$5:$B$604,$A208,'LỆNH ĐIỀU XE'!$C$5:$C$604,$B208))</f>
        <v/>
      </c>
      <c r="U208" s="27" t="str">
        <f>IF($A208="","",SUMIFS('LỆNH ĐIỀU XE'!$J$5:$J$604,'LỆNH ĐIỀU XE'!$B$5:$B$604,$A208,'LỆNH ĐIỀU XE'!$C$5:$C$604,$B208))</f>
        <v/>
      </c>
      <c r="V208" s="22" t="str">
        <f t="shared" si="30"/>
        <v/>
      </c>
      <c r="W208" s="28" t="str">
        <f t="shared" si="31"/>
        <v/>
      </c>
      <c r="X208" s="28" t="str">
        <f t="shared" si="32"/>
        <v/>
      </c>
      <c r="Y208" s="28" t="str">
        <f t="shared" si="33"/>
        <v/>
      </c>
      <c r="Z208" s="22" t="str">
        <f t="shared" si="34"/>
        <v/>
      </c>
      <c r="AA208" s="28" t="str">
        <f t="shared" si="35"/>
        <v/>
      </c>
      <c r="AB208" s="28" t="str">
        <f t="shared" si="36"/>
        <v/>
      </c>
      <c r="AC208" s="28" t="str">
        <f>IF($A208="","",SUMIFS('CHẶNG TĂNG CA'!$E$5:$E$304,'CHẶNG TĂNG CA'!$A$5:$A$304,$A208,'CHẶNG TĂNG CA'!$B$5:$B$304,$B208))</f>
        <v/>
      </c>
      <c r="AD208" s="28" t="str">
        <f>IF($A208="","",SUMIFS('CHẶNG TĂNG CA'!$F$5:$F$304,'CHẶNG TĂNG CA'!$A$5:$A$304,$A208,'CHẶNG TĂNG CA'!$B$5:$B$304,$B208))</f>
        <v/>
      </c>
      <c r="AE208" s="28" t="str">
        <f>IF($A208="","",SUMIFS('CHẶNG TĂNG CA'!$G$5:$G$304,'CHẶNG TĂNG CA'!$A$5:$A$304,$A208,'CHẶNG TĂNG CA'!$B$5:$B$304,$B208))</f>
        <v/>
      </c>
      <c r="AF208" s="28" t="str">
        <f>IF($A208="","",SUMIFS('CHẶNG TĂNG CA'!$H$5:$H$304,'CHẶNG TĂNG CA'!$A$5:$A$304,$A208,'CHẶNG TĂNG CA'!$B$5:$B$304,$B208))</f>
        <v/>
      </c>
      <c r="AG208" s="28" t="str">
        <f t="shared" si="37"/>
        <v/>
      </c>
      <c r="AH208" s="16" t="str">
        <f>IF($A208="","",IF(COUNTIFS('LỆNH ĐIỀU XE'!$B$5:$B$604,$A208,'LỆNH ĐIỀU XE'!$C$5:$C$604,$B208,'LỆNH ĐIỀU XE'!$N$5:$N$604,"Có")&gt;0,"Có","Không"))</f>
        <v/>
      </c>
      <c r="AI208" s="16" t="str">
        <f>IF(OR($A208="",H208="",N(T208)=0),"",IF(_xlfn.MAXIFS('LỆNH ĐIỀU XE'!$U$5:$U$604,'LỆNH ĐIỀU XE'!$B$5:$B$604,$A208,'LỆNH ĐIỀU XE'!$C$5:$C$604,$B208)=0,"",ROUND((H208+(H208&lt;4/24)-_xlfn.MAXIFS('LỆNH ĐIỀU XE'!$U$5:$U$604,'LỆNH ĐIỀU XE'!$B$5:$B$604,$A208,'LỆNH ĐIỀU XE'!$C$5:$C$604,$B208))*1440,0)))</f>
        <v/>
      </c>
      <c r="AJ208" s="16" t="str">
        <f>IF($A208="","",IF(OR(AI208="",V208=""),"Thiếu dữ liệu",IF(AND(AI208&lt;='THAM SỐ'!$B$29,ABS(V208)&lt;='THAM SỐ'!$B$28),"Đạt","Không đạt")))</f>
        <v/>
      </c>
      <c r="AK208" s="16" t="str">
        <f t="shared" si="38"/>
        <v/>
      </c>
      <c r="AL208" s="16" t="str">
        <f>IF($A208="","",TRIM(IF(T208=0,"Không có lệnh; ","")&amp;IF(N(N208)&gt;0,"Dừng ngoài lệnh; ","")&amp;IF(N(J208)&gt;0,"Quá tốc độ; ","")&amp;IF(N(K208)&gt;0,"Lái quá 4h; ","")&amp;IF(N(L208)&gt;0,"Không tắt máy; ","")&amp;IF(OR(P208&lt;&gt;"Đủ",Q208&lt;&gt;"Đủ",R208&lt;&gt;"Đủ"),"Thiếu ảnh; ","")&amp;IF(S208&lt;&gt;"Đạt","Lốp chưa đạt; ","")&amp;IF(N(W208)&gt;'THAM SỐ'!$B$27,"Có mặt quá giờ; ","")&amp;IF(N(X208)&gt;'THAM SỐ'!$B$25,"Lái quá giờ ngày; ","")&amp;IF(ISNUMBER(V208),IF(ABS(V208)&gt;'THAM SỐ'!$B$28,"Lệch km; ",""),"")))</f>
        <v/>
      </c>
      <c r="AM208" s="29"/>
      <c r="AN208" s="30"/>
      <c r="AO208" s="28" t="str">
        <f t="shared" si="39"/>
        <v/>
      </c>
      <c r="AP208" s="21" t="str">
        <f>IF(OR($A208="",AO208=""),"",IF(AG208=0,0,ROUND((AC208*'THAM SỐ'!$B$18+AD208*'THAM SỐ'!$B$19+AE208*'THAM SỐ'!$B$20+AF208*'THAM SỐ'!$B$21)*MIN(1,AO208/AG208),0)))</f>
        <v/>
      </c>
      <c r="AQ208" s="18"/>
    </row>
    <row r="209" spans="1:43" x14ac:dyDescent="0.45">
      <c r="A209" s="17"/>
      <c r="B209" s="18"/>
      <c r="C209" s="18"/>
      <c r="D209" s="25"/>
      <c r="E209" s="26"/>
      <c r="F209" s="26"/>
      <c r="G209" s="20"/>
      <c r="H209" s="20"/>
      <c r="I209" s="18"/>
      <c r="J209" s="18"/>
      <c r="K209" s="18"/>
      <c r="L209" s="18"/>
      <c r="M209" s="18"/>
      <c r="N209" s="18"/>
      <c r="O209" s="18"/>
      <c r="P209" s="18"/>
      <c r="Q209" s="18"/>
      <c r="R209" s="18"/>
      <c r="S209" s="18"/>
      <c r="T209" s="16" t="str">
        <f>IF($A209="","",COUNTIFS('LỆNH ĐIỀU XE'!$B$5:$B$604,$A209,'LỆNH ĐIỀU XE'!$C$5:$C$604,$B209))</f>
        <v/>
      </c>
      <c r="U209" s="27" t="str">
        <f>IF($A209="","",SUMIFS('LỆNH ĐIỀU XE'!$J$5:$J$604,'LỆNH ĐIỀU XE'!$B$5:$B$604,$A209,'LỆNH ĐIỀU XE'!$C$5:$C$604,$B209))</f>
        <v/>
      </c>
      <c r="V209" s="22" t="str">
        <f t="shared" si="30"/>
        <v/>
      </c>
      <c r="W209" s="28" t="str">
        <f t="shared" si="31"/>
        <v/>
      </c>
      <c r="X209" s="28" t="str">
        <f t="shared" si="32"/>
        <v/>
      </c>
      <c r="Y209" s="28" t="str">
        <f t="shared" si="33"/>
        <v/>
      </c>
      <c r="Z209" s="22" t="str">
        <f t="shared" si="34"/>
        <v/>
      </c>
      <c r="AA209" s="28" t="str">
        <f t="shared" si="35"/>
        <v/>
      </c>
      <c r="AB209" s="28" t="str">
        <f t="shared" si="36"/>
        <v/>
      </c>
      <c r="AC209" s="28" t="str">
        <f>IF($A209="","",SUMIFS('CHẶNG TĂNG CA'!$E$5:$E$304,'CHẶNG TĂNG CA'!$A$5:$A$304,$A209,'CHẶNG TĂNG CA'!$B$5:$B$304,$B209))</f>
        <v/>
      </c>
      <c r="AD209" s="28" t="str">
        <f>IF($A209="","",SUMIFS('CHẶNG TĂNG CA'!$F$5:$F$304,'CHẶNG TĂNG CA'!$A$5:$A$304,$A209,'CHẶNG TĂNG CA'!$B$5:$B$304,$B209))</f>
        <v/>
      </c>
      <c r="AE209" s="28" t="str">
        <f>IF($A209="","",SUMIFS('CHẶNG TĂNG CA'!$G$5:$G$304,'CHẶNG TĂNG CA'!$A$5:$A$304,$A209,'CHẶNG TĂNG CA'!$B$5:$B$304,$B209))</f>
        <v/>
      </c>
      <c r="AF209" s="28" t="str">
        <f>IF($A209="","",SUMIFS('CHẶNG TĂNG CA'!$H$5:$H$304,'CHẶNG TĂNG CA'!$A$5:$A$304,$A209,'CHẶNG TĂNG CA'!$B$5:$B$304,$B209))</f>
        <v/>
      </c>
      <c r="AG209" s="28" t="str">
        <f t="shared" si="37"/>
        <v/>
      </c>
      <c r="AH209" s="16" t="str">
        <f>IF($A209="","",IF(COUNTIFS('LỆNH ĐIỀU XE'!$B$5:$B$604,$A209,'LỆNH ĐIỀU XE'!$C$5:$C$604,$B209,'LỆNH ĐIỀU XE'!$N$5:$N$604,"Có")&gt;0,"Có","Không"))</f>
        <v/>
      </c>
      <c r="AI209" s="16" t="str">
        <f>IF(OR($A209="",H209="",N(T209)=0),"",IF(_xlfn.MAXIFS('LỆNH ĐIỀU XE'!$U$5:$U$604,'LỆNH ĐIỀU XE'!$B$5:$B$604,$A209,'LỆNH ĐIỀU XE'!$C$5:$C$604,$B209)=0,"",ROUND((H209+(H209&lt;4/24)-_xlfn.MAXIFS('LỆNH ĐIỀU XE'!$U$5:$U$604,'LỆNH ĐIỀU XE'!$B$5:$B$604,$A209,'LỆNH ĐIỀU XE'!$C$5:$C$604,$B209))*1440,0)))</f>
        <v/>
      </c>
      <c r="AJ209" s="16" t="str">
        <f>IF($A209="","",IF(OR(AI209="",V209=""),"Thiếu dữ liệu",IF(AND(AI209&lt;='THAM SỐ'!$B$29,ABS(V209)&lt;='THAM SỐ'!$B$28),"Đạt","Không đạt")))</f>
        <v/>
      </c>
      <c r="AK209" s="16" t="str">
        <f t="shared" si="38"/>
        <v/>
      </c>
      <c r="AL209" s="16" t="str">
        <f>IF($A209="","",TRIM(IF(T209=0,"Không có lệnh; ","")&amp;IF(N(N209)&gt;0,"Dừng ngoài lệnh; ","")&amp;IF(N(J209)&gt;0,"Quá tốc độ; ","")&amp;IF(N(K209)&gt;0,"Lái quá 4h; ","")&amp;IF(N(L209)&gt;0,"Không tắt máy; ","")&amp;IF(OR(P209&lt;&gt;"Đủ",Q209&lt;&gt;"Đủ",R209&lt;&gt;"Đủ"),"Thiếu ảnh; ","")&amp;IF(S209&lt;&gt;"Đạt","Lốp chưa đạt; ","")&amp;IF(N(W209)&gt;'THAM SỐ'!$B$27,"Có mặt quá giờ; ","")&amp;IF(N(X209)&gt;'THAM SỐ'!$B$25,"Lái quá giờ ngày; ","")&amp;IF(ISNUMBER(V209),IF(ABS(V209)&gt;'THAM SỐ'!$B$28,"Lệch km; ",""),"")))</f>
        <v/>
      </c>
      <c r="AM209" s="29"/>
      <c r="AN209" s="30"/>
      <c r="AO209" s="28" t="str">
        <f t="shared" si="39"/>
        <v/>
      </c>
      <c r="AP209" s="21" t="str">
        <f>IF(OR($A209="",AO209=""),"",IF(AG209=0,0,ROUND((AC209*'THAM SỐ'!$B$18+AD209*'THAM SỐ'!$B$19+AE209*'THAM SỐ'!$B$20+AF209*'THAM SỐ'!$B$21)*MIN(1,AO209/AG209),0)))</f>
        <v/>
      </c>
      <c r="AQ209" s="18"/>
    </row>
    <row r="210" spans="1:43" x14ac:dyDescent="0.45">
      <c r="A210" s="17"/>
      <c r="B210" s="18"/>
      <c r="C210" s="18"/>
      <c r="D210" s="25"/>
      <c r="E210" s="26"/>
      <c r="F210" s="26"/>
      <c r="G210" s="20"/>
      <c r="H210" s="20"/>
      <c r="I210" s="18"/>
      <c r="J210" s="18"/>
      <c r="K210" s="18"/>
      <c r="L210" s="18"/>
      <c r="M210" s="18"/>
      <c r="N210" s="18"/>
      <c r="O210" s="18"/>
      <c r="P210" s="18"/>
      <c r="Q210" s="18"/>
      <c r="R210" s="18"/>
      <c r="S210" s="18"/>
      <c r="T210" s="16" t="str">
        <f>IF($A210="","",COUNTIFS('LỆNH ĐIỀU XE'!$B$5:$B$604,$A210,'LỆNH ĐIỀU XE'!$C$5:$C$604,$B210))</f>
        <v/>
      </c>
      <c r="U210" s="27" t="str">
        <f>IF($A210="","",SUMIFS('LỆNH ĐIỀU XE'!$J$5:$J$604,'LỆNH ĐIỀU XE'!$B$5:$B$604,$A210,'LỆNH ĐIỀU XE'!$C$5:$C$604,$B210))</f>
        <v/>
      </c>
      <c r="V210" s="22" t="str">
        <f t="shared" si="30"/>
        <v/>
      </c>
      <c r="W210" s="28" t="str">
        <f t="shared" si="31"/>
        <v/>
      </c>
      <c r="X210" s="28" t="str">
        <f t="shared" si="32"/>
        <v/>
      </c>
      <c r="Y210" s="28" t="str">
        <f t="shared" si="33"/>
        <v/>
      </c>
      <c r="Z210" s="22" t="str">
        <f t="shared" si="34"/>
        <v/>
      </c>
      <c r="AA210" s="28" t="str">
        <f t="shared" si="35"/>
        <v/>
      </c>
      <c r="AB210" s="28" t="str">
        <f t="shared" si="36"/>
        <v/>
      </c>
      <c r="AC210" s="28" t="str">
        <f>IF($A210="","",SUMIFS('CHẶNG TĂNG CA'!$E$5:$E$304,'CHẶNG TĂNG CA'!$A$5:$A$304,$A210,'CHẶNG TĂNG CA'!$B$5:$B$304,$B210))</f>
        <v/>
      </c>
      <c r="AD210" s="28" t="str">
        <f>IF($A210="","",SUMIFS('CHẶNG TĂNG CA'!$F$5:$F$304,'CHẶNG TĂNG CA'!$A$5:$A$304,$A210,'CHẶNG TĂNG CA'!$B$5:$B$304,$B210))</f>
        <v/>
      </c>
      <c r="AE210" s="28" t="str">
        <f>IF($A210="","",SUMIFS('CHẶNG TĂNG CA'!$G$5:$G$304,'CHẶNG TĂNG CA'!$A$5:$A$304,$A210,'CHẶNG TĂNG CA'!$B$5:$B$304,$B210))</f>
        <v/>
      </c>
      <c r="AF210" s="28" t="str">
        <f>IF($A210="","",SUMIFS('CHẶNG TĂNG CA'!$H$5:$H$304,'CHẶNG TĂNG CA'!$A$5:$A$304,$A210,'CHẶNG TĂNG CA'!$B$5:$B$304,$B210))</f>
        <v/>
      </c>
      <c r="AG210" s="28" t="str">
        <f t="shared" si="37"/>
        <v/>
      </c>
      <c r="AH210" s="16" t="str">
        <f>IF($A210="","",IF(COUNTIFS('LỆNH ĐIỀU XE'!$B$5:$B$604,$A210,'LỆNH ĐIỀU XE'!$C$5:$C$604,$B210,'LỆNH ĐIỀU XE'!$N$5:$N$604,"Có")&gt;0,"Có","Không"))</f>
        <v/>
      </c>
      <c r="AI210" s="16" t="str">
        <f>IF(OR($A210="",H210="",N(T210)=0),"",IF(_xlfn.MAXIFS('LỆNH ĐIỀU XE'!$U$5:$U$604,'LỆNH ĐIỀU XE'!$B$5:$B$604,$A210,'LỆNH ĐIỀU XE'!$C$5:$C$604,$B210)=0,"",ROUND((H210+(H210&lt;4/24)-_xlfn.MAXIFS('LỆNH ĐIỀU XE'!$U$5:$U$604,'LỆNH ĐIỀU XE'!$B$5:$B$604,$A210,'LỆNH ĐIỀU XE'!$C$5:$C$604,$B210))*1440,0)))</f>
        <v/>
      </c>
      <c r="AJ210" s="16" t="str">
        <f>IF($A210="","",IF(OR(AI210="",V210=""),"Thiếu dữ liệu",IF(AND(AI210&lt;='THAM SỐ'!$B$29,ABS(V210)&lt;='THAM SỐ'!$B$28),"Đạt","Không đạt")))</f>
        <v/>
      </c>
      <c r="AK210" s="16" t="str">
        <f t="shared" si="38"/>
        <v/>
      </c>
      <c r="AL210" s="16" t="str">
        <f>IF($A210="","",TRIM(IF(T210=0,"Không có lệnh; ","")&amp;IF(N(N210)&gt;0,"Dừng ngoài lệnh; ","")&amp;IF(N(J210)&gt;0,"Quá tốc độ; ","")&amp;IF(N(K210)&gt;0,"Lái quá 4h; ","")&amp;IF(N(L210)&gt;0,"Không tắt máy; ","")&amp;IF(OR(P210&lt;&gt;"Đủ",Q210&lt;&gt;"Đủ",R210&lt;&gt;"Đủ"),"Thiếu ảnh; ","")&amp;IF(S210&lt;&gt;"Đạt","Lốp chưa đạt; ","")&amp;IF(N(W210)&gt;'THAM SỐ'!$B$27,"Có mặt quá giờ; ","")&amp;IF(N(X210)&gt;'THAM SỐ'!$B$25,"Lái quá giờ ngày; ","")&amp;IF(ISNUMBER(V210),IF(ABS(V210)&gt;'THAM SỐ'!$B$28,"Lệch km; ",""),"")))</f>
        <v/>
      </c>
      <c r="AM210" s="29"/>
      <c r="AN210" s="30"/>
      <c r="AO210" s="28" t="str">
        <f t="shared" si="39"/>
        <v/>
      </c>
      <c r="AP210" s="21" t="str">
        <f>IF(OR($A210="",AO210=""),"",IF(AG210=0,0,ROUND((AC210*'THAM SỐ'!$B$18+AD210*'THAM SỐ'!$B$19+AE210*'THAM SỐ'!$B$20+AF210*'THAM SỐ'!$B$21)*MIN(1,AO210/AG210),0)))</f>
        <v/>
      </c>
      <c r="AQ210" s="18"/>
    </row>
    <row r="211" spans="1:43" x14ac:dyDescent="0.45">
      <c r="A211" s="17"/>
      <c r="B211" s="18"/>
      <c r="C211" s="18"/>
      <c r="D211" s="25"/>
      <c r="E211" s="26"/>
      <c r="F211" s="26"/>
      <c r="G211" s="20"/>
      <c r="H211" s="20"/>
      <c r="I211" s="18"/>
      <c r="J211" s="18"/>
      <c r="K211" s="18"/>
      <c r="L211" s="18"/>
      <c r="M211" s="18"/>
      <c r="N211" s="18"/>
      <c r="O211" s="18"/>
      <c r="P211" s="18"/>
      <c r="Q211" s="18"/>
      <c r="R211" s="18"/>
      <c r="S211" s="18"/>
      <c r="T211" s="16" t="str">
        <f>IF($A211="","",COUNTIFS('LỆNH ĐIỀU XE'!$B$5:$B$604,$A211,'LỆNH ĐIỀU XE'!$C$5:$C$604,$B211))</f>
        <v/>
      </c>
      <c r="U211" s="27" t="str">
        <f>IF($A211="","",SUMIFS('LỆNH ĐIỀU XE'!$J$5:$J$604,'LỆNH ĐIỀU XE'!$B$5:$B$604,$A211,'LỆNH ĐIỀU XE'!$C$5:$C$604,$B211))</f>
        <v/>
      </c>
      <c r="V211" s="22" t="str">
        <f t="shared" si="30"/>
        <v/>
      </c>
      <c r="W211" s="28" t="str">
        <f t="shared" si="31"/>
        <v/>
      </c>
      <c r="X211" s="28" t="str">
        <f t="shared" si="32"/>
        <v/>
      </c>
      <c r="Y211" s="28" t="str">
        <f t="shared" si="33"/>
        <v/>
      </c>
      <c r="Z211" s="22" t="str">
        <f t="shared" si="34"/>
        <v/>
      </c>
      <c r="AA211" s="28" t="str">
        <f t="shared" si="35"/>
        <v/>
      </c>
      <c r="AB211" s="28" t="str">
        <f t="shared" si="36"/>
        <v/>
      </c>
      <c r="AC211" s="28" t="str">
        <f>IF($A211="","",SUMIFS('CHẶNG TĂNG CA'!$E$5:$E$304,'CHẶNG TĂNG CA'!$A$5:$A$304,$A211,'CHẶNG TĂNG CA'!$B$5:$B$304,$B211))</f>
        <v/>
      </c>
      <c r="AD211" s="28" t="str">
        <f>IF($A211="","",SUMIFS('CHẶNG TĂNG CA'!$F$5:$F$304,'CHẶNG TĂNG CA'!$A$5:$A$304,$A211,'CHẶNG TĂNG CA'!$B$5:$B$304,$B211))</f>
        <v/>
      </c>
      <c r="AE211" s="28" t="str">
        <f>IF($A211="","",SUMIFS('CHẶNG TĂNG CA'!$G$5:$G$304,'CHẶNG TĂNG CA'!$A$5:$A$304,$A211,'CHẶNG TĂNG CA'!$B$5:$B$304,$B211))</f>
        <v/>
      </c>
      <c r="AF211" s="28" t="str">
        <f>IF($A211="","",SUMIFS('CHẶNG TĂNG CA'!$H$5:$H$304,'CHẶNG TĂNG CA'!$A$5:$A$304,$A211,'CHẶNG TĂNG CA'!$B$5:$B$304,$B211))</f>
        <v/>
      </c>
      <c r="AG211" s="28" t="str">
        <f t="shared" si="37"/>
        <v/>
      </c>
      <c r="AH211" s="16" t="str">
        <f>IF($A211="","",IF(COUNTIFS('LỆNH ĐIỀU XE'!$B$5:$B$604,$A211,'LỆNH ĐIỀU XE'!$C$5:$C$604,$B211,'LỆNH ĐIỀU XE'!$N$5:$N$604,"Có")&gt;0,"Có","Không"))</f>
        <v/>
      </c>
      <c r="AI211" s="16" t="str">
        <f>IF(OR($A211="",H211="",N(T211)=0),"",IF(_xlfn.MAXIFS('LỆNH ĐIỀU XE'!$U$5:$U$604,'LỆNH ĐIỀU XE'!$B$5:$B$604,$A211,'LỆNH ĐIỀU XE'!$C$5:$C$604,$B211)=0,"",ROUND((H211+(H211&lt;4/24)-_xlfn.MAXIFS('LỆNH ĐIỀU XE'!$U$5:$U$604,'LỆNH ĐIỀU XE'!$B$5:$B$604,$A211,'LỆNH ĐIỀU XE'!$C$5:$C$604,$B211))*1440,0)))</f>
        <v/>
      </c>
      <c r="AJ211" s="16" t="str">
        <f>IF($A211="","",IF(OR(AI211="",V211=""),"Thiếu dữ liệu",IF(AND(AI211&lt;='THAM SỐ'!$B$29,ABS(V211)&lt;='THAM SỐ'!$B$28),"Đạt","Không đạt")))</f>
        <v/>
      </c>
      <c r="AK211" s="16" t="str">
        <f t="shared" si="38"/>
        <v/>
      </c>
      <c r="AL211" s="16" t="str">
        <f>IF($A211="","",TRIM(IF(T211=0,"Không có lệnh; ","")&amp;IF(N(N211)&gt;0,"Dừng ngoài lệnh; ","")&amp;IF(N(J211)&gt;0,"Quá tốc độ; ","")&amp;IF(N(K211)&gt;0,"Lái quá 4h; ","")&amp;IF(N(L211)&gt;0,"Không tắt máy; ","")&amp;IF(OR(P211&lt;&gt;"Đủ",Q211&lt;&gt;"Đủ",R211&lt;&gt;"Đủ"),"Thiếu ảnh; ","")&amp;IF(S211&lt;&gt;"Đạt","Lốp chưa đạt; ","")&amp;IF(N(W211)&gt;'THAM SỐ'!$B$27,"Có mặt quá giờ; ","")&amp;IF(N(X211)&gt;'THAM SỐ'!$B$25,"Lái quá giờ ngày; ","")&amp;IF(ISNUMBER(V211),IF(ABS(V211)&gt;'THAM SỐ'!$B$28,"Lệch km; ",""),"")))</f>
        <v/>
      </c>
      <c r="AM211" s="29"/>
      <c r="AN211" s="30"/>
      <c r="AO211" s="28" t="str">
        <f t="shared" si="39"/>
        <v/>
      </c>
      <c r="AP211" s="21" t="str">
        <f>IF(OR($A211="",AO211=""),"",IF(AG211=0,0,ROUND((AC211*'THAM SỐ'!$B$18+AD211*'THAM SỐ'!$B$19+AE211*'THAM SỐ'!$B$20+AF211*'THAM SỐ'!$B$21)*MIN(1,AO211/AG211),0)))</f>
        <v/>
      </c>
      <c r="AQ211" s="18"/>
    </row>
    <row r="212" spans="1:43" x14ac:dyDescent="0.45">
      <c r="A212" s="17"/>
      <c r="B212" s="18"/>
      <c r="C212" s="18"/>
      <c r="D212" s="25"/>
      <c r="E212" s="26"/>
      <c r="F212" s="26"/>
      <c r="G212" s="20"/>
      <c r="H212" s="20"/>
      <c r="I212" s="18"/>
      <c r="J212" s="18"/>
      <c r="K212" s="18"/>
      <c r="L212" s="18"/>
      <c r="M212" s="18"/>
      <c r="N212" s="18"/>
      <c r="O212" s="18"/>
      <c r="P212" s="18"/>
      <c r="Q212" s="18"/>
      <c r="R212" s="18"/>
      <c r="S212" s="18"/>
      <c r="T212" s="16" t="str">
        <f>IF($A212="","",COUNTIFS('LỆNH ĐIỀU XE'!$B$5:$B$604,$A212,'LỆNH ĐIỀU XE'!$C$5:$C$604,$B212))</f>
        <v/>
      </c>
      <c r="U212" s="27" t="str">
        <f>IF($A212="","",SUMIFS('LỆNH ĐIỀU XE'!$J$5:$J$604,'LỆNH ĐIỀU XE'!$B$5:$B$604,$A212,'LỆNH ĐIỀU XE'!$C$5:$C$604,$B212))</f>
        <v/>
      </c>
      <c r="V212" s="22" t="str">
        <f t="shared" si="30"/>
        <v/>
      </c>
      <c r="W212" s="28" t="str">
        <f t="shared" si="31"/>
        <v/>
      </c>
      <c r="X212" s="28" t="str">
        <f t="shared" si="32"/>
        <v/>
      </c>
      <c r="Y212" s="28" t="str">
        <f t="shared" si="33"/>
        <v/>
      </c>
      <c r="Z212" s="22" t="str">
        <f t="shared" si="34"/>
        <v/>
      </c>
      <c r="AA212" s="28" t="str">
        <f t="shared" si="35"/>
        <v/>
      </c>
      <c r="AB212" s="28" t="str">
        <f t="shared" si="36"/>
        <v/>
      </c>
      <c r="AC212" s="28" t="str">
        <f>IF($A212="","",SUMIFS('CHẶNG TĂNG CA'!$E$5:$E$304,'CHẶNG TĂNG CA'!$A$5:$A$304,$A212,'CHẶNG TĂNG CA'!$B$5:$B$304,$B212))</f>
        <v/>
      </c>
      <c r="AD212" s="28" t="str">
        <f>IF($A212="","",SUMIFS('CHẶNG TĂNG CA'!$F$5:$F$304,'CHẶNG TĂNG CA'!$A$5:$A$304,$A212,'CHẶNG TĂNG CA'!$B$5:$B$304,$B212))</f>
        <v/>
      </c>
      <c r="AE212" s="28" t="str">
        <f>IF($A212="","",SUMIFS('CHẶNG TĂNG CA'!$G$5:$G$304,'CHẶNG TĂNG CA'!$A$5:$A$304,$A212,'CHẶNG TĂNG CA'!$B$5:$B$304,$B212))</f>
        <v/>
      </c>
      <c r="AF212" s="28" t="str">
        <f>IF($A212="","",SUMIFS('CHẶNG TĂNG CA'!$H$5:$H$304,'CHẶNG TĂNG CA'!$A$5:$A$304,$A212,'CHẶNG TĂNG CA'!$B$5:$B$304,$B212))</f>
        <v/>
      </c>
      <c r="AG212" s="28" t="str">
        <f t="shared" si="37"/>
        <v/>
      </c>
      <c r="AH212" s="16" t="str">
        <f>IF($A212="","",IF(COUNTIFS('LỆNH ĐIỀU XE'!$B$5:$B$604,$A212,'LỆNH ĐIỀU XE'!$C$5:$C$604,$B212,'LỆNH ĐIỀU XE'!$N$5:$N$604,"Có")&gt;0,"Có","Không"))</f>
        <v/>
      </c>
      <c r="AI212" s="16" t="str">
        <f>IF(OR($A212="",H212="",N(T212)=0),"",IF(_xlfn.MAXIFS('LỆNH ĐIỀU XE'!$U$5:$U$604,'LỆNH ĐIỀU XE'!$B$5:$B$604,$A212,'LỆNH ĐIỀU XE'!$C$5:$C$604,$B212)=0,"",ROUND((H212+(H212&lt;4/24)-_xlfn.MAXIFS('LỆNH ĐIỀU XE'!$U$5:$U$604,'LỆNH ĐIỀU XE'!$B$5:$B$604,$A212,'LỆNH ĐIỀU XE'!$C$5:$C$604,$B212))*1440,0)))</f>
        <v/>
      </c>
      <c r="AJ212" s="16" t="str">
        <f>IF($A212="","",IF(OR(AI212="",V212=""),"Thiếu dữ liệu",IF(AND(AI212&lt;='THAM SỐ'!$B$29,ABS(V212)&lt;='THAM SỐ'!$B$28),"Đạt","Không đạt")))</f>
        <v/>
      </c>
      <c r="AK212" s="16" t="str">
        <f t="shared" si="38"/>
        <v/>
      </c>
      <c r="AL212" s="16" t="str">
        <f>IF($A212="","",TRIM(IF(T212=0,"Không có lệnh; ","")&amp;IF(N(N212)&gt;0,"Dừng ngoài lệnh; ","")&amp;IF(N(J212)&gt;0,"Quá tốc độ; ","")&amp;IF(N(K212)&gt;0,"Lái quá 4h; ","")&amp;IF(N(L212)&gt;0,"Không tắt máy; ","")&amp;IF(OR(P212&lt;&gt;"Đủ",Q212&lt;&gt;"Đủ",R212&lt;&gt;"Đủ"),"Thiếu ảnh; ","")&amp;IF(S212&lt;&gt;"Đạt","Lốp chưa đạt; ","")&amp;IF(N(W212)&gt;'THAM SỐ'!$B$27,"Có mặt quá giờ; ","")&amp;IF(N(X212)&gt;'THAM SỐ'!$B$25,"Lái quá giờ ngày; ","")&amp;IF(ISNUMBER(V212),IF(ABS(V212)&gt;'THAM SỐ'!$B$28,"Lệch km; ",""),"")))</f>
        <v/>
      </c>
      <c r="AM212" s="29"/>
      <c r="AN212" s="30"/>
      <c r="AO212" s="28" t="str">
        <f t="shared" si="39"/>
        <v/>
      </c>
      <c r="AP212" s="21" t="str">
        <f>IF(OR($A212="",AO212=""),"",IF(AG212=0,0,ROUND((AC212*'THAM SỐ'!$B$18+AD212*'THAM SỐ'!$B$19+AE212*'THAM SỐ'!$B$20+AF212*'THAM SỐ'!$B$21)*MIN(1,AO212/AG212),0)))</f>
        <v/>
      </c>
      <c r="AQ212" s="18"/>
    </row>
    <row r="213" spans="1:43" x14ac:dyDescent="0.45">
      <c r="A213" s="17"/>
      <c r="B213" s="18"/>
      <c r="C213" s="18"/>
      <c r="D213" s="25"/>
      <c r="E213" s="26"/>
      <c r="F213" s="26"/>
      <c r="G213" s="20"/>
      <c r="H213" s="20"/>
      <c r="I213" s="18"/>
      <c r="J213" s="18"/>
      <c r="K213" s="18"/>
      <c r="L213" s="18"/>
      <c r="M213" s="18"/>
      <c r="N213" s="18"/>
      <c r="O213" s="18"/>
      <c r="P213" s="18"/>
      <c r="Q213" s="18"/>
      <c r="R213" s="18"/>
      <c r="S213" s="18"/>
      <c r="T213" s="16" t="str">
        <f>IF($A213="","",COUNTIFS('LỆNH ĐIỀU XE'!$B$5:$B$604,$A213,'LỆNH ĐIỀU XE'!$C$5:$C$604,$B213))</f>
        <v/>
      </c>
      <c r="U213" s="27" t="str">
        <f>IF($A213="","",SUMIFS('LỆNH ĐIỀU XE'!$J$5:$J$604,'LỆNH ĐIỀU XE'!$B$5:$B$604,$A213,'LỆNH ĐIỀU XE'!$C$5:$C$604,$B213))</f>
        <v/>
      </c>
      <c r="V213" s="22" t="str">
        <f t="shared" si="30"/>
        <v/>
      </c>
      <c r="W213" s="28" t="str">
        <f t="shared" si="31"/>
        <v/>
      </c>
      <c r="X213" s="28" t="str">
        <f t="shared" si="32"/>
        <v/>
      </c>
      <c r="Y213" s="28" t="str">
        <f t="shared" si="33"/>
        <v/>
      </c>
      <c r="Z213" s="22" t="str">
        <f t="shared" si="34"/>
        <v/>
      </c>
      <c r="AA213" s="28" t="str">
        <f t="shared" si="35"/>
        <v/>
      </c>
      <c r="AB213" s="28" t="str">
        <f t="shared" si="36"/>
        <v/>
      </c>
      <c r="AC213" s="28" t="str">
        <f>IF($A213="","",SUMIFS('CHẶNG TĂNG CA'!$E$5:$E$304,'CHẶNG TĂNG CA'!$A$5:$A$304,$A213,'CHẶNG TĂNG CA'!$B$5:$B$304,$B213))</f>
        <v/>
      </c>
      <c r="AD213" s="28" t="str">
        <f>IF($A213="","",SUMIFS('CHẶNG TĂNG CA'!$F$5:$F$304,'CHẶNG TĂNG CA'!$A$5:$A$304,$A213,'CHẶNG TĂNG CA'!$B$5:$B$304,$B213))</f>
        <v/>
      </c>
      <c r="AE213" s="28" t="str">
        <f>IF($A213="","",SUMIFS('CHẶNG TĂNG CA'!$G$5:$G$304,'CHẶNG TĂNG CA'!$A$5:$A$304,$A213,'CHẶNG TĂNG CA'!$B$5:$B$304,$B213))</f>
        <v/>
      </c>
      <c r="AF213" s="28" t="str">
        <f>IF($A213="","",SUMIFS('CHẶNG TĂNG CA'!$H$5:$H$304,'CHẶNG TĂNG CA'!$A$5:$A$304,$A213,'CHẶNG TĂNG CA'!$B$5:$B$304,$B213))</f>
        <v/>
      </c>
      <c r="AG213" s="28" t="str">
        <f t="shared" si="37"/>
        <v/>
      </c>
      <c r="AH213" s="16" t="str">
        <f>IF($A213="","",IF(COUNTIFS('LỆNH ĐIỀU XE'!$B$5:$B$604,$A213,'LỆNH ĐIỀU XE'!$C$5:$C$604,$B213,'LỆNH ĐIỀU XE'!$N$5:$N$604,"Có")&gt;0,"Có","Không"))</f>
        <v/>
      </c>
      <c r="AI213" s="16" t="str">
        <f>IF(OR($A213="",H213="",N(T213)=0),"",IF(_xlfn.MAXIFS('LỆNH ĐIỀU XE'!$U$5:$U$604,'LỆNH ĐIỀU XE'!$B$5:$B$604,$A213,'LỆNH ĐIỀU XE'!$C$5:$C$604,$B213)=0,"",ROUND((H213+(H213&lt;4/24)-_xlfn.MAXIFS('LỆNH ĐIỀU XE'!$U$5:$U$604,'LỆNH ĐIỀU XE'!$B$5:$B$604,$A213,'LỆNH ĐIỀU XE'!$C$5:$C$604,$B213))*1440,0)))</f>
        <v/>
      </c>
      <c r="AJ213" s="16" t="str">
        <f>IF($A213="","",IF(OR(AI213="",V213=""),"Thiếu dữ liệu",IF(AND(AI213&lt;='THAM SỐ'!$B$29,ABS(V213)&lt;='THAM SỐ'!$B$28),"Đạt","Không đạt")))</f>
        <v/>
      </c>
      <c r="AK213" s="16" t="str">
        <f t="shared" si="38"/>
        <v/>
      </c>
      <c r="AL213" s="16" t="str">
        <f>IF($A213="","",TRIM(IF(T213=0,"Không có lệnh; ","")&amp;IF(N(N213)&gt;0,"Dừng ngoài lệnh; ","")&amp;IF(N(J213)&gt;0,"Quá tốc độ; ","")&amp;IF(N(K213)&gt;0,"Lái quá 4h; ","")&amp;IF(N(L213)&gt;0,"Không tắt máy; ","")&amp;IF(OR(P213&lt;&gt;"Đủ",Q213&lt;&gt;"Đủ",R213&lt;&gt;"Đủ"),"Thiếu ảnh; ","")&amp;IF(S213&lt;&gt;"Đạt","Lốp chưa đạt; ","")&amp;IF(N(W213)&gt;'THAM SỐ'!$B$27,"Có mặt quá giờ; ","")&amp;IF(N(X213)&gt;'THAM SỐ'!$B$25,"Lái quá giờ ngày; ","")&amp;IF(ISNUMBER(V213),IF(ABS(V213)&gt;'THAM SỐ'!$B$28,"Lệch km; ",""),"")))</f>
        <v/>
      </c>
      <c r="AM213" s="29"/>
      <c r="AN213" s="30"/>
      <c r="AO213" s="28" t="str">
        <f t="shared" si="39"/>
        <v/>
      </c>
      <c r="AP213" s="21" t="str">
        <f>IF(OR($A213="",AO213=""),"",IF(AG213=0,0,ROUND((AC213*'THAM SỐ'!$B$18+AD213*'THAM SỐ'!$B$19+AE213*'THAM SỐ'!$B$20+AF213*'THAM SỐ'!$B$21)*MIN(1,AO213/AG213),0)))</f>
        <v/>
      </c>
      <c r="AQ213" s="18"/>
    </row>
    <row r="214" spans="1:43" x14ac:dyDescent="0.45">
      <c r="A214" s="17"/>
      <c r="B214" s="18"/>
      <c r="C214" s="18"/>
      <c r="D214" s="25"/>
      <c r="E214" s="26"/>
      <c r="F214" s="26"/>
      <c r="G214" s="20"/>
      <c r="H214" s="20"/>
      <c r="I214" s="18"/>
      <c r="J214" s="18"/>
      <c r="K214" s="18"/>
      <c r="L214" s="18"/>
      <c r="M214" s="18"/>
      <c r="N214" s="18"/>
      <c r="O214" s="18"/>
      <c r="P214" s="18"/>
      <c r="Q214" s="18"/>
      <c r="R214" s="18"/>
      <c r="S214" s="18"/>
      <c r="T214" s="16" t="str">
        <f>IF($A214="","",COUNTIFS('LỆNH ĐIỀU XE'!$B$5:$B$604,$A214,'LỆNH ĐIỀU XE'!$C$5:$C$604,$B214))</f>
        <v/>
      </c>
      <c r="U214" s="27" t="str">
        <f>IF($A214="","",SUMIFS('LỆNH ĐIỀU XE'!$J$5:$J$604,'LỆNH ĐIỀU XE'!$B$5:$B$604,$A214,'LỆNH ĐIỀU XE'!$C$5:$C$604,$B214))</f>
        <v/>
      </c>
      <c r="V214" s="22" t="str">
        <f t="shared" si="30"/>
        <v/>
      </c>
      <c r="W214" s="28" t="str">
        <f t="shared" si="31"/>
        <v/>
      </c>
      <c r="X214" s="28" t="str">
        <f t="shared" si="32"/>
        <v/>
      </c>
      <c r="Y214" s="28" t="str">
        <f t="shared" si="33"/>
        <v/>
      </c>
      <c r="Z214" s="22" t="str">
        <f t="shared" si="34"/>
        <v/>
      </c>
      <c r="AA214" s="28" t="str">
        <f t="shared" si="35"/>
        <v/>
      </c>
      <c r="AB214" s="28" t="str">
        <f t="shared" si="36"/>
        <v/>
      </c>
      <c r="AC214" s="28" t="str">
        <f>IF($A214="","",SUMIFS('CHẶNG TĂNG CA'!$E$5:$E$304,'CHẶNG TĂNG CA'!$A$5:$A$304,$A214,'CHẶNG TĂNG CA'!$B$5:$B$304,$B214))</f>
        <v/>
      </c>
      <c r="AD214" s="28" t="str">
        <f>IF($A214="","",SUMIFS('CHẶNG TĂNG CA'!$F$5:$F$304,'CHẶNG TĂNG CA'!$A$5:$A$304,$A214,'CHẶNG TĂNG CA'!$B$5:$B$304,$B214))</f>
        <v/>
      </c>
      <c r="AE214" s="28" t="str">
        <f>IF($A214="","",SUMIFS('CHẶNG TĂNG CA'!$G$5:$G$304,'CHẶNG TĂNG CA'!$A$5:$A$304,$A214,'CHẶNG TĂNG CA'!$B$5:$B$304,$B214))</f>
        <v/>
      </c>
      <c r="AF214" s="28" t="str">
        <f>IF($A214="","",SUMIFS('CHẶNG TĂNG CA'!$H$5:$H$304,'CHẶNG TĂNG CA'!$A$5:$A$304,$A214,'CHẶNG TĂNG CA'!$B$5:$B$304,$B214))</f>
        <v/>
      </c>
      <c r="AG214" s="28" t="str">
        <f t="shared" si="37"/>
        <v/>
      </c>
      <c r="AH214" s="16" t="str">
        <f>IF($A214="","",IF(COUNTIFS('LỆNH ĐIỀU XE'!$B$5:$B$604,$A214,'LỆNH ĐIỀU XE'!$C$5:$C$604,$B214,'LỆNH ĐIỀU XE'!$N$5:$N$604,"Có")&gt;0,"Có","Không"))</f>
        <v/>
      </c>
      <c r="AI214" s="16" t="str">
        <f>IF(OR($A214="",H214="",N(T214)=0),"",IF(_xlfn.MAXIFS('LỆNH ĐIỀU XE'!$U$5:$U$604,'LỆNH ĐIỀU XE'!$B$5:$B$604,$A214,'LỆNH ĐIỀU XE'!$C$5:$C$604,$B214)=0,"",ROUND((H214+(H214&lt;4/24)-_xlfn.MAXIFS('LỆNH ĐIỀU XE'!$U$5:$U$604,'LỆNH ĐIỀU XE'!$B$5:$B$604,$A214,'LỆNH ĐIỀU XE'!$C$5:$C$604,$B214))*1440,0)))</f>
        <v/>
      </c>
      <c r="AJ214" s="16" t="str">
        <f>IF($A214="","",IF(OR(AI214="",V214=""),"Thiếu dữ liệu",IF(AND(AI214&lt;='THAM SỐ'!$B$29,ABS(V214)&lt;='THAM SỐ'!$B$28),"Đạt","Không đạt")))</f>
        <v/>
      </c>
      <c r="AK214" s="16" t="str">
        <f t="shared" si="38"/>
        <v/>
      </c>
      <c r="AL214" s="16" t="str">
        <f>IF($A214="","",TRIM(IF(T214=0,"Không có lệnh; ","")&amp;IF(N(N214)&gt;0,"Dừng ngoài lệnh; ","")&amp;IF(N(J214)&gt;0,"Quá tốc độ; ","")&amp;IF(N(K214)&gt;0,"Lái quá 4h; ","")&amp;IF(N(L214)&gt;0,"Không tắt máy; ","")&amp;IF(OR(P214&lt;&gt;"Đủ",Q214&lt;&gt;"Đủ",R214&lt;&gt;"Đủ"),"Thiếu ảnh; ","")&amp;IF(S214&lt;&gt;"Đạt","Lốp chưa đạt; ","")&amp;IF(N(W214)&gt;'THAM SỐ'!$B$27,"Có mặt quá giờ; ","")&amp;IF(N(X214)&gt;'THAM SỐ'!$B$25,"Lái quá giờ ngày; ","")&amp;IF(ISNUMBER(V214),IF(ABS(V214)&gt;'THAM SỐ'!$B$28,"Lệch km; ",""),"")))</f>
        <v/>
      </c>
      <c r="AM214" s="29"/>
      <c r="AN214" s="30"/>
      <c r="AO214" s="28" t="str">
        <f t="shared" si="39"/>
        <v/>
      </c>
      <c r="AP214" s="21" t="str">
        <f>IF(OR($A214="",AO214=""),"",IF(AG214=0,0,ROUND((AC214*'THAM SỐ'!$B$18+AD214*'THAM SỐ'!$B$19+AE214*'THAM SỐ'!$B$20+AF214*'THAM SỐ'!$B$21)*MIN(1,AO214/AG214),0)))</f>
        <v/>
      </c>
      <c r="AQ214" s="18"/>
    </row>
    <row r="215" spans="1:43" x14ac:dyDescent="0.45">
      <c r="A215" s="17"/>
      <c r="B215" s="18"/>
      <c r="C215" s="18"/>
      <c r="D215" s="25"/>
      <c r="E215" s="26"/>
      <c r="F215" s="26"/>
      <c r="G215" s="20"/>
      <c r="H215" s="20"/>
      <c r="I215" s="18"/>
      <c r="J215" s="18"/>
      <c r="K215" s="18"/>
      <c r="L215" s="18"/>
      <c r="M215" s="18"/>
      <c r="N215" s="18"/>
      <c r="O215" s="18"/>
      <c r="P215" s="18"/>
      <c r="Q215" s="18"/>
      <c r="R215" s="18"/>
      <c r="S215" s="18"/>
      <c r="T215" s="16" t="str">
        <f>IF($A215="","",COUNTIFS('LỆNH ĐIỀU XE'!$B$5:$B$604,$A215,'LỆNH ĐIỀU XE'!$C$5:$C$604,$B215))</f>
        <v/>
      </c>
      <c r="U215" s="27" t="str">
        <f>IF($A215="","",SUMIFS('LỆNH ĐIỀU XE'!$J$5:$J$604,'LỆNH ĐIỀU XE'!$B$5:$B$604,$A215,'LỆNH ĐIỀU XE'!$C$5:$C$604,$B215))</f>
        <v/>
      </c>
      <c r="V215" s="22" t="str">
        <f t="shared" si="30"/>
        <v/>
      </c>
      <c r="W215" s="28" t="str">
        <f t="shared" si="31"/>
        <v/>
      </c>
      <c r="X215" s="28" t="str">
        <f t="shared" si="32"/>
        <v/>
      </c>
      <c r="Y215" s="28" t="str">
        <f t="shared" si="33"/>
        <v/>
      </c>
      <c r="Z215" s="22" t="str">
        <f t="shared" si="34"/>
        <v/>
      </c>
      <c r="AA215" s="28" t="str">
        <f t="shared" si="35"/>
        <v/>
      </c>
      <c r="AB215" s="28" t="str">
        <f t="shared" si="36"/>
        <v/>
      </c>
      <c r="AC215" s="28" t="str">
        <f>IF($A215="","",SUMIFS('CHẶNG TĂNG CA'!$E$5:$E$304,'CHẶNG TĂNG CA'!$A$5:$A$304,$A215,'CHẶNG TĂNG CA'!$B$5:$B$304,$B215))</f>
        <v/>
      </c>
      <c r="AD215" s="28" t="str">
        <f>IF($A215="","",SUMIFS('CHẶNG TĂNG CA'!$F$5:$F$304,'CHẶNG TĂNG CA'!$A$5:$A$304,$A215,'CHẶNG TĂNG CA'!$B$5:$B$304,$B215))</f>
        <v/>
      </c>
      <c r="AE215" s="28" t="str">
        <f>IF($A215="","",SUMIFS('CHẶNG TĂNG CA'!$G$5:$G$304,'CHẶNG TĂNG CA'!$A$5:$A$304,$A215,'CHẶNG TĂNG CA'!$B$5:$B$304,$B215))</f>
        <v/>
      </c>
      <c r="AF215" s="28" t="str">
        <f>IF($A215="","",SUMIFS('CHẶNG TĂNG CA'!$H$5:$H$304,'CHẶNG TĂNG CA'!$A$5:$A$304,$A215,'CHẶNG TĂNG CA'!$B$5:$B$304,$B215))</f>
        <v/>
      </c>
      <c r="AG215" s="28" t="str">
        <f t="shared" si="37"/>
        <v/>
      </c>
      <c r="AH215" s="16" t="str">
        <f>IF($A215="","",IF(COUNTIFS('LỆNH ĐIỀU XE'!$B$5:$B$604,$A215,'LỆNH ĐIỀU XE'!$C$5:$C$604,$B215,'LỆNH ĐIỀU XE'!$N$5:$N$604,"Có")&gt;0,"Có","Không"))</f>
        <v/>
      </c>
      <c r="AI215" s="16" t="str">
        <f>IF(OR($A215="",H215="",N(T215)=0),"",IF(_xlfn.MAXIFS('LỆNH ĐIỀU XE'!$U$5:$U$604,'LỆNH ĐIỀU XE'!$B$5:$B$604,$A215,'LỆNH ĐIỀU XE'!$C$5:$C$604,$B215)=0,"",ROUND((H215+(H215&lt;4/24)-_xlfn.MAXIFS('LỆNH ĐIỀU XE'!$U$5:$U$604,'LỆNH ĐIỀU XE'!$B$5:$B$604,$A215,'LỆNH ĐIỀU XE'!$C$5:$C$604,$B215))*1440,0)))</f>
        <v/>
      </c>
      <c r="AJ215" s="16" t="str">
        <f>IF($A215="","",IF(OR(AI215="",V215=""),"Thiếu dữ liệu",IF(AND(AI215&lt;='THAM SỐ'!$B$29,ABS(V215)&lt;='THAM SỐ'!$B$28),"Đạt","Không đạt")))</f>
        <v/>
      </c>
      <c r="AK215" s="16" t="str">
        <f t="shared" si="38"/>
        <v/>
      </c>
      <c r="AL215" s="16" t="str">
        <f>IF($A215="","",TRIM(IF(T215=0,"Không có lệnh; ","")&amp;IF(N(N215)&gt;0,"Dừng ngoài lệnh; ","")&amp;IF(N(J215)&gt;0,"Quá tốc độ; ","")&amp;IF(N(K215)&gt;0,"Lái quá 4h; ","")&amp;IF(N(L215)&gt;0,"Không tắt máy; ","")&amp;IF(OR(P215&lt;&gt;"Đủ",Q215&lt;&gt;"Đủ",R215&lt;&gt;"Đủ"),"Thiếu ảnh; ","")&amp;IF(S215&lt;&gt;"Đạt","Lốp chưa đạt; ","")&amp;IF(N(W215)&gt;'THAM SỐ'!$B$27,"Có mặt quá giờ; ","")&amp;IF(N(X215)&gt;'THAM SỐ'!$B$25,"Lái quá giờ ngày; ","")&amp;IF(ISNUMBER(V215),IF(ABS(V215)&gt;'THAM SỐ'!$B$28,"Lệch km; ",""),"")))</f>
        <v/>
      </c>
      <c r="AM215" s="29"/>
      <c r="AN215" s="30"/>
      <c r="AO215" s="28" t="str">
        <f t="shared" si="39"/>
        <v/>
      </c>
      <c r="AP215" s="21" t="str">
        <f>IF(OR($A215="",AO215=""),"",IF(AG215=0,0,ROUND((AC215*'THAM SỐ'!$B$18+AD215*'THAM SỐ'!$B$19+AE215*'THAM SỐ'!$B$20+AF215*'THAM SỐ'!$B$21)*MIN(1,AO215/AG215),0)))</f>
        <v/>
      </c>
      <c r="AQ215" s="18"/>
    </row>
    <row r="216" spans="1:43" x14ac:dyDescent="0.45">
      <c r="A216" s="17"/>
      <c r="B216" s="18"/>
      <c r="C216" s="18"/>
      <c r="D216" s="25"/>
      <c r="E216" s="26"/>
      <c r="F216" s="26"/>
      <c r="G216" s="20"/>
      <c r="H216" s="20"/>
      <c r="I216" s="18"/>
      <c r="J216" s="18"/>
      <c r="K216" s="18"/>
      <c r="L216" s="18"/>
      <c r="M216" s="18"/>
      <c r="N216" s="18"/>
      <c r="O216" s="18"/>
      <c r="P216" s="18"/>
      <c r="Q216" s="18"/>
      <c r="R216" s="18"/>
      <c r="S216" s="18"/>
      <c r="T216" s="16" t="str">
        <f>IF($A216="","",COUNTIFS('LỆNH ĐIỀU XE'!$B$5:$B$604,$A216,'LỆNH ĐIỀU XE'!$C$5:$C$604,$B216))</f>
        <v/>
      </c>
      <c r="U216" s="27" t="str">
        <f>IF($A216="","",SUMIFS('LỆNH ĐIỀU XE'!$J$5:$J$604,'LỆNH ĐIỀU XE'!$B$5:$B$604,$A216,'LỆNH ĐIỀU XE'!$C$5:$C$604,$B216))</f>
        <v/>
      </c>
      <c r="V216" s="22" t="str">
        <f t="shared" si="30"/>
        <v/>
      </c>
      <c r="W216" s="28" t="str">
        <f t="shared" si="31"/>
        <v/>
      </c>
      <c r="X216" s="28" t="str">
        <f t="shared" si="32"/>
        <v/>
      </c>
      <c r="Y216" s="28" t="str">
        <f t="shared" si="33"/>
        <v/>
      </c>
      <c r="Z216" s="22" t="str">
        <f t="shared" si="34"/>
        <v/>
      </c>
      <c r="AA216" s="28" t="str">
        <f t="shared" si="35"/>
        <v/>
      </c>
      <c r="AB216" s="28" t="str">
        <f t="shared" si="36"/>
        <v/>
      </c>
      <c r="AC216" s="28" t="str">
        <f>IF($A216="","",SUMIFS('CHẶNG TĂNG CA'!$E$5:$E$304,'CHẶNG TĂNG CA'!$A$5:$A$304,$A216,'CHẶNG TĂNG CA'!$B$5:$B$304,$B216))</f>
        <v/>
      </c>
      <c r="AD216" s="28" t="str">
        <f>IF($A216="","",SUMIFS('CHẶNG TĂNG CA'!$F$5:$F$304,'CHẶNG TĂNG CA'!$A$5:$A$304,$A216,'CHẶNG TĂNG CA'!$B$5:$B$304,$B216))</f>
        <v/>
      </c>
      <c r="AE216" s="28" t="str">
        <f>IF($A216="","",SUMIFS('CHẶNG TĂNG CA'!$G$5:$G$304,'CHẶNG TĂNG CA'!$A$5:$A$304,$A216,'CHẶNG TĂNG CA'!$B$5:$B$304,$B216))</f>
        <v/>
      </c>
      <c r="AF216" s="28" t="str">
        <f>IF($A216="","",SUMIFS('CHẶNG TĂNG CA'!$H$5:$H$304,'CHẶNG TĂNG CA'!$A$5:$A$304,$A216,'CHẶNG TĂNG CA'!$B$5:$B$304,$B216))</f>
        <v/>
      </c>
      <c r="AG216" s="28" t="str">
        <f t="shared" si="37"/>
        <v/>
      </c>
      <c r="AH216" s="16" t="str">
        <f>IF($A216="","",IF(COUNTIFS('LỆNH ĐIỀU XE'!$B$5:$B$604,$A216,'LỆNH ĐIỀU XE'!$C$5:$C$604,$B216,'LỆNH ĐIỀU XE'!$N$5:$N$604,"Có")&gt;0,"Có","Không"))</f>
        <v/>
      </c>
      <c r="AI216" s="16" t="str">
        <f>IF(OR($A216="",H216="",N(T216)=0),"",IF(_xlfn.MAXIFS('LỆNH ĐIỀU XE'!$U$5:$U$604,'LỆNH ĐIỀU XE'!$B$5:$B$604,$A216,'LỆNH ĐIỀU XE'!$C$5:$C$604,$B216)=0,"",ROUND((H216+(H216&lt;4/24)-_xlfn.MAXIFS('LỆNH ĐIỀU XE'!$U$5:$U$604,'LỆNH ĐIỀU XE'!$B$5:$B$604,$A216,'LỆNH ĐIỀU XE'!$C$5:$C$604,$B216))*1440,0)))</f>
        <v/>
      </c>
      <c r="AJ216" s="16" t="str">
        <f>IF($A216="","",IF(OR(AI216="",V216=""),"Thiếu dữ liệu",IF(AND(AI216&lt;='THAM SỐ'!$B$29,ABS(V216)&lt;='THAM SỐ'!$B$28),"Đạt","Không đạt")))</f>
        <v/>
      </c>
      <c r="AK216" s="16" t="str">
        <f t="shared" si="38"/>
        <v/>
      </c>
      <c r="AL216" s="16" t="str">
        <f>IF($A216="","",TRIM(IF(T216=0,"Không có lệnh; ","")&amp;IF(N(N216)&gt;0,"Dừng ngoài lệnh; ","")&amp;IF(N(J216)&gt;0,"Quá tốc độ; ","")&amp;IF(N(K216)&gt;0,"Lái quá 4h; ","")&amp;IF(N(L216)&gt;0,"Không tắt máy; ","")&amp;IF(OR(P216&lt;&gt;"Đủ",Q216&lt;&gt;"Đủ",R216&lt;&gt;"Đủ"),"Thiếu ảnh; ","")&amp;IF(S216&lt;&gt;"Đạt","Lốp chưa đạt; ","")&amp;IF(N(W216)&gt;'THAM SỐ'!$B$27,"Có mặt quá giờ; ","")&amp;IF(N(X216)&gt;'THAM SỐ'!$B$25,"Lái quá giờ ngày; ","")&amp;IF(ISNUMBER(V216),IF(ABS(V216)&gt;'THAM SỐ'!$B$28,"Lệch km; ",""),"")))</f>
        <v/>
      </c>
      <c r="AM216" s="29"/>
      <c r="AN216" s="30"/>
      <c r="AO216" s="28" t="str">
        <f t="shared" si="39"/>
        <v/>
      </c>
      <c r="AP216" s="21" t="str">
        <f>IF(OR($A216="",AO216=""),"",IF(AG216=0,0,ROUND((AC216*'THAM SỐ'!$B$18+AD216*'THAM SỐ'!$B$19+AE216*'THAM SỐ'!$B$20+AF216*'THAM SỐ'!$B$21)*MIN(1,AO216/AG216),0)))</f>
        <v/>
      </c>
      <c r="AQ216" s="18"/>
    </row>
    <row r="217" spans="1:43" x14ac:dyDescent="0.45">
      <c r="A217" s="17"/>
      <c r="B217" s="18"/>
      <c r="C217" s="18"/>
      <c r="D217" s="25"/>
      <c r="E217" s="26"/>
      <c r="F217" s="26"/>
      <c r="G217" s="20"/>
      <c r="H217" s="20"/>
      <c r="I217" s="18"/>
      <c r="J217" s="18"/>
      <c r="K217" s="18"/>
      <c r="L217" s="18"/>
      <c r="M217" s="18"/>
      <c r="N217" s="18"/>
      <c r="O217" s="18"/>
      <c r="P217" s="18"/>
      <c r="Q217" s="18"/>
      <c r="R217" s="18"/>
      <c r="S217" s="18"/>
      <c r="T217" s="16" t="str">
        <f>IF($A217="","",COUNTIFS('LỆNH ĐIỀU XE'!$B$5:$B$604,$A217,'LỆNH ĐIỀU XE'!$C$5:$C$604,$B217))</f>
        <v/>
      </c>
      <c r="U217" s="27" t="str">
        <f>IF($A217="","",SUMIFS('LỆNH ĐIỀU XE'!$J$5:$J$604,'LỆNH ĐIỀU XE'!$B$5:$B$604,$A217,'LỆNH ĐIỀU XE'!$C$5:$C$604,$B217))</f>
        <v/>
      </c>
      <c r="V217" s="22" t="str">
        <f t="shared" si="30"/>
        <v/>
      </c>
      <c r="W217" s="28" t="str">
        <f t="shared" si="31"/>
        <v/>
      </c>
      <c r="X217" s="28" t="str">
        <f t="shared" si="32"/>
        <v/>
      </c>
      <c r="Y217" s="28" t="str">
        <f t="shared" si="33"/>
        <v/>
      </c>
      <c r="Z217" s="22" t="str">
        <f t="shared" si="34"/>
        <v/>
      </c>
      <c r="AA217" s="28" t="str">
        <f t="shared" si="35"/>
        <v/>
      </c>
      <c r="AB217" s="28" t="str">
        <f t="shared" si="36"/>
        <v/>
      </c>
      <c r="AC217" s="28" t="str">
        <f>IF($A217="","",SUMIFS('CHẶNG TĂNG CA'!$E$5:$E$304,'CHẶNG TĂNG CA'!$A$5:$A$304,$A217,'CHẶNG TĂNG CA'!$B$5:$B$304,$B217))</f>
        <v/>
      </c>
      <c r="AD217" s="28" t="str">
        <f>IF($A217="","",SUMIFS('CHẶNG TĂNG CA'!$F$5:$F$304,'CHẶNG TĂNG CA'!$A$5:$A$304,$A217,'CHẶNG TĂNG CA'!$B$5:$B$304,$B217))</f>
        <v/>
      </c>
      <c r="AE217" s="28" t="str">
        <f>IF($A217="","",SUMIFS('CHẶNG TĂNG CA'!$G$5:$G$304,'CHẶNG TĂNG CA'!$A$5:$A$304,$A217,'CHẶNG TĂNG CA'!$B$5:$B$304,$B217))</f>
        <v/>
      </c>
      <c r="AF217" s="28" t="str">
        <f>IF($A217="","",SUMIFS('CHẶNG TĂNG CA'!$H$5:$H$304,'CHẶNG TĂNG CA'!$A$5:$A$304,$A217,'CHẶNG TĂNG CA'!$B$5:$B$304,$B217))</f>
        <v/>
      </c>
      <c r="AG217" s="28" t="str">
        <f t="shared" si="37"/>
        <v/>
      </c>
      <c r="AH217" s="16" t="str">
        <f>IF($A217="","",IF(COUNTIFS('LỆNH ĐIỀU XE'!$B$5:$B$604,$A217,'LỆNH ĐIỀU XE'!$C$5:$C$604,$B217,'LỆNH ĐIỀU XE'!$N$5:$N$604,"Có")&gt;0,"Có","Không"))</f>
        <v/>
      </c>
      <c r="AI217" s="16" t="str">
        <f>IF(OR($A217="",H217="",N(T217)=0),"",IF(_xlfn.MAXIFS('LỆNH ĐIỀU XE'!$U$5:$U$604,'LỆNH ĐIỀU XE'!$B$5:$B$604,$A217,'LỆNH ĐIỀU XE'!$C$5:$C$604,$B217)=0,"",ROUND((H217+(H217&lt;4/24)-_xlfn.MAXIFS('LỆNH ĐIỀU XE'!$U$5:$U$604,'LỆNH ĐIỀU XE'!$B$5:$B$604,$A217,'LỆNH ĐIỀU XE'!$C$5:$C$604,$B217))*1440,0)))</f>
        <v/>
      </c>
      <c r="AJ217" s="16" t="str">
        <f>IF($A217="","",IF(OR(AI217="",V217=""),"Thiếu dữ liệu",IF(AND(AI217&lt;='THAM SỐ'!$B$29,ABS(V217)&lt;='THAM SỐ'!$B$28),"Đạt","Không đạt")))</f>
        <v/>
      </c>
      <c r="AK217" s="16" t="str">
        <f t="shared" si="38"/>
        <v/>
      </c>
      <c r="AL217" s="16" t="str">
        <f>IF($A217="","",TRIM(IF(T217=0,"Không có lệnh; ","")&amp;IF(N(N217)&gt;0,"Dừng ngoài lệnh; ","")&amp;IF(N(J217)&gt;0,"Quá tốc độ; ","")&amp;IF(N(K217)&gt;0,"Lái quá 4h; ","")&amp;IF(N(L217)&gt;0,"Không tắt máy; ","")&amp;IF(OR(P217&lt;&gt;"Đủ",Q217&lt;&gt;"Đủ",R217&lt;&gt;"Đủ"),"Thiếu ảnh; ","")&amp;IF(S217&lt;&gt;"Đạt","Lốp chưa đạt; ","")&amp;IF(N(W217)&gt;'THAM SỐ'!$B$27,"Có mặt quá giờ; ","")&amp;IF(N(X217)&gt;'THAM SỐ'!$B$25,"Lái quá giờ ngày; ","")&amp;IF(ISNUMBER(V217),IF(ABS(V217)&gt;'THAM SỐ'!$B$28,"Lệch km; ",""),"")))</f>
        <v/>
      </c>
      <c r="AM217" s="29"/>
      <c r="AN217" s="30"/>
      <c r="AO217" s="28" t="str">
        <f t="shared" si="39"/>
        <v/>
      </c>
      <c r="AP217" s="21" t="str">
        <f>IF(OR($A217="",AO217=""),"",IF(AG217=0,0,ROUND((AC217*'THAM SỐ'!$B$18+AD217*'THAM SỐ'!$B$19+AE217*'THAM SỐ'!$B$20+AF217*'THAM SỐ'!$B$21)*MIN(1,AO217/AG217),0)))</f>
        <v/>
      </c>
      <c r="AQ217" s="18"/>
    </row>
    <row r="218" spans="1:43" x14ac:dyDescent="0.45">
      <c r="A218" s="17"/>
      <c r="B218" s="18"/>
      <c r="C218" s="18"/>
      <c r="D218" s="25"/>
      <c r="E218" s="26"/>
      <c r="F218" s="26"/>
      <c r="G218" s="20"/>
      <c r="H218" s="20"/>
      <c r="I218" s="18"/>
      <c r="J218" s="18"/>
      <c r="K218" s="18"/>
      <c r="L218" s="18"/>
      <c r="M218" s="18"/>
      <c r="N218" s="18"/>
      <c r="O218" s="18"/>
      <c r="P218" s="18"/>
      <c r="Q218" s="18"/>
      <c r="R218" s="18"/>
      <c r="S218" s="18"/>
      <c r="T218" s="16" t="str">
        <f>IF($A218="","",COUNTIFS('LỆNH ĐIỀU XE'!$B$5:$B$604,$A218,'LỆNH ĐIỀU XE'!$C$5:$C$604,$B218))</f>
        <v/>
      </c>
      <c r="U218" s="27" t="str">
        <f>IF($A218="","",SUMIFS('LỆNH ĐIỀU XE'!$J$5:$J$604,'LỆNH ĐIỀU XE'!$B$5:$B$604,$A218,'LỆNH ĐIỀU XE'!$C$5:$C$604,$B218))</f>
        <v/>
      </c>
      <c r="V218" s="22" t="str">
        <f t="shared" si="30"/>
        <v/>
      </c>
      <c r="W218" s="28" t="str">
        <f t="shared" si="31"/>
        <v/>
      </c>
      <c r="X218" s="28" t="str">
        <f t="shared" si="32"/>
        <v/>
      </c>
      <c r="Y218" s="28" t="str">
        <f t="shared" si="33"/>
        <v/>
      </c>
      <c r="Z218" s="22" t="str">
        <f t="shared" si="34"/>
        <v/>
      </c>
      <c r="AA218" s="28" t="str">
        <f t="shared" si="35"/>
        <v/>
      </c>
      <c r="AB218" s="28" t="str">
        <f t="shared" si="36"/>
        <v/>
      </c>
      <c r="AC218" s="28" t="str">
        <f>IF($A218="","",SUMIFS('CHẶNG TĂNG CA'!$E$5:$E$304,'CHẶNG TĂNG CA'!$A$5:$A$304,$A218,'CHẶNG TĂNG CA'!$B$5:$B$304,$B218))</f>
        <v/>
      </c>
      <c r="AD218" s="28" t="str">
        <f>IF($A218="","",SUMIFS('CHẶNG TĂNG CA'!$F$5:$F$304,'CHẶNG TĂNG CA'!$A$5:$A$304,$A218,'CHẶNG TĂNG CA'!$B$5:$B$304,$B218))</f>
        <v/>
      </c>
      <c r="AE218" s="28" t="str">
        <f>IF($A218="","",SUMIFS('CHẶNG TĂNG CA'!$G$5:$G$304,'CHẶNG TĂNG CA'!$A$5:$A$304,$A218,'CHẶNG TĂNG CA'!$B$5:$B$304,$B218))</f>
        <v/>
      </c>
      <c r="AF218" s="28" t="str">
        <f>IF($A218="","",SUMIFS('CHẶNG TĂNG CA'!$H$5:$H$304,'CHẶNG TĂNG CA'!$A$5:$A$304,$A218,'CHẶNG TĂNG CA'!$B$5:$B$304,$B218))</f>
        <v/>
      </c>
      <c r="AG218" s="28" t="str">
        <f t="shared" si="37"/>
        <v/>
      </c>
      <c r="AH218" s="16" t="str">
        <f>IF($A218="","",IF(COUNTIFS('LỆNH ĐIỀU XE'!$B$5:$B$604,$A218,'LỆNH ĐIỀU XE'!$C$5:$C$604,$B218,'LỆNH ĐIỀU XE'!$N$5:$N$604,"Có")&gt;0,"Có","Không"))</f>
        <v/>
      </c>
      <c r="AI218" s="16" t="str">
        <f>IF(OR($A218="",H218="",N(T218)=0),"",IF(_xlfn.MAXIFS('LỆNH ĐIỀU XE'!$U$5:$U$604,'LỆNH ĐIỀU XE'!$B$5:$B$604,$A218,'LỆNH ĐIỀU XE'!$C$5:$C$604,$B218)=0,"",ROUND((H218+(H218&lt;4/24)-_xlfn.MAXIFS('LỆNH ĐIỀU XE'!$U$5:$U$604,'LỆNH ĐIỀU XE'!$B$5:$B$604,$A218,'LỆNH ĐIỀU XE'!$C$5:$C$604,$B218))*1440,0)))</f>
        <v/>
      </c>
      <c r="AJ218" s="16" t="str">
        <f>IF($A218="","",IF(OR(AI218="",V218=""),"Thiếu dữ liệu",IF(AND(AI218&lt;='THAM SỐ'!$B$29,ABS(V218)&lt;='THAM SỐ'!$B$28),"Đạt","Không đạt")))</f>
        <v/>
      </c>
      <c r="AK218" s="16" t="str">
        <f t="shared" si="38"/>
        <v/>
      </c>
      <c r="AL218" s="16" t="str">
        <f>IF($A218="","",TRIM(IF(T218=0,"Không có lệnh; ","")&amp;IF(N(N218)&gt;0,"Dừng ngoài lệnh; ","")&amp;IF(N(J218)&gt;0,"Quá tốc độ; ","")&amp;IF(N(K218)&gt;0,"Lái quá 4h; ","")&amp;IF(N(L218)&gt;0,"Không tắt máy; ","")&amp;IF(OR(P218&lt;&gt;"Đủ",Q218&lt;&gt;"Đủ",R218&lt;&gt;"Đủ"),"Thiếu ảnh; ","")&amp;IF(S218&lt;&gt;"Đạt","Lốp chưa đạt; ","")&amp;IF(N(W218)&gt;'THAM SỐ'!$B$27,"Có mặt quá giờ; ","")&amp;IF(N(X218)&gt;'THAM SỐ'!$B$25,"Lái quá giờ ngày; ","")&amp;IF(ISNUMBER(V218),IF(ABS(V218)&gt;'THAM SỐ'!$B$28,"Lệch km; ",""),"")))</f>
        <v/>
      </c>
      <c r="AM218" s="29"/>
      <c r="AN218" s="30"/>
      <c r="AO218" s="28" t="str">
        <f t="shared" si="39"/>
        <v/>
      </c>
      <c r="AP218" s="21" t="str">
        <f>IF(OR($A218="",AO218=""),"",IF(AG218=0,0,ROUND((AC218*'THAM SỐ'!$B$18+AD218*'THAM SỐ'!$B$19+AE218*'THAM SỐ'!$B$20+AF218*'THAM SỐ'!$B$21)*MIN(1,AO218/AG218),0)))</f>
        <v/>
      </c>
      <c r="AQ218" s="18"/>
    </row>
    <row r="219" spans="1:43" x14ac:dyDescent="0.45">
      <c r="A219" s="17"/>
      <c r="B219" s="18"/>
      <c r="C219" s="18"/>
      <c r="D219" s="25"/>
      <c r="E219" s="26"/>
      <c r="F219" s="26"/>
      <c r="G219" s="20"/>
      <c r="H219" s="20"/>
      <c r="I219" s="18"/>
      <c r="J219" s="18"/>
      <c r="K219" s="18"/>
      <c r="L219" s="18"/>
      <c r="M219" s="18"/>
      <c r="N219" s="18"/>
      <c r="O219" s="18"/>
      <c r="P219" s="18"/>
      <c r="Q219" s="18"/>
      <c r="R219" s="18"/>
      <c r="S219" s="18"/>
      <c r="T219" s="16" t="str">
        <f>IF($A219="","",COUNTIFS('LỆNH ĐIỀU XE'!$B$5:$B$604,$A219,'LỆNH ĐIỀU XE'!$C$5:$C$604,$B219))</f>
        <v/>
      </c>
      <c r="U219" s="27" t="str">
        <f>IF($A219="","",SUMIFS('LỆNH ĐIỀU XE'!$J$5:$J$604,'LỆNH ĐIỀU XE'!$B$5:$B$604,$A219,'LỆNH ĐIỀU XE'!$C$5:$C$604,$B219))</f>
        <v/>
      </c>
      <c r="V219" s="22" t="str">
        <f t="shared" si="30"/>
        <v/>
      </c>
      <c r="W219" s="28" t="str">
        <f t="shared" si="31"/>
        <v/>
      </c>
      <c r="X219" s="28" t="str">
        <f t="shared" si="32"/>
        <v/>
      </c>
      <c r="Y219" s="28" t="str">
        <f t="shared" si="33"/>
        <v/>
      </c>
      <c r="Z219" s="22" t="str">
        <f t="shared" si="34"/>
        <v/>
      </c>
      <c r="AA219" s="28" t="str">
        <f t="shared" si="35"/>
        <v/>
      </c>
      <c r="AB219" s="28" t="str">
        <f t="shared" si="36"/>
        <v/>
      </c>
      <c r="AC219" s="28" t="str">
        <f>IF($A219="","",SUMIFS('CHẶNG TĂNG CA'!$E$5:$E$304,'CHẶNG TĂNG CA'!$A$5:$A$304,$A219,'CHẶNG TĂNG CA'!$B$5:$B$304,$B219))</f>
        <v/>
      </c>
      <c r="AD219" s="28" t="str">
        <f>IF($A219="","",SUMIFS('CHẶNG TĂNG CA'!$F$5:$F$304,'CHẶNG TĂNG CA'!$A$5:$A$304,$A219,'CHẶNG TĂNG CA'!$B$5:$B$304,$B219))</f>
        <v/>
      </c>
      <c r="AE219" s="28" t="str">
        <f>IF($A219="","",SUMIFS('CHẶNG TĂNG CA'!$G$5:$G$304,'CHẶNG TĂNG CA'!$A$5:$A$304,$A219,'CHẶNG TĂNG CA'!$B$5:$B$304,$B219))</f>
        <v/>
      </c>
      <c r="AF219" s="28" t="str">
        <f>IF($A219="","",SUMIFS('CHẶNG TĂNG CA'!$H$5:$H$304,'CHẶNG TĂNG CA'!$A$5:$A$304,$A219,'CHẶNG TĂNG CA'!$B$5:$B$304,$B219))</f>
        <v/>
      </c>
      <c r="AG219" s="28" t="str">
        <f t="shared" si="37"/>
        <v/>
      </c>
      <c r="AH219" s="16" t="str">
        <f>IF($A219="","",IF(COUNTIFS('LỆNH ĐIỀU XE'!$B$5:$B$604,$A219,'LỆNH ĐIỀU XE'!$C$5:$C$604,$B219,'LỆNH ĐIỀU XE'!$N$5:$N$604,"Có")&gt;0,"Có","Không"))</f>
        <v/>
      </c>
      <c r="AI219" s="16" t="str">
        <f>IF(OR($A219="",H219="",N(T219)=0),"",IF(_xlfn.MAXIFS('LỆNH ĐIỀU XE'!$U$5:$U$604,'LỆNH ĐIỀU XE'!$B$5:$B$604,$A219,'LỆNH ĐIỀU XE'!$C$5:$C$604,$B219)=0,"",ROUND((H219+(H219&lt;4/24)-_xlfn.MAXIFS('LỆNH ĐIỀU XE'!$U$5:$U$604,'LỆNH ĐIỀU XE'!$B$5:$B$604,$A219,'LỆNH ĐIỀU XE'!$C$5:$C$604,$B219))*1440,0)))</f>
        <v/>
      </c>
      <c r="AJ219" s="16" t="str">
        <f>IF($A219="","",IF(OR(AI219="",V219=""),"Thiếu dữ liệu",IF(AND(AI219&lt;='THAM SỐ'!$B$29,ABS(V219)&lt;='THAM SỐ'!$B$28),"Đạt","Không đạt")))</f>
        <v/>
      </c>
      <c r="AK219" s="16" t="str">
        <f t="shared" si="38"/>
        <v/>
      </c>
      <c r="AL219" s="16" t="str">
        <f>IF($A219="","",TRIM(IF(T219=0,"Không có lệnh; ","")&amp;IF(N(N219)&gt;0,"Dừng ngoài lệnh; ","")&amp;IF(N(J219)&gt;0,"Quá tốc độ; ","")&amp;IF(N(K219)&gt;0,"Lái quá 4h; ","")&amp;IF(N(L219)&gt;0,"Không tắt máy; ","")&amp;IF(OR(P219&lt;&gt;"Đủ",Q219&lt;&gt;"Đủ",R219&lt;&gt;"Đủ"),"Thiếu ảnh; ","")&amp;IF(S219&lt;&gt;"Đạt","Lốp chưa đạt; ","")&amp;IF(N(W219)&gt;'THAM SỐ'!$B$27,"Có mặt quá giờ; ","")&amp;IF(N(X219)&gt;'THAM SỐ'!$B$25,"Lái quá giờ ngày; ","")&amp;IF(ISNUMBER(V219),IF(ABS(V219)&gt;'THAM SỐ'!$B$28,"Lệch km; ",""),"")))</f>
        <v/>
      </c>
      <c r="AM219" s="29"/>
      <c r="AN219" s="30"/>
      <c r="AO219" s="28" t="str">
        <f t="shared" si="39"/>
        <v/>
      </c>
      <c r="AP219" s="21" t="str">
        <f>IF(OR($A219="",AO219=""),"",IF(AG219=0,0,ROUND((AC219*'THAM SỐ'!$B$18+AD219*'THAM SỐ'!$B$19+AE219*'THAM SỐ'!$B$20+AF219*'THAM SỐ'!$B$21)*MIN(1,AO219/AG219),0)))</f>
        <v/>
      </c>
      <c r="AQ219" s="18"/>
    </row>
    <row r="220" spans="1:43" x14ac:dyDescent="0.45">
      <c r="A220" s="17"/>
      <c r="B220" s="18"/>
      <c r="C220" s="18"/>
      <c r="D220" s="25"/>
      <c r="E220" s="26"/>
      <c r="F220" s="26"/>
      <c r="G220" s="20"/>
      <c r="H220" s="20"/>
      <c r="I220" s="18"/>
      <c r="J220" s="18"/>
      <c r="K220" s="18"/>
      <c r="L220" s="18"/>
      <c r="M220" s="18"/>
      <c r="N220" s="18"/>
      <c r="O220" s="18"/>
      <c r="P220" s="18"/>
      <c r="Q220" s="18"/>
      <c r="R220" s="18"/>
      <c r="S220" s="18"/>
      <c r="T220" s="16" t="str">
        <f>IF($A220="","",COUNTIFS('LỆNH ĐIỀU XE'!$B$5:$B$604,$A220,'LỆNH ĐIỀU XE'!$C$5:$C$604,$B220))</f>
        <v/>
      </c>
      <c r="U220" s="27" t="str">
        <f>IF($A220="","",SUMIFS('LỆNH ĐIỀU XE'!$J$5:$J$604,'LỆNH ĐIỀU XE'!$B$5:$B$604,$A220,'LỆNH ĐIỀU XE'!$C$5:$C$604,$B220))</f>
        <v/>
      </c>
      <c r="V220" s="22" t="str">
        <f t="shared" si="30"/>
        <v/>
      </c>
      <c r="W220" s="28" t="str">
        <f t="shared" si="31"/>
        <v/>
      </c>
      <c r="X220" s="28" t="str">
        <f t="shared" si="32"/>
        <v/>
      </c>
      <c r="Y220" s="28" t="str">
        <f t="shared" si="33"/>
        <v/>
      </c>
      <c r="Z220" s="22" t="str">
        <f t="shared" si="34"/>
        <v/>
      </c>
      <c r="AA220" s="28" t="str">
        <f t="shared" si="35"/>
        <v/>
      </c>
      <c r="AB220" s="28" t="str">
        <f t="shared" si="36"/>
        <v/>
      </c>
      <c r="AC220" s="28" t="str">
        <f>IF($A220="","",SUMIFS('CHẶNG TĂNG CA'!$E$5:$E$304,'CHẶNG TĂNG CA'!$A$5:$A$304,$A220,'CHẶNG TĂNG CA'!$B$5:$B$304,$B220))</f>
        <v/>
      </c>
      <c r="AD220" s="28" t="str">
        <f>IF($A220="","",SUMIFS('CHẶNG TĂNG CA'!$F$5:$F$304,'CHẶNG TĂNG CA'!$A$5:$A$304,$A220,'CHẶNG TĂNG CA'!$B$5:$B$304,$B220))</f>
        <v/>
      </c>
      <c r="AE220" s="28" t="str">
        <f>IF($A220="","",SUMIFS('CHẶNG TĂNG CA'!$G$5:$G$304,'CHẶNG TĂNG CA'!$A$5:$A$304,$A220,'CHẶNG TĂNG CA'!$B$5:$B$304,$B220))</f>
        <v/>
      </c>
      <c r="AF220" s="28" t="str">
        <f>IF($A220="","",SUMIFS('CHẶNG TĂNG CA'!$H$5:$H$304,'CHẶNG TĂNG CA'!$A$5:$A$304,$A220,'CHẶNG TĂNG CA'!$B$5:$B$304,$B220))</f>
        <v/>
      </c>
      <c r="AG220" s="28" t="str">
        <f t="shared" si="37"/>
        <v/>
      </c>
      <c r="AH220" s="16" t="str">
        <f>IF($A220="","",IF(COUNTIFS('LỆNH ĐIỀU XE'!$B$5:$B$604,$A220,'LỆNH ĐIỀU XE'!$C$5:$C$604,$B220,'LỆNH ĐIỀU XE'!$N$5:$N$604,"Có")&gt;0,"Có","Không"))</f>
        <v/>
      </c>
      <c r="AI220" s="16" t="str">
        <f>IF(OR($A220="",H220="",N(T220)=0),"",IF(_xlfn.MAXIFS('LỆNH ĐIỀU XE'!$U$5:$U$604,'LỆNH ĐIỀU XE'!$B$5:$B$604,$A220,'LỆNH ĐIỀU XE'!$C$5:$C$604,$B220)=0,"",ROUND((H220+(H220&lt;4/24)-_xlfn.MAXIFS('LỆNH ĐIỀU XE'!$U$5:$U$604,'LỆNH ĐIỀU XE'!$B$5:$B$604,$A220,'LỆNH ĐIỀU XE'!$C$5:$C$604,$B220))*1440,0)))</f>
        <v/>
      </c>
      <c r="AJ220" s="16" t="str">
        <f>IF($A220="","",IF(OR(AI220="",V220=""),"Thiếu dữ liệu",IF(AND(AI220&lt;='THAM SỐ'!$B$29,ABS(V220)&lt;='THAM SỐ'!$B$28),"Đạt","Không đạt")))</f>
        <v/>
      </c>
      <c r="AK220" s="16" t="str">
        <f t="shared" si="38"/>
        <v/>
      </c>
      <c r="AL220" s="16" t="str">
        <f>IF($A220="","",TRIM(IF(T220=0,"Không có lệnh; ","")&amp;IF(N(N220)&gt;0,"Dừng ngoài lệnh; ","")&amp;IF(N(J220)&gt;0,"Quá tốc độ; ","")&amp;IF(N(K220)&gt;0,"Lái quá 4h; ","")&amp;IF(N(L220)&gt;0,"Không tắt máy; ","")&amp;IF(OR(P220&lt;&gt;"Đủ",Q220&lt;&gt;"Đủ",R220&lt;&gt;"Đủ"),"Thiếu ảnh; ","")&amp;IF(S220&lt;&gt;"Đạt","Lốp chưa đạt; ","")&amp;IF(N(W220)&gt;'THAM SỐ'!$B$27,"Có mặt quá giờ; ","")&amp;IF(N(X220)&gt;'THAM SỐ'!$B$25,"Lái quá giờ ngày; ","")&amp;IF(ISNUMBER(V220),IF(ABS(V220)&gt;'THAM SỐ'!$B$28,"Lệch km; ",""),"")))</f>
        <v/>
      </c>
      <c r="AM220" s="29"/>
      <c r="AN220" s="30"/>
      <c r="AO220" s="28" t="str">
        <f t="shared" si="39"/>
        <v/>
      </c>
      <c r="AP220" s="21" t="str">
        <f>IF(OR($A220="",AO220=""),"",IF(AG220=0,0,ROUND((AC220*'THAM SỐ'!$B$18+AD220*'THAM SỐ'!$B$19+AE220*'THAM SỐ'!$B$20+AF220*'THAM SỐ'!$B$21)*MIN(1,AO220/AG220),0)))</f>
        <v/>
      </c>
      <c r="AQ220" s="18"/>
    </row>
    <row r="221" spans="1:43" x14ac:dyDescent="0.45">
      <c r="A221" s="17"/>
      <c r="B221" s="18"/>
      <c r="C221" s="18"/>
      <c r="D221" s="25"/>
      <c r="E221" s="26"/>
      <c r="F221" s="26"/>
      <c r="G221" s="20"/>
      <c r="H221" s="20"/>
      <c r="I221" s="18"/>
      <c r="J221" s="18"/>
      <c r="K221" s="18"/>
      <c r="L221" s="18"/>
      <c r="M221" s="18"/>
      <c r="N221" s="18"/>
      <c r="O221" s="18"/>
      <c r="P221" s="18"/>
      <c r="Q221" s="18"/>
      <c r="R221" s="18"/>
      <c r="S221" s="18"/>
      <c r="T221" s="16" t="str">
        <f>IF($A221="","",COUNTIFS('LỆNH ĐIỀU XE'!$B$5:$B$604,$A221,'LỆNH ĐIỀU XE'!$C$5:$C$604,$B221))</f>
        <v/>
      </c>
      <c r="U221" s="27" t="str">
        <f>IF($A221="","",SUMIFS('LỆNH ĐIỀU XE'!$J$5:$J$604,'LỆNH ĐIỀU XE'!$B$5:$B$604,$A221,'LỆNH ĐIỀU XE'!$C$5:$C$604,$B221))</f>
        <v/>
      </c>
      <c r="V221" s="22" t="str">
        <f t="shared" si="30"/>
        <v/>
      </c>
      <c r="W221" s="28" t="str">
        <f t="shared" si="31"/>
        <v/>
      </c>
      <c r="X221" s="28" t="str">
        <f t="shared" si="32"/>
        <v/>
      </c>
      <c r="Y221" s="28" t="str">
        <f t="shared" si="33"/>
        <v/>
      </c>
      <c r="Z221" s="22" t="str">
        <f t="shared" si="34"/>
        <v/>
      </c>
      <c r="AA221" s="28" t="str">
        <f t="shared" si="35"/>
        <v/>
      </c>
      <c r="AB221" s="28" t="str">
        <f t="shared" si="36"/>
        <v/>
      </c>
      <c r="AC221" s="28" t="str">
        <f>IF($A221="","",SUMIFS('CHẶNG TĂNG CA'!$E$5:$E$304,'CHẶNG TĂNG CA'!$A$5:$A$304,$A221,'CHẶNG TĂNG CA'!$B$5:$B$304,$B221))</f>
        <v/>
      </c>
      <c r="AD221" s="28" t="str">
        <f>IF($A221="","",SUMIFS('CHẶNG TĂNG CA'!$F$5:$F$304,'CHẶNG TĂNG CA'!$A$5:$A$304,$A221,'CHẶNG TĂNG CA'!$B$5:$B$304,$B221))</f>
        <v/>
      </c>
      <c r="AE221" s="28" t="str">
        <f>IF($A221="","",SUMIFS('CHẶNG TĂNG CA'!$G$5:$G$304,'CHẶNG TĂNG CA'!$A$5:$A$304,$A221,'CHẶNG TĂNG CA'!$B$5:$B$304,$B221))</f>
        <v/>
      </c>
      <c r="AF221" s="28" t="str">
        <f>IF($A221="","",SUMIFS('CHẶNG TĂNG CA'!$H$5:$H$304,'CHẶNG TĂNG CA'!$A$5:$A$304,$A221,'CHẶNG TĂNG CA'!$B$5:$B$304,$B221))</f>
        <v/>
      </c>
      <c r="AG221" s="28" t="str">
        <f t="shared" si="37"/>
        <v/>
      </c>
      <c r="AH221" s="16" t="str">
        <f>IF($A221="","",IF(COUNTIFS('LỆNH ĐIỀU XE'!$B$5:$B$604,$A221,'LỆNH ĐIỀU XE'!$C$5:$C$604,$B221,'LỆNH ĐIỀU XE'!$N$5:$N$604,"Có")&gt;0,"Có","Không"))</f>
        <v/>
      </c>
      <c r="AI221" s="16" t="str">
        <f>IF(OR($A221="",H221="",N(T221)=0),"",IF(_xlfn.MAXIFS('LỆNH ĐIỀU XE'!$U$5:$U$604,'LỆNH ĐIỀU XE'!$B$5:$B$604,$A221,'LỆNH ĐIỀU XE'!$C$5:$C$604,$B221)=0,"",ROUND((H221+(H221&lt;4/24)-_xlfn.MAXIFS('LỆNH ĐIỀU XE'!$U$5:$U$604,'LỆNH ĐIỀU XE'!$B$5:$B$604,$A221,'LỆNH ĐIỀU XE'!$C$5:$C$604,$B221))*1440,0)))</f>
        <v/>
      </c>
      <c r="AJ221" s="16" t="str">
        <f>IF($A221="","",IF(OR(AI221="",V221=""),"Thiếu dữ liệu",IF(AND(AI221&lt;='THAM SỐ'!$B$29,ABS(V221)&lt;='THAM SỐ'!$B$28),"Đạt","Không đạt")))</f>
        <v/>
      </c>
      <c r="AK221" s="16" t="str">
        <f t="shared" si="38"/>
        <v/>
      </c>
      <c r="AL221" s="16" t="str">
        <f>IF($A221="","",TRIM(IF(T221=0,"Không có lệnh; ","")&amp;IF(N(N221)&gt;0,"Dừng ngoài lệnh; ","")&amp;IF(N(J221)&gt;0,"Quá tốc độ; ","")&amp;IF(N(K221)&gt;0,"Lái quá 4h; ","")&amp;IF(N(L221)&gt;0,"Không tắt máy; ","")&amp;IF(OR(P221&lt;&gt;"Đủ",Q221&lt;&gt;"Đủ",R221&lt;&gt;"Đủ"),"Thiếu ảnh; ","")&amp;IF(S221&lt;&gt;"Đạt","Lốp chưa đạt; ","")&amp;IF(N(W221)&gt;'THAM SỐ'!$B$27,"Có mặt quá giờ; ","")&amp;IF(N(X221)&gt;'THAM SỐ'!$B$25,"Lái quá giờ ngày; ","")&amp;IF(ISNUMBER(V221),IF(ABS(V221)&gt;'THAM SỐ'!$B$28,"Lệch km; ",""),"")))</f>
        <v/>
      </c>
      <c r="AM221" s="29"/>
      <c r="AN221" s="30"/>
      <c r="AO221" s="28" t="str">
        <f t="shared" si="39"/>
        <v/>
      </c>
      <c r="AP221" s="21" t="str">
        <f>IF(OR($A221="",AO221=""),"",IF(AG221=0,0,ROUND((AC221*'THAM SỐ'!$B$18+AD221*'THAM SỐ'!$B$19+AE221*'THAM SỐ'!$B$20+AF221*'THAM SỐ'!$B$21)*MIN(1,AO221/AG221),0)))</f>
        <v/>
      </c>
      <c r="AQ221" s="18"/>
    </row>
    <row r="222" spans="1:43" x14ac:dyDescent="0.45">
      <c r="A222" s="17"/>
      <c r="B222" s="18"/>
      <c r="C222" s="18"/>
      <c r="D222" s="25"/>
      <c r="E222" s="26"/>
      <c r="F222" s="26"/>
      <c r="G222" s="20"/>
      <c r="H222" s="20"/>
      <c r="I222" s="18"/>
      <c r="J222" s="18"/>
      <c r="K222" s="18"/>
      <c r="L222" s="18"/>
      <c r="M222" s="18"/>
      <c r="N222" s="18"/>
      <c r="O222" s="18"/>
      <c r="P222" s="18"/>
      <c r="Q222" s="18"/>
      <c r="R222" s="18"/>
      <c r="S222" s="18"/>
      <c r="T222" s="16" t="str">
        <f>IF($A222="","",COUNTIFS('LỆNH ĐIỀU XE'!$B$5:$B$604,$A222,'LỆNH ĐIỀU XE'!$C$5:$C$604,$B222))</f>
        <v/>
      </c>
      <c r="U222" s="27" t="str">
        <f>IF($A222="","",SUMIFS('LỆNH ĐIỀU XE'!$J$5:$J$604,'LỆNH ĐIỀU XE'!$B$5:$B$604,$A222,'LỆNH ĐIỀU XE'!$C$5:$C$604,$B222))</f>
        <v/>
      </c>
      <c r="V222" s="22" t="str">
        <f t="shared" si="30"/>
        <v/>
      </c>
      <c r="W222" s="28" t="str">
        <f t="shared" si="31"/>
        <v/>
      </c>
      <c r="X222" s="28" t="str">
        <f t="shared" si="32"/>
        <v/>
      </c>
      <c r="Y222" s="28" t="str">
        <f t="shared" si="33"/>
        <v/>
      </c>
      <c r="Z222" s="22" t="str">
        <f t="shared" si="34"/>
        <v/>
      </c>
      <c r="AA222" s="28" t="str">
        <f t="shared" si="35"/>
        <v/>
      </c>
      <c r="AB222" s="28" t="str">
        <f t="shared" si="36"/>
        <v/>
      </c>
      <c r="AC222" s="28" t="str">
        <f>IF($A222="","",SUMIFS('CHẶNG TĂNG CA'!$E$5:$E$304,'CHẶNG TĂNG CA'!$A$5:$A$304,$A222,'CHẶNG TĂNG CA'!$B$5:$B$304,$B222))</f>
        <v/>
      </c>
      <c r="AD222" s="28" t="str">
        <f>IF($A222="","",SUMIFS('CHẶNG TĂNG CA'!$F$5:$F$304,'CHẶNG TĂNG CA'!$A$5:$A$304,$A222,'CHẶNG TĂNG CA'!$B$5:$B$304,$B222))</f>
        <v/>
      </c>
      <c r="AE222" s="28" t="str">
        <f>IF($A222="","",SUMIFS('CHẶNG TĂNG CA'!$G$5:$G$304,'CHẶNG TĂNG CA'!$A$5:$A$304,$A222,'CHẶNG TĂNG CA'!$B$5:$B$304,$B222))</f>
        <v/>
      </c>
      <c r="AF222" s="28" t="str">
        <f>IF($A222="","",SUMIFS('CHẶNG TĂNG CA'!$H$5:$H$304,'CHẶNG TĂNG CA'!$A$5:$A$304,$A222,'CHẶNG TĂNG CA'!$B$5:$B$304,$B222))</f>
        <v/>
      </c>
      <c r="AG222" s="28" t="str">
        <f t="shared" si="37"/>
        <v/>
      </c>
      <c r="AH222" s="16" t="str">
        <f>IF($A222="","",IF(COUNTIFS('LỆNH ĐIỀU XE'!$B$5:$B$604,$A222,'LỆNH ĐIỀU XE'!$C$5:$C$604,$B222,'LỆNH ĐIỀU XE'!$N$5:$N$604,"Có")&gt;0,"Có","Không"))</f>
        <v/>
      </c>
      <c r="AI222" s="16" t="str">
        <f>IF(OR($A222="",H222="",N(T222)=0),"",IF(_xlfn.MAXIFS('LỆNH ĐIỀU XE'!$U$5:$U$604,'LỆNH ĐIỀU XE'!$B$5:$B$604,$A222,'LỆNH ĐIỀU XE'!$C$5:$C$604,$B222)=0,"",ROUND((H222+(H222&lt;4/24)-_xlfn.MAXIFS('LỆNH ĐIỀU XE'!$U$5:$U$604,'LỆNH ĐIỀU XE'!$B$5:$B$604,$A222,'LỆNH ĐIỀU XE'!$C$5:$C$604,$B222))*1440,0)))</f>
        <v/>
      </c>
      <c r="AJ222" s="16" t="str">
        <f>IF($A222="","",IF(OR(AI222="",V222=""),"Thiếu dữ liệu",IF(AND(AI222&lt;='THAM SỐ'!$B$29,ABS(V222)&lt;='THAM SỐ'!$B$28),"Đạt","Không đạt")))</f>
        <v/>
      </c>
      <c r="AK222" s="16" t="str">
        <f t="shared" si="38"/>
        <v/>
      </c>
      <c r="AL222" s="16" t="str">
        <f>IF($A222="","",TRIM(IF(T222=0,"Không có lệnh; ","")&amp;IF(N(N222)&gt;0,"Dừng ngoài lệnh; ","")&amp;IF(N(J222)&gt;0,"Quá tốc độ; ","")&amp;IF(N(K222)&gt;0,"Lái quá 4h; ","")&amp;IF(N(L222)&gt;0,"Không tắt máy; ","")&amp;IF(OR(P222&lt;&gt;"Đủ",Q222&lt;&gt;"Đủ",R222&lt;&gt;"Đủ"),"Thiếu ảnh; ","")&amp;IF(S222&lt;&gt;"Đạt","Lốp chưa đạt; ","")&amp;IF(N(W222)&gt;'THAM SỐ'!$B$27,"Có mặt quá giờ; ","")&amp;IF(N(X222)&gt;'THAM SỐ'!$B$25,"Lái quá giờ ngày; ","")&amp;IF(ISNUMBER(V222),IF(ABS(V222)&gt;'THAM SỐ'!$B$28,"Lệch km; ",""),"")))</f>
        <v/>
      </c>
      <c r="AM222" s="29"/>
      <c r="AN222" s="30"/>
      <c r="AO222" s="28" t="str">
        <f t="shared" si="39"/>
        <v/>
      </c>
      <c r="AP222" s="21" t="str">
        <f>IF(OR($A222="",AO222=""),"",IF(AG222=0,0,ROUND((AC222*'THAM SỐ'!$B$18+AD222*'THAM SỐ'!$B$19+AE222*'THAM SỐ'!$B$20+AF222*'THAM SỐ'!$B$21)*MIN(1,AO222/AG222),0)))</f>
        <v/>
      </c>
      <c r="AQ222" s="18"/>
    </row>
    <row r="223" spans="1:43" x14ac:dyDescent="0.45">
      <c r="A223" s="17"/>
      <c r="B223" s="18"/>
      <c r="C223" s="18"/>
      <c r="D223" s="25"/>
      <c r="E223" s="26"/>
      <c r="F223" s="26"/>
      <c r="G223" s="20"/>
      <c r="H223" s="20"/>
      <c r="I223" s="18"/>
      <c r="J223" s="18"/>
      <c r="K223" s="18"/>
      <c r="L223" s="18"/>
      <c r="M223" s="18"/>
      <c r="N223" s="18"/>
      <c r="O223" s="18"/>
      <c r="P223" s="18"/>
      <c r="Q223" s="18"/>
      <c r="R223" s="18"/>
      <c r="S223" s="18"/>
      <c r="T223" s="16" t="str">
        <f>IF($A223="","",COUNTIFS('LỆNH ĐIỀU XE'!$B$5:$B$604,$A223,'LỆNH ĐIỀU XE'!$C$5:$C$604,$B223))</f>
        <v/>
      </c>
      <c r="U223" s="27" t="str">
        <f>IF($A223="","",SUMIFS('LỆNH ĐIỀU XE'!$J$5:$J$604,'LỆNH ĐIỀU XE'!$B$5:$B$604,$A223,'LỆNH ĐIỀU XE'!$C$5:$C$604,$B223))</f>
        <v/>
      </c>
      <c r="V223" s="22" t="str">
        <f t="shared" si="30"/>
        <v/>
      </c>
      <c r="W223" s="28" t="str">
        <f t="shared" si="31"/>
        <v/>
      </c>
      <c r="X223" s="28" t="str">
        <f t="shared" si="32"/>
        <v/>
      </c>
      <c r="Y223" s="28" t="str">
        <f t="shared" si="33"/>
        <v/>
      </c>
      <c r="Z223" s="22" t="str">
        <f t="shared" si="34"/>
        <v/>
      </c>
      <c r="AA223" s="28" t="str">
        <f t="shared" si="35"/>
        <v/>
      </c>
      <c r="AB223" s="28" t="str">
        <f t="shared" si="36"/>
        <v/>
      </c>
      <c r="AC223" s="28" t="str">
        <f>IF($A223="","",SUMIFS('CHẶNG TĂNG CA'!$E$5:$E$304,'CHẶNG TĂNG CA'!$A$5:$A$304,$A223,'CHẶNG TĂNG CA'!$B$5:$B$304,$B223))</f>
        <v/>
      </c>
      <c r="AD223" s="28" t="str">
        <f>IF($A223="","",SUMIFS('CHẶNG TĂNG CA'!$F$5:$F$304,'CHẶNG TĂNG CA'!$A$5:$A$304,$A223,'CHẶNG TĂNG CA'!$B$5:$B$304,$B223))</f>
        <v/>
      </c>
      <c r="AE223" s="28" t="str">
        <f>IF($A223="","",SUMIFS('CHẶNG TĂNG CA'!$G$5:$G$304,'CHẶNG TĂNG CA'!$A$5:$A$304,$A223,'CHẶNG TĂNG CA'!$B$5:$B$304,$B223))</f>
        <v/>
      </c>
      <c r="AF223" s="28" t="str">
        <f>IF($A223="","",SUMIFS('CHẶNG TĂNG CA'!$H$5:$H$304,'CHẶNG TĂNG CA'!$A$5:$A$304,$A223,'CHẶNG TĂNG CA'!$B$5:$B$304,$B223))</f>
        <v/>
      </c>
      <c r="AG223" s="28" t="str">
        <f t="shared" si="37"/>
        <v/>
      </c>
      <c r="AH223" s="16" t="str">
        <f>IF($A223="","",IF(COUNTIFS('LỆNH ĐIỀU XE'!$B$5:$B$604,$A223,'LỆNH ĐIỀU XE'!$C$5:$C$604,$B223,'LỆNH ĐIỀU XE'!$N$5:$N$604,"Có")&gt;0,"Có","Không"))</f>
        <v/>
      </c>
      <c r="AI223" s="16" t="str">
        <f>IF(OR($A223="",H223="",N(T223)=0),"",IF(_xlfn.MAXIFS('LỆNH ĐIỀU XE'!$U$5:$U$604,'LỆNH ĐIỀU XE'!$B$5:$B$604,$A223,'LỆNH ĐIỀU XE'!$C$5:$C$604,$B223)=0,"",ROUND((H223+(H223&lt;4/24)-_xlfn.MAXIFS('LỆNH ĐIỀU XE'!$U$5:$U$604,'LỆNH ĐIỀU XE'!$B$5:$B$604,$A223,'LỆNH ĐIỀU XE'!$C$5:$C$604,$B223))*1440,0)))</f>
        <v/>
      </c>
      <c r="AJ223" s="16" t="str">
        <f>IF($A223="","",IF(OR(AI223="",V223=""),"Thiếu dữ liệu",IF(AND(AI223&lt;='THAM SỐ'!$B$29,ABS(V223)&lt;='THAM SỐ'!$B$28),"Đạt","Không đạt")))</f>
        <v/>
      </c>
      <c r="AK223" s="16" t="str">
        <f t="shared" si="38"/>
        <v/>
      </c>
      <c r="AL223" s="16" t="str">
        <f>IF($A223="","",TRIM(IF(T223=0,"Không có lệnh; ","")&amp;IF(N(N223)&gt;0,"Dừng ngoài lệnh; ","")&amp;IF(N(J223)&gt;0,"Quá tốc độ; ","")&amp;IF(N(K223)&gt;0,"Lái quá 4h; ","")&amp;IF(N(L223)&gt;0,"Không tắt máy; ","")&amp;IF(OR(P223&lt;&gt;"Đủ",Q223&lt;&gt;"Đủ",R223&lt;&gt;"Đủ"),"Thiếu ảnh; ","")&amp;IF(S223&lt;&gt;"Đạt","Lốp chưa đạt; ","")&amp;IF(N(W223)&gt;'THAM SỐ'!$B$27,"Có mặt quá giờ; ","")&amp;IF(N(X223)&gt;'THAM SỐ'!$B$25,"Lái quá giờ ngày; ","")&amp;IF(ISNUMBER(V223),IF(ABS(V223)&gt;'THAM SỐ'!$B$28,"Lệch km; ",""),"")))</f>
        <v/>
      </c>
      <c r="AM223" s="29"/>
      <c r="AN223" s="30"/>
      <c r="AO223" s="28" t="str">
        <f t="shared" si="39"/>
        <v/>
      </c>
      <c r="AP223" s="21" t="str">
        <f>IF(OR($A223="",AO223=""),"",IF(AG223=0,0,ROUND((AC223*'THAM SỐ'!$B$18+AD223*'THAM SỐ'!$B$19+AE223*'THAM SỐ'!$B$20+AF223*'THAM SỐ'!$B$21)*MIN(1,AO223/AG223),0)))</f>
        <v/>
      </c>
      <c r="AQ223" s="18"/>
    </row>
    <row r="224" spans="1:43" x14ac:dyDescent="0.45">
      <c r="A224" s="17"/>
      <c r="B224" s="18"/>
      <c r="C224" s="18"/>
      <c r="D224" s="25"/>
      <c r="E224" s="26"/>
      <c r="F224" s="26"/>
      <c r="G224" s="20"/>
      <c r="H224" s="20"/>
      <c r="I224" s="18"/>
      <c r="J224" s="18"/>
      <c r="K224" s="18"/>
      <c r="L224" s="18"/>
      <c r="M224" s="18"/>
      <c r="N224" s="18"/>
      <c r="O224" s="18"/>
      <c r="P224" s="18"/>
      <c r="Q224" s="18"/>
      <c r="R224" s="18"/>
      <c r="S224" s="18"/>
      <c r="T224" s="16" t="str">
        <f>IF($A224="","",COUNTIFS('LỆNH ĐIỀU XE'!$B$5:$B$604,$A224,'LỆNH ĐIỀU XE'!$C$5:$C$604,$B224))</f>
        <v/>
      </c>
      <c r="U224" s="27" t="str">
        <f>IF($A224="","",SUMIFS('LỆNH ĐIỀU XE'!$J$5:$J$604,'LỆNH ĐIỀU XE'!$B$5:$B$604,$A224,'LỆNH ĐIỀU XE'!$C$5:$C$604,$B224))</f>
        <v/>
      </c>
      <c r="V224" s="22" t="str">
        <f t="shared" si="30"/>
        <v/>
      </c>
      <c r="W224" s="28" t="str">
        <f t="shared" si="31"/>
        <v/>
      </c>
      <c r="X224" s="28" t="str">
        <f t="shared" si="32"/>
        <v/>
      </c>
      <c r="Y224" s="28" t="str">
        <f t="shared" si="33"/>
        <v/>
      </c>
      <c r="Z224" s="22" t="str">
        <f t="shared" si="34"/>
        <v/>
      </c>
      <c r="AA224" s="28" t="str">
        <f t="shared" si="35"/>
        <v/>
      </c>
      <c r="AB224" s="28" t="str">
        <f t="shared" si="36"/>
        <v/>
      </c>
      <c r="AC224" s="28" t="str">
        <f>IF($A224="","",SUMIFS('CHẶNG TĂNG CA'!$E$5:$E$304,'CHẶNG TĂNG CA'!$A$5:$A$304,$A224,'CHẶNG TĂNG CA'!$B$5:$B$304,$B224))</f>
        <v/>
      </c>
      <c r="AD224" s="28" t="str">
        <f>IF($A224="","",SUMIFS('CHẶNG TĂNG CA'!$F$5:$F$304,'CHẶNG TĂNG CA'!$A$5:$A$304,$A224,'CHẶNG TĂNG CA'!$B$5:$B$304,$B224))</f>
        <v/>
      </c>
      <c r="AE224" s="28" t="str">
        <f>IF($A224="","",SUMIFS('CHẶNG TĂNG CA'!$G$5:$G$304,'CHẶNG TĂNG CA'!$A$5:$A$304,$A224,'CHẶNG TĂNG CA'!$B$5:$B$304,$B224))</f>
        <v/>
      </c>
      <c r="AF224" s="28" t="str">
        <f>IF($A224="","",SUMIFS('CHẶNG TĂNG CA'!$H$5:$H$304,'CHẶNG TĂNG CA'!$A$5:$A$304,$A224,'CHẶNG TĂNG CA'!$B$5:$B$304,$B224))</f>
        <v/>
      </c>
      <c r="AG224" s="28" t="str">
        <f t="shared" si="37"/>
        <v/>
      </c>
      <c r="AH224" s="16" t="str">
        <f>IF($A224="","",IF(COUNTIFS('LỆNH ĐIỀU XE'!$B$5:$B$604,$A224,'LỆNH ĐIỀU XE'!$C$5:$C$604,$B224,'LỆNH ĐIỀU XE'!$N$5:$N$604,"Có")&gt;0,"Có","Không"))</f>
        <v/>
      </c>
      <c r="AI224" s="16" t="str">
        <f>IF(OR($A224="",H224="",N(T224)=0),"",IF(_xlfn.MAXIFS('LỆNH ĐIỀU XE'!$U$5:$U$604,'LỆNH ĐIỀU XE'!$B$5:$B$604,$A224,'LỆNH ĐIỀU XE'!$C$5:$C$604,$B224)=0,"",ROUND((H224+(H224&lt;4/24)-_xlfn.MAXIFS('LỆNH ĐIỀU XE'!$U$5:$U$604,'LỆNH ĐIỀU XE'!$B$5:$B$604,$A224,'LỆNH ĐIỀU XE'!$C$5:$C$604,$B224))*1440,0)))</f>
        <v/>
      </c>
      <c r="AJ224" s="16" t="str">
        <f>IF($A224="","",IF(OR(AI224="",V224=""),"Thiếu dữ liệu",IF(AND(AI224&lt;='THAM SỐ'!$B$29,ABS(V224)&lt;='THAM SỐ'!$B$28),"Đạt","Không đạt")))</f>
        <v/>
      </c>
      <c r="AK224" s="16" t="str">
        <f t="shared" si="38"/>
        <v/>
      </c>
      <c r="AL224" s="16" t="str">
        <f>IF($A224="","",TRIM(IF(T224=0,"Không có lệnh; ","")&amp;IF(N(N224)&gt;0,"Dừng ngoài lệnh; ","")&amp;IF(N(J224)&gt;0,"Quá tốc độ; ","")&amp;IF(N(K224)&gt;0,"Lái quá 4h; ","")&amp;IF(N(L224)&gt;0,"Không tắt máy; ","")&amp;IF(OR(P224&lt;&gt;"Đủ",Q224&lt;&gt;"Đủ",R224&lt;&gt;"Đủ"),"Thiếu ảnh; ","")&amp;IF(S224&lt;&gt;"Đạt","Lốp chưa đạt; ","")&amp;IF(N(W224)&gt;'THAM SỐ'!$B$27,"Có mặt quá giờ; ","")&amp;IF(N(X224)&gt;'THAM SỐ'!$B$25,"Lái quá giờ ngày; ","")&amp;IF(ISNUMBER(V224),IF(ABS(V224)&gt;'THAM SỐ'!$B$28,"Lệch km; ",""),"")))</f>
        <v/>
      </c>
      <c r="AM224" s="29"/>
      <c r="AN224" s="30"/>
      <c r="AO224" s="28" t="str">
        <f t="shared" si="39"/>
        <v/>
      </c>
      <c r="AP224" s="21" t="str">
        <f>IF(OR($A224="",AO224=""),"",IF(AG224=0,0,ROUND((AC224*'THAM SỐ'!$B$18+AD224*'THAM SỐ'!$B$19+AE224*'THAM SỐ'!$B$20+AF224*'THAM SỐ'!$B$21)*MIN(1,AO224/AG224),0)))</f>
        <v/>
      </c>
      <c r="AQ224" s="18"/>
    </row>
    <row r="225" spans="1:43" x14ac:dyDescent="0.45">
      <c r="A225" s="17"/>
      <c r="B225" s="18"/>
      <c r="C225" s="18"/>
      <c r="D225" s="25"/>
      <c r="E225" s="26"/>
      <c r="F225" s="26"/>
      <c r="G225" s="20"/>
      <c r="H225" s="20"/>
      <c r="I225" s="18"/>
      <c r="J225" s="18"/>
      <c r="K225" s="18"/>
      <c r="L225" s="18"/>
      <c r="M225" s="18"/>
      <c r="N225" s="18"/>
      <c r="O225" s="18"/>
      <c r="P225" s="18"/>
      <c r="Q225" s="18"/>
      <c r="R225" s="18"/>
      <c r="S225" s="18"/>
      <c r="T225" s="16" t="str">
        <f>IF($A225="","",COUNTIFS('LỆNH ĐIỀU XE'!$B$5:$B$604,$A225,'LỆNH ĐIỀU XE'!$C$5:$C$604,$B225))</f>
        <v/>
      </c>
      <c r="U225" s="27" t="str">
        <f>IF($A225="","",SUMIFS('LỆNH ĐIỀU XE'!$J$5:$J$604,'LỆNH ĐIỀU XE'!$B$5:$B$604,$A225,'LỆNH ĐIỀU XE'!$C$5:$C$604,$B225))</f>
        <v/>
      </c>
      <c r="V225" s="22" t="str">
        <f t="shared" si="30"/>
        <v/>
      </c>
      <c r="W225" s="28" t="str">
        <f t="shared" si="31"/>
        <v/>
      </c>
      <c r="X225" s="28" t="str">
        <f t="shared" si="32"/>
        <v/>
      </c>
      <c r="Y225" s="28" t="str">
        <f t="shared" si="33"/>
        <v/>
      </c>
      <c r="Z225" s="22" t="str">
        <f t="shared" si="34"/>
        <v/>
      </c>
      <c r="AA225" s="28" t="str">
        <f t="shared" si="35"/>
        <v/>
      </c>
      <c r="AB225" s="28" t="str">
        <f t="shared" si="36"/>
        <v/>
      </c>
      <c r="AC225" s="28" t="str">
        <f>IF($A225="","",SUMIFS('CHẶNG TĂNG CA'!$E$5:$E$304,'CHẶNG TĂNG CA'!$A$5:$A$304,$A225,'CHẶNG TĂNG CA'!$B$5:$B$304,$B225))</f>
        <v/>
      </c>
      <c r="AD225" s="28" t="str">
        <f>IF($A225="","",SUMIFS('CHẶNG TĂNG CA'!$F$5:$F$304,'CHẶNG TĂNG CA'!$A$5:$A$304,$A225,'CHẶNG TĂNG CA'!$B$5:$B$304,$B225))</f>
        <v/>
      </c>
      <c r="AE225" s="28" t="str">
        <f>IF($A225="","",SUMIFS('CHẶNG TĂNG CA'!$G$5:$G$304,'CHẶNG TĂNG CA'!$A$5:$A$304,$A225,'CHẶNG TĂNG CA'!$B$5:$B$304,$B225))</f>
        <v/>
      </c>
      <c r="AF225" s="28" t="str">
        <f>IF($A225="","",SUMIFS('CHẶNG TĂNG CA'!$H$5:$H$304,'CHẶNG TĂNG CA'!$A$5:$A$304,$A225,'CHẶNG TĂNG CA'!$B$5:$B$304,$B225))</f>
        <v/>
      </c>
      <c r="AG225" s="28" t="str">
        <f t="shared" si="37"/>
        <v/>
      </c>
      <c r="AH225" s="16" t="str">
        <f>IF($A225="","",IF(COUNTIFS('LỆNH ĐIỀU XE'!$B$5:$B$604,$A225,'LỆNH ĐIỀU XE'!$C$5:$C$604,$B225,'LỆNH ĐIỀU XE'!$N$5:$N$604,"Có")&gt;0,"Có","Không"))</f>
        <v/>
      </c>
      <c r="AI225" s="16" t="str">
        <f>IF(OR($A225="",H225="",N(T225)=0),"",IF(_xlfn.MAXIFS('LỆNH ĐIỀU XE'!$U$5:$U$604,'LỆNH ĐIỀU XE'!$B$5:$B$604,$A225,'LỆNH ĐIỀU XE'!$C$5:$C$604,$B225)=0,"",ROUND((H225+(H225&lt;4/24)-_xlfn.MAXIFS('LỆNH ĐIỀU XE'!$U$5:$U$604,'LỆNH ĐIỀU XE'!$B$5:$B$604,$A225,'LỆNH ĐIỀU XE'!$C$5:$C$604,$B225))*1440,0)))</f>
        <v/>
      </c>
      <c r="AJ225" s="16" t="str">
        <f>IF($A225="","",IF(OR(AI225="",V225=""),"Thiếu dữ liệu",IF(AND(AI225&lt;='THAM SỐ'!$B$29,ABS(V225)&lt;='THAM SỐ'!$B$28),"Đạt","Không đạt")))</f>
        <v/>
      </c>
      <c r="AK225" s="16" t="str">
        <f t="shared" si="38"/>
        <v/>
      </c>
      <c r="AL225" s="16" t="str">
        <f>IF($A225="","",TRIM(IF(T225=0,"Không có lệnh; ","")&amp;IF(N(N225)&gt;0,"Dừng ngoài lệnh; ","")&amp;IF(N(J225)&gt;0,"Quá tốc độ; ","")&amp;IF(N(K225)&gt;0,"Lái quá 4h; ","")&amp;IF(N(L225)&gt;0,"Không tắt máy; ","")&amp;IF(OR(P225&lt;&gt;"Đủ",Q225&lt;&gt;"Đủ",R225&lt;&gt;"Đủ"),"Thiếu ảnh; ","")&amp;IF(S225&lt;&gt;"Đạt","Lốp chưa đạt; ","")&amp;IF(N(W225)&gt;'THAM SỐ'!$B$27,"Có mặt quá giờ; ","")&amp;IF(N(X225)&gt;'THAM SỐ'!$B$25,"Lái quá giờ ngày; ","")&amp;IF(ISNUMBER(V225),IF(ABS(V225)&gt;'THAM SỐ'!$B$28,"Lệch km; ",""),"")))</f>
        <v/>
      </c>
      <c r="AM225" s="29"/>
      <c r="AN225" s="30"/>
      <c r="AO225" s="28" t="str">
        <f t="shared" si="39"/>
        <v/>
      </c>
      <c r="AP225" s="21" t="str">
        <f>IF(OR($A225="",AO225=""),"",IF(AG225=0,0,ROUND((AC225*'THAM SỐ'!$B$18+AD225*'THAM SỐ'!$B$19+AE225*'THAM SỐ'!$B$20+AF225*'THAM SỐ'!$B$21)*MIN(1,AO225/AG225),0)))</f>
        <v/>
      </c>
      <c r="AQ225" s="18"/>
    </row>
    <row r="226" spans="1:43" x14ac:dyDescent="0.45">
      <c r="A226" s="17"/>
      <c r="B226" s="18"/>
      <c r="C226" s="18"/>
      <c r="D226" s="25"/>
      <c r="E226" s="26"/>
      <c r="F226" s="26"/>
      <c r="G226" s="20"/>
      <c r="H226" s="20"/>
      <c r="I226" s="18"/>
      <c r="J226" s="18"/>
      <c r="K226" s="18"/>
      <c r="L226" s="18"/>
      <c r="M226" s="18"/>
      <c r="N226" s="18"/>
      <c r="O226" s="18"/>
      <c r="P226" s="18"/>
      <c r="Q226" s="18"/>
      <c r="R226" s="18"/>
      <c r="S226" s="18"/>
      <c r="T226" s="16" t="str">
        <f>IF($A226="","",COUNTIFS('LỆNH ĐIỀU XE'!$B$5:$B$604,$A226,'LỆNH ĐIỀU XE'!$C$5:$C$604,$B226))</f>
        <v/>
      </c>
      <c r="U226" s="27" t="str">
        <f>IF($A226="","",SUMIFS('LỆNH ĐIỀU XE'!$J$5:$J$604,'LỆNH ĐIỀU XE'!$B$5:$B$604,$A226,'LỆNH ĐIỀU XE'!$C$5:$C$604,$B226))</f>
        <v/>
      </c>
      <c r="V226" s="22" t="str">
        <f t="shared" si="30"/>
        <v/>
      </c>
      <c r="W226" s="28" t="str">
        <f t="shared" si="31"/>
        <v/>
      </c>
      <c r="X226" s="28" t="str">
        <f t="shared" si="32"/>
        <v/>
      </c>
      <c r="Y226" s="28" t="str">
        <f t="shared" si="33"/>
        <v/>
      </c>
      <c r="Z226" s="22" t="str">
        <f t="shared" si="34"/>
        <v/>
      </c>
      <c r="AA226" s="28" t="str">
        <f t="shared" si="35"/>
        <v/>
      </c>
      <c r="AB226" s="28" t="str">
        <f t="shared" si="36"/>
        <v/>
      </c>
      <c r="AC226" s="28" t="str">
        <f>IF($A226="","",SUMIFS('CHẶNG TĂNG CA'!$E$5:$E$304,'CHẶNG TĂNG CA'!$A$5:$A$304,$A226,'CHẶNG TĂNG CA'!$B$5:$B$304,$B226))</f>
        <v/>
      </c>
      <c r="AD226" s="28" t="str">
        <f>IF($A226="","",SUMIFS('CHẶNG TĂNG CA'!$F$5:$F$304,'CHẶNG TĂNG CA'!$A$5:$A$304,$A226,'CHẶNG TĂNG CA'!$B$5:$B$304,$B226))</f>
        <v/>
      </c>
      <c r="AE226" s="28" t="str">
        <f>IF($A226="","",SUMIFS('CHẶNG TĂNG CA'!$G$5:$G$304,'CHẶNG TĂNG CA'!$A$5:$A$304,$A226,'CHẶNG TĂNG CA'!$B$5:$B$304,$B226))</f>
        <v/>
      </c>
      <c r="AF226" s="28" t="str">
        <f>IF($A226="","",SUMIFS('CHẶNG TĂNG CA'!$H$5:$H$304,'CHẶNG TĂNG CA'!$A$5:$A$304,$A226,'CHẶNG TĂNG CA'!$B$5:$B$304,$B226))</f>
        <v/>
      </c>
      <c r="AG226" s="28" t="str">
        <f t="shared" si="37"/>
        <v/>
      </c>
      <c r="AH226" s="16" t="str">
        <f>IF($A226="","",IF(COUNTIFS('LỆNH ĐIỀU XE'!$B$5:$B$604,$A226,'LỆNH ĐIỀU XE'!$C$5:$C$604,$B226,'LỆNH ĐIỀU XE'!$N$5:$N$604,"Có")&gt;0,"Có","Không"))</f>
        <v/>
      </c>
      <c r="AI226" s="16" t="str">
        <f>IF(OR($A226="",H226="",N(T226)=0),"",IF(_xlfn.MAXIFS('LỆNH ĐIỀU XE'!$U$5:$U$604,'LỆNH ĐIỀU XE'!$B$5:$B$604,$A226,'LỆNH ĐIỀU XE'!$C$5:$C$604,$B226)=0,"",ROUND((H226+(H226&lt;4/24)-_xlfn.MAXIFS('LỆNH ĐIỀU XE'!$U$5:$U$604,'LỆNH ĐIỀU XE'!$B$5:$B$604,$A226,'LỆNH ĐIỀU XE'!$C$5:$C$604,$B226))*1440,0)))</f>
        <v/>
      </c>
      <c r="AJ226" s="16" t="str">
        <f>IF($A226="","",IF(OR(AI226="",V226=""),"Thiếu dữ liệu",IF(AND(AI226&lt;='THAM SỐ'!$B$29,ABS(V226)&lt;='THAM SỐ'!$B$28),"Đạt","Không đạt")))</f>
        <v/>
      </c>
      <c r="AK226" s="16" t="str">
        <f t="shared" si="38"/>
        <v/>
      </c>
      <c r="AL226" s="16" t="str">
        <f>IF($A226="","",TRIM(IF(T226=0,"Không có lệnh; ","")&amp;IF(N(N226)&gt;0,"Dừng ngoài lệnh; ","")&amp;IF(N(J226)&gt;0,"Quá tốc độ; ","")&amp;IF(N(K226)&gt;0,"Lái quá 4h; ","")&amp;IF(N(L226)&gt;0,"Không tắt máy; ","")&amp;IF(OR(P226&lt;&gt;"Đủ",Q226&lt;&gt;"Đủ",R226&lt;&gt;"Đủ"),"Thiếu ảnh; ","")&amp;IF(S226&lt;&gt;"Đạt","Lốp chưa đạt; ","")&amp;IF(N(W226)&gt;'THAM SỐ'!$B$27,"Có mặt quá giờ; ","")&amp;IF(N(X226)&gt;'THAM SỐ'!$B$25,"Lái quá giờ ngày; ","")&amp;IF(ISNUMBER(V226),IF(ABS(V226)&gt;'THAM SỐ'!$B$28,"Lệch km; ",""),"")))</f>
        <v/>
      </c>
      <c r="AM226" s="29"/>
      <c r="AN226" s="30"/>
      <c r="AO226" s="28" t="str">
        <f t="shared" si="39"/>
        <v/>
      </c>
      <c r="AP226" s="21" t="str">
        <f>IF(OR($A226="",AO226=""),"",IF(AG226=0,0,ROUND((AC226*'THAM SỐ'!$B$18+AD226*'THAM SỐ'!$B$19+AE226*'THAM SỐ'!$B$20+AF226*'THAM SỐ'!$B$21)*MIN(1,AO226/AG226),0)))</f>
        <v/>
      </c>
      <c r="AQ226" s="18"/>
    </row>
    <row r="227" spans="1:43" x14ac:dyDescent="0.45">
      <c r="A227" s="17"/>
      <c r="B227" s="18"/>
      <c r="C227" s="18"/>
      <c r="D227" s="25"/>
      <c r="E227" s="26"/>
      <c r="F227" s="26"/>
      <c r="G227" s="20"/>
      <c r="H227" s="20"/>
      <c r="I227" s="18"/>
      <c r="J227" s="18"/>
      <c r="K227" s="18"/>
      <c r="L227" s="18"/>
      <c r="M227" s="18"/>
      <c r="N227" s="18"/>
      <c r="O227" s="18"/>
      <c r="P227" s="18"/>
      <c r="Q227" s="18"/>
      <c r="R227" s="18"/>
      <c r="S227" s="18"/>
      <c r="T227" s="16" t="str">
        <f>IF($A227="","",COUNTIFS('LỆNH ĐIỀU XE'!$B$5:$B$604,$A227,'LỆNH ĐIỀU XE'!$C$5:$C$604,$B227))</f>
        <v/>
      </c>
      <c r="U227" s="27" t="str">
        <f>IF($A227="","",SUMIFS('LỆNH ĐIỀU XE'!$J$5:$J$604,'LỆNH ĐIỀU XE'!$B$5:$B$604,$A227,'LỆNH ĐIỀU XE'!$C$5:$C$604,$B227))</f>
        <v/>
      </c>
      <c r="V227" s="22" t="str">
        <f t="shared" si="30"/>
        <v/>
      </c>
      <c r="W227" s="28" t="str">
        <f t="shared" si="31"/>
        <v/>
      </c>
      <c r="X227" s="28" t="str">
        <f t="shared" si="32"/>
        <v/>
      </c>
      <c r="Y227" s="28" t="str">
        <f t="shared" si="33"/>
        <v/>
      </c>
      <c r="Z227" s="22" t="str">
        <f t="shared" si="34"/>
        <v/>
      </c>
      <c r="AA227" s="28" t="str">
        <f t="shared" si="35"/>
        <v/>
      </c>
      <c r="AB227" s="28" t="str">
        <f t="shared" si="36"/>
        <v/>
      </c>
      <c r="AC227" s="28" t="str">
        <f>IF($A227="","",SUMIFS('CHẶNG TĂNG CA'!$E$5:$E$304,'CHẶNG TĂNG CA'!$A$5:$A$304,$A227,'CHẶNG TĂNG CA'!$B$5:$B$304,$B227))</f>
        <v/>
      </c>
      <c r="AD227" s="28" t="str">
        <f>IF($A227="","",SUMIFS('CHẶNG TĂNG CA'!$F$5:$F$304,'CHẶNG TĂNG CA'!$A$5:$A$304,$A227,'CHẶNG TĂNG CA'!$B$5:$B$304,$B227))</f>
        <v/>
      </c>
      <c r="AE227" s="28" t="str">
        <f>IF($A227="","",SUMIFS('CHẶNG TĂNG CA'!$G$5:$G$304,'CHẶNG TĂNG CA'!$A$5:$A$304,$A227,'CHẶNG TĂNG CA'!$B$5:$B$304,$B227))</f>
        <v/>
      </c>
      <c r="AF227" s="28" t="str">
        <f>IF($A227="","",SUMIFS('CHẶNG TĂNG CA'!$H$5:$H$304,'CHẶNG TĂNG CA'!$A$5:$A$304,$A227,'CHẶNG TĂNG CA'!$B$5:$B$304,$B227))</f>
        <v/>
      </c>
      <c r="AG227" s="28" t="str">
        <f t="shared" si="37"/>
        <v/>
      </c>
      <c r="AH227" s="16" t="str">
        <f>IF($A227="","",IF(COUNTIFS('LỆNH ĐIỀU XE'!$B$5:$B$604,$A227,'LỆNH ĐIỀU XE'!$C$5:$C$604,$B227,'LỆNH ĐIỀU XE'!$N$5:$N$604,"Có")&gt;0,"Có","Không"))</f>
        <v/>
      </c>
      <c r="AI227" s="16" t="str">
        <f>IF(OR($A227="",H227="",N(T227)=0),"",IF(_xlfn.MAXIFS('LỆNH ĐIỀU XE'!$U$5:$U$604,'LỆNH ĐIỀU XE'!$B$5:$B$604,$A227,'LỆNH ĐIỀU XE'!$C$5:$C$604,$B227)=0,"",ROUND((H227+(H227&lt;4/24)-_xlfn.MAXIFS('LỆNH ĐIỀU XE'!$U$5:$U$604,'LỆNH ĐIỀU XE'!$B$5:$B$604,$A227,'LỆNH ĐIỀU XE'!$C$5:$C$604,$B227))*1440,0)))</f>
        <v/>
      </c>
      <c r="AJ227" s="16" t="str">
        <f>IF($A227="","",IF(OR(AI227="",V227=""),"Thiếu dữ liệu",IF(AND(AI227&lt;='THAM SỐ'!$B$29,ABS(V227)&lt;='THAM SỐ'!$B$28),"Đạt","Không đạt")))</f>
        <v/>
      </c>
      <c r="AK227" s="16" t="str">
        <f t="shared" si="38"/>
        <v/>
      </c>
      <c r="AL227" s="16" t="str">
        <f>IF($A227="","",TRIM(IF(T227=0,"Không có lệnh; ","")&amp;IF(N(N227)&gt;0,"Dừng ngoài lệnh; ","")&amp;IF(N(J227)&gt;0,"Quá tốc độ; ","")&amp;IF(N(K227)&gt;0,"Lái quá 4h; ","")&amp;IF(N(L227)&gt;0,"Không tắt máy; ","")&amp;IF(OR(P227&lt;&gt;"Đủ",Q227&lt;&gt;"Đủ",R227&lt;&gt;"Đủ"),"Thiếu ảnh; ","")&amp;IF(S227&lt;&gt;"Đạt","Lốp chưa đạt; ","")&amp;IF(N(W227)&gt;'THAM SỐ'!$B$27,"Có mặt quá giờ; ","")&amp;IF(N(X227)&gt;'THAM SỐ'!$B$25,"Lái quá giờ ngày; ","")&amp;IF(ISNUMBER(V227),IF(ABS(V227)&gt;'THAM SỐ'!$B$28,"Lệch km; ",""),"")))</f>
        <v/>
      </c>
      <c r="AM227" s="29"/>
      <c r="AN227" s="30"/>
      <c r="AO227" s="28" t="str">
        <f t="shared" si="39"/>
        <v/>
      </c>
      <c r="AP227" s="21" t="str">
        <f>IF(OR($A227="",AO227=""),"",IF(AG227=0,0,ROUND((AC227*'THAM SỐ'!$B$18+AD227*'THAM SỐ'!$B$19+AE227*'THAM SỐ'!$B$20+AF227*'THAM SỐ'!$B$21)*MIN(1,AO227/AG227),0)))</f>
        <v/>
      </c>
      <c r="AQ227" s="18"/>
    </row>
    <row r="228" spans="1:43" x14ac:dyDescent="0.45">
      <c r="A228" s="17"/>
      <c r="B228" s="18"/>
      <c r="C228" s="18"/>
      <c r="D228" s="25"/>
      <c r="E228" s="26"/>
      <c r="F228" s="26"/>
      <c r="G228" s="20"/>
      <c r="H228" s="20"/>
      <c r="I228" s="18"/>
      <c r="J228" s="18"/>
      <c r="K228" s="18"/>
      <c r="L228" s="18"/>
      <c r="M228" s="18"/>
      <c r="N228" s="18"/>
      <c r="O228" s="18"/>
      <c r="P228" s="18"/>
      <c r="Q228" s="18"/>
      <c r="R228" s="18"/>
      <c r="S228" s="18"/>
      <c r="T228" s="16" t="str">
        <f>IF($A228="","",COUNTIFS('LỆNH ĐIỀU XE'!$B$5:$B$604,$A228,'LỆNH ĐIỀU XE'!$C$5:$C$604,$B228))</f>
        <v/>
      </c>
      <c r="U228" s="27" t="str">
        <f>IF($A228="","",SUMIFS('LỆNH ĐIỀU XE'!$J$5:$J$604,'LỆNH ĐIỀU XE'!$B$5:$B$604,$A228,'LỆNH ĐIỀU XE'!$C$5:$C$604,$B228))</f>
        <v/>
      </c>
      <c r="V228" s="22" t="str">
        <f t="shared" si="30"/>
        <v/>
      </c>
      <c r="W228" s="28" t="str">
        <f t="shared" si="31"/>
        <v/>
      </c>
      <c r="X228" s="28" t="str">
        <f t="shared" si="32"/>
        <v/>
      </c>
      <c r="Y228" s="28" t="str">
        <f t="shared" si="33"/>
        <v/>
      </c>
      <c r="Z228" s="22" t="str">
        <f t="shared" si="34"/>
        <v/>
      </c>
      <c r="AA228" s="28" t="str">
        <f t="shared" si="35"/>
        <v/>
      </c>
      <c r="AB228" s="28" t="str">
        <f t="shared" si="36"/>
        <v/>
      </c>
      <c r="AC228" s="28" t="str">
        <f>IF($A228="","",SUMIFS('CHẶNG TĂNG CA'!$E$5:$E$304,'CHẶNG TĂNG CA'!$A$5:$A$304,$A228,'CHẶNG TĂNG CA'!$B$5:$B$304,$B228))</f>
        <v/>
      </c>
      <c r="AD228" s="28" t="str">
        <f>IF($A228="","",SUMIFS('CHẶNG TĂNG CA'!$F$5:$F$304,'CHẶNG TĂNG CA'!$A$5:$A$304,$A228,'CHẶNG TĂNG CA'!$B$5:$B$304,$B228))</f>
        <v/>
      </c>
      <c r="AE228" s="28" t="str">
        <f>IF($A228="","",SUMIFS('CHẶNG TĂNG CA'!$G$5:$G$304,'CHẶNG TĂNG CA'!$A$5:$A$304,$A228,'CHẶNG TĂNG CA'!$B$5:$B$304,$B228))</f>
        <v/>
      </c>
      <c r="AF228" s="28" t="str">
        <f>IF($A228="","",SUMIFS('CHẶNG TĂNG CA'!$H$5:$H$304,'CHẶNG TĂNG CA'!$A$5:$A$304,$A228,'CHẶNG TĂNG CA'!$B$5:$B$304,$B228))</f>
        <v/>
      </c>
      <c r="AG228" s="28" t="str">
        <f t="shared" si="37"/>
        <v/>
      </c>
      <c r="AH228" s="16" t="str">
        <f>IF($A228="","",IF(COUNTIFS('LỆNH ĐIỀU XE'!$B$5:$B$604,$A228,'LỆNH ĐIỀU XE'!$C$5:$C$604,$B228,'LỆNH ĐIỀU XE'!$N$5:$N$604,"Có")&gt;0,"Có","Không"))</f>
        <v/>
      </c>
      <c r="AI228" s="16" t="str">
        <f>IF(OR($A228="",H228="",N(T228)=0),"",IF(_xlfn.MAXIFS('LỆNH ĐIỀU XE'!$U$5:$U$604,'LỆNH ĐIỀU XE'!$B$5:$B$604,$A228,'LỆNH ĐIỀU XE'!$C$5:$C$604,$B228)=0,"",ROUND((H228+(H228&lt;4/24)-_xlfn.MAXIFS('LỆNH ĐIỀU XE'!$U$5:$U$604,'LỆNH ĐIỀU XE'!$B$5:$B$604,$A228,'LỆNH ĐIỀU XE'!$C$5:$C$604,$B228))*1440,0)))</f>
        <v/>
      </c>
      <c r="AJ228" s="16" t="str">
        <f>IF($A228="","",IF(OR(AI228="",V228=""),"Thiếu dữ liệu",IF(AND(AI228&lt;='THAM SỐ'!$B$29,ABS(V228)&lt;='THAM SỐ'!$B$28),"Đạt","Không đạt")))</f>
        <v/>
      </c>
      <c r="AK228" s="16" t="str">
        <f t="shared" si="38"/>
        <v/>
      </c>
      <c r="AL228" s="16" t="str">
        <f>IF($A228="","",TRIM(IF(T228=0,"Không có lệnh; ","")&amp;IF(N(N228)&gt;0,"Dừng ngoài lệnh; ","")&amp;IF(N(J228)&gt;0,"Quá tốc độ; ","")&amp;IF(N(K228)&gt;0,"Lái quá 4h; ","")&amp;IF(N(L228)&gt;0,"Không tắt máy; ","")&amp;IF(OR(P228&lt;&gt;"Đủ",Q228&lt;&gt;"Đủ",R228&lt;&gt;"Đủ"),"Thiếu ảnh; ","")&amp;IF(S228&lt;&gt;"Đạt","Lốp chưa đạt; ","")&amp;IF(N(W228)&gt;'THAM SỐ'!$B$27,"Có mặt quá giờ; ","")&amp;IF(N(X228)&gt;'THAM SỐ'!$B$25,"Lái quá giờ ngày; ","")&amp;IF(ISNUMBER(V228),IF(ABS(V228)&gt;'THAM SỐ'!$B$28,"Lệch km; ",""),"")))</f>
        <v/>
      </c>
      <c r="AM228" s="29"/>
      <c r="AN228" s="30"/>
      <c r="AO228" s="28" t="str">
        <f t="shared" si="39"/>
        <v/>
      </c>
      <c r="AP228" s="21" t="str">
        <f>IF(OR($A228="",AO228=""),"",IF(AG228=0,0,ROUND((AC228*'THAM SỐ'!$B$18+AD228*'THAM SỐ'!$B$19+AE228*'THAM SỐ'!$B$20+AF228*'THAM SỐ'!$B$21)*MIN(1,AO228/AG228),0)))</f>
        <v/>
      </c>
      <c r="AQ228" s="18"/>
    </row>
    <row r="229" spans="1:43" x14ac:dyDescent="0.45">
      <c r="A229" s="17"/>
      <c r="B229" s="18"/>
      <c r="C229" s="18"/>
      <c r="D229" s="25"/>
      <c r="E229" s="26"/>
      <c r="F229" s="26"/>
      <c r="G229" s="20"/>
      <c r="H229" s="20"/>
      <c r="I229" s="18"/>
      <c r="J229" s="18"/>
      <c r="K229" s="18"/>
      <c r="L229" s="18"/>
      <c r="M229" s="18"/>
      <c r="N229" s="18"/>
      <c r="O229" s="18"/>
      <c r="P229" s="18"/>
      <c r="Q229" s="18"/>
      <c r="R229" s="18"/>
      <c r="S229" s="18"/>
      <c r="T229" s="16" t="str">
        <f>IF($A229="","",COUNTIFS('LỆNH ĐIỀU XE'!$B$5:$B$604,$A229,'LỆNH ĐIỀU XE'!$C$5:$C$604,$B229))</f>
        <v/>
      </c>
      <c r="U229" s="27" t="str">
        <f>IF($A229="","",SUMIFS('LỆNH ĐIỀU XE'!$J$5:$J$604,'LỆNH ĐIỀU XE'!$B$5:$B$604,$A229,'LỆNH ĐIỀU XE'!$C$5:$C$604,$B229))</f>
        <v/>
      </c>
      <c r="V229" s="22" t="str">
        <f t="shared" si="30"/>
        <v/>
      </c>
      <c r="W229" s="28" t="str">
        <f t="shared" si="31"/>
        <v/>
      </c>
      <c r="X229" s="28" t="str">
        <f t="shared" si="32"/>
        <v/>
      </c>
      <c r="Y229" s="28" t="str">
        <f t="shared" si="33"/>
        <v/>
      </c>
      <c r="Z229" s="22" t="str">
        <f t="shared" si="34"/>
        <v/>
      </c>
      <c r="AA229" s="28" t="str">
        <f t="shared" si="35"/>
        <v/>
      </c>
      <c r="AB229" s="28" t="str">
        <f t="shared" si="36"/>
        <v/>
      </c>
      <c r="AC229" s="28" t="str">
        <f>IF($A229="","",SUMIFS('CHẶNG TĂNG CA'!$E$5:$E$304,'CHẶNG TĂNG CA'!$A$5:$A$304,$A229,'CHẶNG TĂNG CA'!$B$5:$B$304,$B229))</f>
        <v/>
      </c>
      <c r="AD229" s="28" t="str">
        <f>IF($A229="","",SUMIFS('CHẶNG TĂNG CA'!$F$5:$F$304,'CHẶNG TĂNG CA'!$A$5:$A$304,$A229,'CHẶNG TĂNG CA'!$B$5:$B$304,$B229))</f>
        <v/>
      </c>
      <c r="AE229" s="28" t="str">
        <f>IF($A229="","",SUMIFS('CHẶNG TĂNG CA'!$G$5:$G$304,'CHẶNG TĂNG CA'!$A$5:$A$304,$A229,'CHẶNG TĂNG CA'!$B$5:$B$304,$B229))</f>
        <v/>
      </c>
      <c r="AF229" s="28" t="str">
        <f>IF($A229="","",SUMIFS('CHẶNG TĂNG CA'!$H$5:$H$304,'CHẶNG TĂNG CA'!$A$5:$A$304,$A229,'CHẶNG TĂNG CA'!$B$5:$B$304,$B229))</f>
        <v/>
      </c>
      <c r="AG229" s="28" t="str">
        <f t="shared" si="37"/>
        <v/>
      </c>
      <c r="AH229" s="16" t="str">
        <f>IF($A229="","",IF(COUNTIFS('LỆNH ĐIỀU XE'!$B$5:$B$604,$A229,'LỆNH ĐIỀU XE'!$C$5:$C$604,$B229,'LỆNH ĐIỀU XE'!$N$5:$N$604,"Có")&gt;0,"Có","Không"))</f>
        <v/>
      </c>
      <c r="AI229" s="16" t="str">
        <f>IF(OR($A229="",H229="",N(T229)=0),"",IF(_xlfn.MAXIFS('LỆNH ĐIỀU XE'!$U$5:$U$604,'LỆNH ĐIỀU XE'!$B$5:$B$604,$A229,'LỆNH ĐIỀU XE'!$C$5:$C$604,$B229)=0,"",ROUND((H229+(H229&lt;4/24)-_xlfn.MAXIFS('LỆNH ĐIỀU XE'!$U$5:$U$604,'LỆNH ĐIỀU XE'!$B$5:$B$604,$A229,'LỆNH ĐIỀU XE'!$C$5:$C$604,$B229))*1440,0)))</f>
        <v/>
      </c>
      <c r="AJ229" s="16" t="str">
        <f>IF($A229="","",IF(OR(AI229="",V229=""),"Thiếu dữ liệu",IF(AND(AI229&lt;='THAM SỐ'!$B$29,ABS(V229)&lt;='THAM SỐ'!$B$28),"Đạt","Không đạt")))</f>
        <v/>
      </c>
      <c r="AK229" s="16" t="str">
        <f t="shared" si="38"/>
        <v/>
      </c>
      <c r="AL229" s="16" t="str">
        <f>IF($A229="","",TRIM(IF(T229=0,"Không có lệnh; ","")&amp;IF(N(N229)&gt;0,"Dừng ngoài lệnh; ","")&amp;IF(N(J229)&gt;0,"Quá tốc độ; ","")&amp;IF(N(K229)&gt;0,"Lái quá 4h; ","")&amp;IF(N(L229)&gt;0,"Không tắt máy; ","")&amp;IF(OR(P229&lt;&gt;"Đủ",Q229&lt;&gt;"Đủ",R229&lt;&gt;"Đủ"),"Thiếu ảnh; ","")&amp;IF(S229&lt;&gt;"Đạt","Lốp chưa đạt; ","")&amp;IF(N(W229)&gt;'THAM SỐ'!$B$27,"Có mặt quá giờ; ","")&amp;IF(N(X229)&gt;'THAM SỐ'!$B$25,"Lái quá giờ ngày; ","")&amp;IF(ISNUMBER(V229),IF(ABS(V229)&gt;'THAM SỐ'!$B$28,"Lệch km; ",""),"")))</f>
        <v/>
      </c>
      <c r="AM229" s="29"/>
      <c r="AN229" s="30"/>
      <c r="AO229" s="28" t="str">
        <f t="shared" si="39"/>
        <v/>
      </c>
      <c r="AP229" s="21" t="str">
        <f>IF(OR($A229="",AO229=""),"",IF(AG229=0,0,ROUND((AC229*'THAM SỐ'!$B$18+AD229*'THAM SỐ'!$B$19+AE229*'THAM SỐ'!$B$20+AF229*'THAM SỐ'!$B$21)*MIN(1,AO229/AG229),0)))</f>
        <v/>
      </c>
      <c r="AQ229" s="18"/>
    </row>
    <row r="230" spans="1:43" x14ac:dyDescent="0.45">
      <c r="A230" s="17"/>
      <c r="B230" s="18"/>
      <c r="C230" s="18"/>
      <c r="D230" s="25"/>
      <c r="E230" s="26"/>
      <c r="F230" s="26"/>
      <c r="G230" s="20"/>
      <c r="H230" s="20"/>
      <c r="I230" s="18"/>
      <c r="J230" s="18"/>
      <c r="K230" s="18"/>
      <c r="L230" s="18"/>
      <c r="M230" s="18"/>
      <c r="N230" s="18"/>
      <c r="O230" s="18"/>
      <c r="P230" s="18"/>
      <c r="Q230" s="18"/>
      <c r="R230" s="18"/>
      <c r="S230" s="18"/>
      <c r="T230" s="16" t="str">
        <f>IF($A230="","",COUNTIFS('LỆNH ĐIỀU XE'!$B$5:$B$604,$A230,'LỆNH ĐIỀU XE'!$C$5:$C$604,$B230))</f>
        <v/>
      </c>
      <c r="U230" s="27" t="str">
        <f>IF($A230="","",SUMIFS('LỆNH ĐIỀU XE'!$J$5:$J$604,'LỆNH ĐIỀU XE'!$B$5:$B$604,$A230,'LỆNH ĐIỀU XE'!$C$5:$C$604,$B230))</f>
        <v/>
      </c>
      <c r="V230" s="22" t="str">
        <f t="shared" si="30"/>
        <v/>
      </c>
      <c r="W230" s="28" t="str">
        <f t="shared" si="31"/>
        <v/>
      </c>
      <c r="X230" s="28" t="str">
        <f t="shared" si="32"/>
        <v/>
      </c>
      <c r="Y230" s="28" t="str">
        <f t="shared" si="33"/>
        <v/>
      </c>
      <c r="Z230" s="22" t="str">
        <f t="shared" si="34"/>
        <v/>
      </c>
      <c r="AA230" s="28" t="str">
        <f t="shared" si="35"/>
        <v/>
      </c>
      <c r="AB230" s="28" t="str">
        <f t="shared" si="36"/>
        <v/>
      </c>
      <c r="AC230" s="28" t="str">
        <f>IF($A230="","",SUMIFS('CHẶNG TĂNG CA'!$E$5:$E$304,'CHẶNG TĂNG CA'!$A$5:$A$304,$A230,'CHẶNG TĂNG CA'!$B$5:$B$304,$B230))</f>
        <v/>
      </c>
      <c r="AD230" s="28" t="str">
        <f>IF($A230="","",SUMIFS('CHẶNG TĂNG CA'!$F$5:$F$304,'CHẶNG TĂNG CA'!$A$5:$A$304,$A230,'CHẶNG TĂNG CA'!$B$5:$B$304,$B230))</f>
        <v/>
      </c>
      <c r="AE230" s="28" t="str">
        <f>IF($A230="","",SUMIFS('CHẶNG TĂNG CA'!$G$5:$G$304,'CHẶNG TĂNG CA'!$A$5:$A$304,$A230,'CHẶNG TĂNG CA'!$B$5:$B$304,$B230))</f>
        <v/>
      </c>
      <c r="AF230" s="28" t="str">
        <f>IF($A230="","",SUMIFS('CHẶNG TĂNG CA'!$H$5:$H$304,'CHẶNG TĂNG CA'!$A$5:$A$304,$A230,'CHẶNG TĂNG CA'!$B$5:$B$304,$B230))</f>
        <v/>
      </c>
      <c r="AG230" s="28" t="str">
        <f t="shared" si="37"/>
        <v/>
      </c>
      <c r="AH230" s="16" t="str">
        <f>IF($A230="","",IF(COUNTIFS('LỆNH ĐIỀU XE'!$B$5:$B$604,$A230,'LỆNH ĐIỀU XE'!$C$5:$C$604,$B230,'LỆNH ĐIỀU XE'!$N$5:$N$604,"Có")&gt;0,"Có","Không"))</f>
        <v/>
      </c>
      <c r="AI230" s="16" t="str">
        <f>IF(OR($A230="",H230="",N(T230)=0),"",IF(_xlfn.MAXIFS('LỆNH ĐIỀU XE'!$U$5:$U$604,'LỆNH ĐIỀU XE'!$B$5:$B$604,$A230,'LỆNH ĐIỀU XE'!$C$5:$C$604,$B230)=0,"",ROUND((H230+(H230&lt;4/24)-_xlfn.MAXIFS('LỆNH ĐIỀU XE'!$U$5:$U$604,'LỆNH ĐIỀU XE'!$B$5:$B$604,$A230,'LỆNH ĐIỀU XE'!$C$5:$C$604,$B230))*1440,0)))</f>
        <v/>
      </c>
      <c r="AJ230" s="16" t="str">
        <f>IF($A230="","",IF(OR(AI230="",V230=""),"Thiếu dữ liệu",IF(AND(AI230&lt;='THAM SỐ'!$B$29,ABS(V230)&lt;='THAM SỐ'!$B$28),"Đạt","Không đạt")))</f>
        <v/>
      </c>
      <c r="AK230" s="16" t="str">
        <f t="shared" si="38"/>
        <v/>
      </c>
      <c r="AL230" s="16" t="str">
        <f>IF($A230="","",TRIM(IF(T230=0,"Không có lệnh; ","")&amp;IF(N(N230)&gt;0,"Dừng ngoài lệnh; ","")&amp;IF(N(J230)&gt;0,"Quá tốc độ; ","")&amp;IF(N(K230)&gt;0,"Lái quá 4h; ","")&amp;IF(N(L230)&gt;0,"Không tắt máy; ","")&amp;IF(OR(P230&lt;&gt;"Đủ",Q230&lt;&gt;"Đủ",R230&lt;&gt;"Đủ"),"Thiếu ảnh; ","")&amp;IF(S230&lt;&gt;"Đạt","Lốp chưa đạt; ","")&amp;IF(N(W230)&gt;'THAM SỐ'!$B$27,"Có mặt quá giờ; ","")&amp;IF(N(X230)&gt;'THAM SỐ'!$B$25,"Lái quá giờ ngày; ","")&amp;IF(ISNUMBER(V230),IF(ABS(V230)&gt;'THAM SỐ'!$B$28,"Lệch km; ",""),"")))</f>
        <v/>
      </c>
      <c r="AM230" s="29"/>
      <c r="AN230" s="30"/>
      <c r="AO230" s="28" t="str">
        <f t="shared" si="39"/>
        <v/>
      </c>
      <c r="AP230" s="21" t="str">
        <f>IF(OR($A230="",AO230=""),"",IF(AG230=0,0,ROUND((AC230*'THAM SỐ'!$B$18+AD230*'THAM SỐ'!$B$19+AE230*'THAM SỐ'!$B$20+AF230*'THAM SỐ'!$B$21)*MIN(1,AO230/AG230),0)))</f>
        <v/>
      </c>
      <c r="AQ230" s="18"/>
    </row>
    <row r="231" spans="1:43" x14ac:dyDescent="0.45">
      <c r="A231" s="17"/>
      <c r="B231" s="18"/>
      <c r="C231" s="18"/>
      <c r="D231" s="25"/>
      <c r="E231" s="26"/>
      <c r="F231" s="26"/>
      <c r="G231" s="20"/>
      <c r="H231" s="20"/>
      <c r="I231" s="18"/>
      <c r="J231" s="18"/>
      <c r="K231" s="18"/>
      <c r="L231" s="18"/>
      <c r="M231" s="18"/>
      <c r="N231" s="18"/>
      <c r="O231" s="18"/>
      <c r="P231" s="18"/>
      <c r="Q231" s="18"/>
      <c r="R231" s="18"/>
      <c r="S231" s="18"/>
      <c r="T231" s="16" t="str">
        <f>IF($A231="","",COUNTIFS('LỆNH ĐIỀU XE'!$B$5:$B$604,$A231,'LỆNH ĐIỀU XE'!$C$5:$C$604,$B231))</f>
        <v/>
      </c>
      <c r="U231" s="27" t="str">
        <f>IF($A231="","",SUMIFS('LỆNH ĐIỀU XE'!$J$5:$J$604,'LỆNH ĐIỀU XE'!$B$5:$B$604,$A231,'LỆNH ĐIỀU XE'!$C$5:$C$604,$B231))</f>
        <v/>
      </c>
      <c r="V231" s="22" t="str">
        <f t="shared" si="30"/>
        <v/>
      </c>
      <c r="W231" s="28" t="str">
        <f t="shared" si="31"/>
        <v/>
      </c>
      <c r="X231" s="28" t="str">
        <f t="shared" si="32"/>
        <v/>
      </c>
      <c r="Y231" s="28" t="str">
        <f t="shared" si="33"/>
        <v/>
      </c>
      <c r="Z231" s="22" t="str">
        <f t="shared" si="34"/>
        <v/>
      </c>
      <c r="AA231" s="28" t="str">
        <f t="shared" si="35"/>
        <v/>
      </c>
      <c r="AB231" s="28" t="str">
        <f t="shared" si="36"/>
        <v/>
      </c>
      <c r="AC231" s="28" t="str">
        <f>IF($A231="","",SUMIFS('CHẶNG TĂNG CA'!$E$5:$E$304,'CHẶNG TĂNG CA'!$A$5:$A$304,$A231,'CHẶNG TĂNG CA'!$B$5:$B$304,$B231))</f>
        <v/>
      </c>
      <c r="AD231" s="28" t="str">
        <f>IF($A231="","",SUMIFS('CHẶNG TĂNG CA'!$F$5:$F$304,'CHẶNG TĂNG CA'!$A$5:$A$304,$A231,'CHẶNG TĂNG CA'!$B$5:$B$304,$B231))</f>
        <v/>
      </c>
      <c r="AE231" s="28" t="str">
        <f>IF($A231="","",SUMIFS('CHẶNG TĂNG CA'!$G$5:$G$304,'CHẶNG TĂNG CA'!$A$5:$A$304,$A231,'CHẶNG TĂNG CA'!$B$5:$B$304,$B231))</f>
        <v/>
      </c>
      <c r="AF231" s="28" t="str">
        <f>IF($A231="","",SUMIFS('CHẶNG TĂNG CA'!$H$5:$H$304,'CHẶNG TĂNG CA'!$A$5:$A$304,$A231,'CHẶNG TĂNG CA'!$B$5:$B$304,$B231))</f>
        <v/>
      </c>
      <c r="AG231" s="28" t="str">
        <f t="shared" si="37"/>
        <v/>
      </c>
      <c r="AH231" s="16" t="str">
        <f>IF($A231="","",IF(COUNTIFS('LỆNH ĐIỀU XE'!$B$5:$B$604,$A231,'LỆNH ĐIỀU XE'!$C$5:$C$604,$B231,'LỆNH ĐIỀU XE'!$N$5:$N$604,"Có")&gt;0,"Có","Không"))</f>
        <v/>
      </c>
      <c r="AI231" s="16" t="str">
        <f>IF(OR($A231="",H231="",N(T231)=0),"",IF(_xlfn.MAXIFS('LỆNH ĐIỀU XE'!$U$5:$U$604,'LỆNH ĐIỀU XE'!$B$5:$B$604,$A231,'LỆNH ĐIỀU XE'!$C$5:$C$604,$B231)=0,"",ROUND((H231+(H231&lt;4/24)-_xlfn.MAXIFS('LỆNH ĐIỀU XE'!$U$5:$U$604,'LỆNH ĐIỀU XE'!$B$5:$B$604,$A231,'LỆNH ĐIỀU XE'!$C$5:$C$604,$B231))*1440,0)))</f>
        <v/>
      </c>
      <c r="AJ231" s="16" t="str">
        <f>IF($A231="","",IF(OR(AI231="",V231=""),"Thiếu dữ liệu",IF(AND(AI231&lt;='THAM SỐ'!$B$29,ABS(V231)&lt;='THAM SỐ'!$B$28),"Đạt","Không đạt")))</f>
        <v/>
      </c>
      <c r="AK231" s="16" t="str">
        <f t="shared" si="38"/>
        <v/>
      </c>
      <c r="AL231" s="16" t="str">
        <f>IF($A231="","",TRIM(IF(T231=0,"Không có lệnh; ","")&amp;IF(N(N231)&gt;0,"Dừng ngoài lệnh; ","")&amp;IF(N(J231)&gt;0,"Quá tốc độ; ","")&amp;IF(N(K231)&gt;0,"Lái quá 4h; ","")&amp;IF(N(L231)&gt;0,"Không tắt máy; ","")&amp;IF(OR(P231&lt;&gt;"Đủ",Q231&lt;&gt;"Đủ",R231&lt;&gt;"Đủ"),"Thiếu ảnh; ","")&amp;IF(S231&lt;&gt;"Đạt","Lốp chưa đạt; ","")&amp;IF(N(W231)&gt;'THAM SỐ'!$B$27,"Có mặt quá giờ; ","")&amp;IF(N(X231)&gt;'THAM SỐ'!$B$25,"Lái quá giờ ngày; ","")&amp;IF(ISNUMBER(V231),IF(ABS(V231)&gt;'THAM SỐ'!$B$28,"Lệch km; ",""),"")))</f>
        <v/>
      </c>
      <c r="AM231" s="29"/>
      <c r="AN231" s="30"/>
      <c r="AO231" s="28" t="str">
        <f t="shared" si="39"/>
        <v/>
      </c>
      <c r="AP231" s="21" t="str">
        <f>IF(OR($A231="",AO231=""),"",IF(AG231=0,0,ROUND((AC231*'THAM SỐ'!$B$18+AD231*'THAM SỐ'!$B$19+AE231*'THAM SỐ'!$B$20+AF231*'THAM SỐ'!$B$21)*MIN(1,AO231/AG231),0)))</f>
        <v/>
      </c>
      <c r="AQ231" s="18"/>
    </row>
    <row r="232" spans="1:43" x14ac:dyDescent="0.45">
      <c r="A232" s="17"/>
      <c r="B232" s="18"/>
      <c r="C232" s="18"/>
      <c r="D232" s="25"/>
      <c r="E232" s="26"/>
      <c r="F232" s="26"/>
      <c r="G232" s="20"/>
      <c r="H232" s="20"/>
      <c r="I232" s="18"/>
      <c r="J232" s="18"/>
      <c r="K232" s="18"/>
      <c r="L232" s="18"/>
      <c r="M232" s="18"/>
      <c r="N232" s="18"/>
      <c r="O232" s="18"/>
      <c r="P232" s="18"/>
      <c r="Q232" s="18"/>
      <c r="R232" s="18"/>
      <c r="S232" s="18"/>
      <c r="T232" s="16" t="str">
        <f>IF($A232="","",COUNTIFS('LỆNH ĐIỀU XE'!$B$5:$B$604,$A232,'LỆNH ĐIỀU XE'!$C$5:$C$604,$B232))</f>
        <v/>
      </c>
      <c r="U232" s="27" t="str">
        <f>IF($A232="","",SUMIFS('LỆNH ĐIỀU XE'!$J$5:$J$604,'LỆNH ĐIỀU XE'!$B$5:$B$604,$A232,'LỆNH ĐIỀU XE'!$C$5:$C$604,$B232))</f>
        <v/>
      </c>
      <c r="V232" s="22" t="str">
        <f t="shared" si="30"/>
        <v/>
      </c>
      <c r="W232" s="28" t="str">
        <f t="shared" si="31"/>
        <v/>
      </c>
      <c r="X232" s="28" t="str">
        <f t="shared" si="32"/>
        <v/>
      </c>
      <c r="Y232" s="28" t="str">
        <f t="shared" si="33"/>
        <v/>
      </c>
      <c r="Z232" s="22" t="str">
        <f t="shared" si="34"/>
        <v/>
      </c>
      <c r="AA232" s="28" t="str">
        <f t="shared" si="35"/>
        <v/>
      </c>
      <c r="AB232" s="28" t="str">
        <f t="shared" si="36"/>
        <v/>
      </c>
      <c r="AC232" s="28" t="str">
        <f>IF($A232="","",SUMIFS('CHẶNG TĂNG CA'!$E$5:$E$304,'CHẶNG TĂNG CA'!$A$5:$A$304,$A232,'CHẶNG TĂNG CA'!$B$5:$B$304,$B232))</f>
        <v/>
      </c>
      <c r="AD232" s="28" t="str">
        <f>IF($A232="","",SUMIFS('CHẶNG TĂNG CA'!$F$5:$F$304,'CHẶNG TĂNG CA'!$A$5:$A$304,$A232,'CHẶNG TĂNG CA'!$B$5:$B$304,$B232))</f>
        <v/>
      </c>
      <c r="AE232" s="28" t="str">
        <f>IF($A232="","",SUMIFS('CHẶNG TĂNG CA'!$G$5:$G$304,'CHẶNG TĂNG CA'!$A$5:$A$304,$A232,'CHẶNG TĂNG CA'!$B$5:$B$304,$B232))</f>
        <v/>
      </c>
      <c r="AF232" s="28" t="str">
        <f>IF($A232="","",SUMIFS('CHẶNG TĂNG CA'!$H$5:$H$304,'CHẶNG TĂNG CA'!$A$5:$A$304,$A232,'CHẶNG TĂNG CA'!$B$5:$B$304,$B232))</f>
        <v/>
      </c>
      <c r="AG232" s="28" t="str">
        <f t="shared" si="37"/>
        <v/>
      </c>
      <c r="AH232" s="16" t="str">
        <f>IF($A232="","",IF(COUNTIFS('LỆNH ĐIỀU XE'!$B$5:$B$604,$A232,'LỆNH ĐIỀU XE'!$C$5:$C$604,$B232,'LỆNH ĐIỀU XE'!$N$5:$N$604,"Có")&gt;0,"Có","Không"))</f>
        <v/>
      </c>
      <c r="AI232" s="16" t="str">
        <f>IF(OR($A232="",H232="",N(T232)=0),"",IF(_xlfn.MAXIFS('LỆNH ĐIỀU XE'!$U$5:$U$604,'LỆNH ĐIỀU XE'!$B$5:$B$604,$A232,'LỆNH ĐIỀU XE'!$C$5:$C$604,$B232)=0,"",ROUND((H232+(H232&lt;4/24)-_xlfn.MAXIFS('LỆNH ĐIỀU XE'!$U$5:$U$604,'LỆNH ĐIỀU XE'!$B$5:$B$604,$A232,'LỆNH ĐIỀU XE'!$C$5:$C$604,$B232))*1440,0)))</f>
        <v/>
      </c>
      <c r="AJ232" s="16" t="str">
        <f>IF($A232="","",IF(OR(AI232="",V232=""),"Thiếu dữ liệu",IF(AND(AI232&lt;='THAM SỐ'!$B$29,ABS(V232)&lt;='THAM SỐ'!$B$28),"Đạt","Không đạt")))</f>
        <v/>
      </c>
      <c r="AK232" s="16" t="str">
        <f t="shared" si="38"/>
        <v/>
      </c>
      <c r="AL232" s="16" t="str">
        <f>IF($A232="","",TRIM(IF(T232=0,"Không có lệnh; ","")&amp;IF(N(N232)&gt;0,"Dừng ngoài lệnh; ","")&amp;IF(N(J232)&gt;0,"Quá tốc độ; ","")&amp;IF(N(K232)&gt;0,"Lái quá 4h; ","")&amp;IF(N(L232)&gt;0,"Không tắt máy; ","")&amp;IF(OR(P232&lt;&gt;"Đủ",Q232&lt;&gt;"Đủ",R232&lt;&gt;"Đủ"),"Thiếu ảnh; ","")&amp;IF(S232&lt;&gt;"Đạt","Lốp chưa đạt; ","")&amp;IF(N(W232)&gt;'THAM SỐ'!$B$27,"Có mặt quá giờ; ","")&amp;IF(N(X232)&gt;'THAM SỐ'!$B$25,"Lái quá giờ ngày; ","")&amp;IF(ISNUMBER(V232),IF(ABS(V232)&gt;'THAM SỐ'!$B$28,"Lệch km; ",""),"")))</f>
        <v/>
      </c>
      <c r="AM232" s="29"/>
      <c r="AN232" s="30"/>
      <c r="AO232" s="28" t="str">
        <f t="shared" si="39"/>
        <v/>
      </c>
      <c r="AP232" s="21" t="str">
        <f>IF(OR($A232="",AO232=""),"",IF(AG232=0,0,ROUND((AC232*'THAM SỐ'!$B$18+AD232*'THAM SỐ'!$B$19+AE232*'THAM SỐ'!$B$20+AF232*'THAM SỐ'!$B$21)*MIN(1,AO232/AG232),0)))</f>
        <v/>
      </c>
      <c r="AQ232" s="18"/>
    </row>
    <row r="233" spans="1:43" x14ac:dyDescent="0.45">
      <c r="A233" s="17"/>
      <c r="B233" s="18"/>
      <c r="C233" s="18"/>
      <c r="D233" s="25"/>
      <c r="E233" s="26"/>
      <c r="F233" s="26"/>
      <c r="G233" s="20"/>
      <c r="H233" s="20"/>
      <c r="I233" s="18"/>
      <c r="J233" s="18"/>
      <c r="K233" s="18"/>
      <c r="L233" s="18"/>
      <c r="M233" s="18"/>
      <c r="N233" s="18"/>
      <c r="O233" s="18"/>
      <c r="P233" s="18"/>
      <c r="Q233" s="18"/>
      <c r="R233" s="18"/>
      <c r="S233" s="18"/>
      <c r="T233" s="16" t="str">
        <f>IF($A233="","",COUNTIFS('LỆNH ĐIỀU XE'!$B$5:$B$604,$A233,'LỆNH ĐIỀU XE'!$C$5:$C$604,$B233))</f>
        <v/>
      </c>
      <c r="U233" s="27" t="str">
        <f>IF($A233="","",SUMIFS('LỆNH ĐIỀU XE'!$J$5:$J$604,'LỆNH ĐIỀU XE'!$B$5:$B$604,$A233,'LỆNH ĐIỀU XE'!$C$5:$C$604,$B233))</f>
        <v/>
      </c>
      <c r="V233" s="22" t="str">
        <f t="shared" si="30"/>
        <v/>
      </c>
      <c r="W233" s="28" t="str">
        <f t="shared" si="31"/>
        <v/>
      </c>
      <c r="X233" s="28" t="str">
        <f t="shared" si="32"/>
        <v/>
      </c>
      <c r="Y233" s="28" t="str">
        <f t="shared" si="33"/>
        <v/>
      </c>
      <c r="Z233" s="22" t="str">
        <f t="shared" si="34"/>
        <v/>
      </c>
      <c r="AA233" s="28" t="str">
        <f t="shared" si="35"/>
        <v/>
      </c>
      <c r="AB233" s="28" t="str">
        <f t="shared" si="36"/>
        <v/>
      </c>
      <c r="AC233" s="28" t="str">
        <f>IF($A233="","",SUMIFS('CHẶNG TĂNG CA'!$E$5:$E$304,'CHẶNG TĂNG CA'!$A$5:$A$304,$A233,'CHẶNG TĂNG CA'!$B$5:$B$304,$B233))</f>
        <v/>
      </c>
      <c r="AD233" s="28" t="str">
        <f>IF($A233="","",SUMIFS('CHẶNG TĂNG CA'!$F$5:$F$304,'CHẶNG TĂNG CA'!$A$5:$A$304,$A233,'CHẶNG TĂNG CA'!$B$5:$B$304,$B233))</f>
        <v/>
      </c>
      <c r="AE233" s="28" t="str">
        <f>IF($A233="","",SUMIFS('CHẶNG TĂNG CA'!$G$5:$G$304,'CHẶNG TĂNG CA'!$A$5:$A$304,$A233,'CHẶNG TĂNG CA'!$B$5:$B$304,$B233))</f>
        <v/>
      </c>
      <c r="AF233" s="28" t="str">
        <f>IF($A233="","",SUMIFS('CHẶNG TĂNG CA'!$H$5:$H$304,'CHẶNG TĂNG CA'!$A$5:$A$304,$A233,'CHẶNG TĂNG CA'!$B$5:$B$304,$B233))</f>
        <v/>
      </c>
      <c r="AG233" s="28" t="str">
        <f t="shared" si="37"/>
        <v/>
      </c>
      <c r="AH233" s="16" t="str">
        <f>IF($A233="","",IF(COUNTIFS('LỆNH ĐIỀU XE'!$B$5:$B$604,$A233,'LỆNH ĐIỀU XE'!$C$5:$C$604,$B233,'LỆNH ĐIỀU XE'!$N$5:$N$604,"Có")&gt;0,"Có","Không"))</f>
        <v/>
      </c>
      <c r="AI233" s="16" t="str">
        <f>IF(OR($A233="",H233="",N(T233)=0),"",IF(_xlfn.MAXIFS('LỆNH ĐIỀU XE'!$U$5:$U$604,'LỆNH ĐIỀU XE'!$B$5:$B$604,$A233,'LỆNH ĐIỀU XE'!$C$5:$C$604,$B233)=0,"",ROUND((H233+(H233&lt;4/24)-_xlfn.MAXIFS('LỆNH ĐIỀU XE'!$U$5:$U$604,'LỆNH ĐIỀU XE'!$B$5:$B$604,$A233,'LỆNH ĐIỀU XE'!$C$5:$C$604,$B233))*1440,0)))</f>
        <v/>
      </c>
      <c r="AJ233" s="16" t="str">
        <f>IF($A233="","",IF(OR(AI233="",V233=""),"Thiếu dữ liệu",IF(AND(AI233&lt;='THAM SỐ'!$B$29,ABS(V233)&lt;='THAM SỐ'!$B$28),"Đạt","Không đạt")))</f>
        <v/>
      </c>
      <c r="AK233" s="16" t="str">
        <f t="shared" si="38"/>
        <v/>
      </c>
      <c r="AL233" s="16" t="str">
        <f>IF($A233="","",TRIM(IF(T233=0,"Không có lệnh; ","")&amp;IF(N(N233)&gt;0,"Dừng ngoài lệnh; ","")&amp;IF(N(J233)&gt;0,"Quá tốc độ; ","")&amp;IF(N(K233)&gt;0,"Lái quá 4h; ","")&amp;IF(N(L233)&gt;0,"Không tắt máy; ","")&amp;IF(OR(P233&lt;&gt;"Đủ",Q233&lt;&gt;"Đủ",R233&lt;&gt;"Đủ"),"Thiếu ảnh; ","")&amp;IF(S233&lt;&gt;"Đạt","Lốp chưa đạt; ","")&amp;IF(N(W233)&gt;'THAM SỐ'!$B$27,"Có mặt quá giờ; ","")&amp;IF(N(X233)&gt;'THAM SỐ'!$B$25,"Lái quá giờ ngày; ","")&amp;IF(ISNUMBER(V233),IF(ABS(V233)&gt;'THAM SỐ'!$B$28,"Lệch km; ",""),"")))</f>
        <v/>
      </c>
      <c r="AM233" s="29"/>
      <c r="AN233" s="30"/>
      <c r="AO233" s="28" t="str">
        <f t="shared" si="39"/>
        <v/>
      </c>
      <c r="AP233" s="21" t="str">
        <f>IF(OR($A233="",AO233=""),"",IF(AG233=0,0,ROUND((AC233*'THAM SỐ'!$B$18+AD233*'THAM SỐ'!$B$19+AE233*'THAM SỐ'!$B$20+AF233*'THAM SỐ'!$B$21)*MIN(1,AO233/AG233),0)))</f>
        <v/>
      </c>
      <c r="AQ233" s="18"/>
    </row>
    <row r="234" spans="1:43" x14ac:dyDescent="0.45">
      <c r="A234" s="17"/>
      <c r="B234" s="18"/>
      <c r="C234" s="18"/>
      <c r="D234" s="25"/>
      <c r="E234" s="26"/>
      <c r="F234" s="26"/>
      <c r="G234" s="20"/>
      <c r="H234" s="20"/>
      <c r="I234" s="18"/>
      <c r="J234" s="18"/>
      <c r="K234" s="18"/>
      <c r="L234" s="18"/>
      <c r="M234" s="18"/>
      <c r="N234" s="18"/>
      <c r="O234" s="18"/>
      <c r="P234" s="18"/>
      <c r="Q234" s="18"/>
      <c r="R234" s="18"/>
      <c r="S234" s="18"/>
      <c r="T234" s="16" t="str">
        <f>IF($A234="","",COUNTIFS('LỆNH ĐIỀU XE'!$B$5:$B$604,$A234,'LỆNH ĐIỀU XE'!$C$5:$C$604,$B234))</f>
        <v/>
      </c>
      <c r="U234" s="27" t="str">
        <f>IF($A234="","",SUMIFS('LỆNH ĐIỀU XE'!$J$5:$J$604,'LỆNH ĐIỀU XE'!$B$5:$B$604,$A234,'LỆNH ĐIỀU XE'!$C$5:$C$604,$B234))</f>
        <v/>
      </c>
      <c r="V234" s="22" t="str">
        <f t="shared" si="30"/>
        <v/>
      </c>
      <c r="W234" s="28" t="str">
        <f t="shared" si="31"/>
        <v/>
      </c>
      <c r="X234" s="28" t="str">
        <f t="shared" si="32"/>
        <v/>
      </c>
      <c r="Y234" s="28" t="str">
        <f t="shared" si="33"/>
        <v/>
      </c>
      <c r="Z234" s="22" t="str">
        <f t="shared" si="34"/>
        <v/>
      </c>
      <c r="AA234" s="28" t="str">
        <f t="shared" si="35"/>
        <v/>
      </c>
      <c r="AB234" s="28" t="str">
        <f t="shared" si="36"/>
        <v/>
      </c>
      <c r="AC234" s="28" t="str">
        <f>IF($A234="","",SUMIFS('CHẶNG TĂNG CA'!$E$5:$E$304,'CHẶNG TĂNG CA'!$A$5:$A$304,$A234,'CHẶNG TĂNG CA'!$B$5:$B$304,$B234))</f>
        <v/>
      </c>
      <c r="AD234" s="28" t="str">
        <f>IF($A234="","",SUMIFS('CHẶNG TĂNG CA'!$F$5:$F$304,'CHẶNG TĂNG CA'!$A$5:$A$304,$A234,'CHẶNG TĂNG CA'!$B$5:$B$304,$B234))</f>
        <v/>
      </c>
      <c r="AE234" s="28" t="str">
        <f>IF($A234="","",SUMIFS('CHẶNG TĂNG CA'!$G$5:$G$304,'CHẶNG TĂNG CA'!$A$5:$A$304,$A234,'CHẶNG TĂNG CA'!$B$5:$B$304,$B234))</f>
        <v/>
      </c>
      <c r="AF234" s="28" t="str">
        <f>IF($A234="","",SUMIFS('CHẶNG TĂNG CA'!$H$5:$H$304,'CHẶNG TĂNG CA'!$A$5:$A$304,$A234,'CHẶNG TĂNG CA'!$B$5:$B$304,$B234))</f>
        <v/>
      </c>
      <c r="AG234" s="28" t="str">
        <f t="shared" si="37"/>
        <v/>
      </c>
      <c r="AH234" s="16" t="str">
        <f>IF($A234="","",IF(COUNTIFS('LỆNH ĐIỀU XE'!$B$5:$B$604,$A234,'LỆNH ĐIỀU XE'!$C$5:$C$604,$B234,'LỆNH ĐIỀU XE'!$N$5:$N$604,"Có")&gt;0,"Có","Không"))</f>
        <v/>
      </c>
      <c r="AI234" s="16" t="str">
        <f>IF(OR($A234="",H234="",N(T234)=0),"",IF(_xlfn.MAXIFS('LỆNH ĐIỀU XE'!$U$5:$U$604,'LỆNH ĐIỀU XE'!$B$5:$B$604,$A234,'LỆNH ĐIỀU XE'!$C$5:$C$604,$B234)=0,"",ROUND((H234+(H234&lt;4/24)-_xlfn.MAXIFS('LỆNH ĐIỀU XE'!$U$5:$U$604,'LỆNH ĐIỀU XE'!$B$5:$B$604,$A234,'LỆNH ĐIỀU XE'!$C$5:$C$604,$B234))*1440,0)))</f>
        <v/>
      </c>
      <c r="AJ234" s="16" t="str">
        <f>IF($A234="","",IF(OR(AI234="",V234=""),"Thiếu dữ liệu",IF(AND(AI234&lt;='THAM SỐ'!$B$29,ABS(V234)&lt;='THAM SỐ'!$B$28),"Đạt","Không đạt")))</f>
        <v/>
      </c>
      <c r="AK234" s="16" t="str">
        <f t="shared" si="38"/>
        <v/>
      </c>
      <c r="AL234" s="16" t="str">
        <f>IF($A234="","",TRIM(IF(T234=0,"Không có lệnh; ","")&amp;IF(N(N234)&gt;0,"Dừng ngoài lệnh; ","")&amp;IF(N(J234)&gt;0,"Quá tốc độ; ","")&amp;IF(N(K234)&gt;0,"Lái quá 4h; ","")&amp;IF(N(L234)&gt;0,"Không tắt máy; ","")&amp;IF(OR(P234&lt;&gt;"Đủ",Q234&lt;&gt;"Đủ",R234&lt;&gt;"Đủ"),"Thiếu ảnh; ","")&amp;IF(S234&lt;&gt;"Đạt","Lốp chưa đạt; ","")&amp;IF(N(W234)&gt;'THAM SỐ'!$B$27,"Có mặt quá giờ; ","")&amp;IF(N(X234)&gt;'THAM SỐ'!$B$25,"Lái quá giờ ngày; ","")&amp;IF(ISNUMBER(V234),IF(ABS(V234)&gt;'THAM SỐ'!$B$28,"Lệch km; ",""),"")))</f>
        <v/>
      </c>
      <c r="AM234" s="29"/>
      <c r="AN234" s="30"/>
      <c r="AO234" s="28" t="str">
        <f t="shared" si="39"/>
        <v/>
      </c>
      <c r="AP234" s="21" t="str">
        <f>IF(OR($A234="",AO234=""),"",IF(AG234=0,0,ROUND((AC234*'THAM SỐ'!$B$18+AD234*'THAM SỐ'!$B$19+AE234*'THAM SỐ'!$B$20+AF234*'THAM SỐ'!$B$21)*MIN(1,AO234/AG234),0)))</f>
        <v/>
      </c>
      <c r="AQ234" s="18"/>
    </row>
    <row r="235" spans="1:43" x14ac:dyDescent="0.45">
      <c r="A235" s="17"/>
      <c r="B235" s="18"/>
      <c r="C235" s="18"/>
      <c r="D235" s="25"/>
      <c r="E235" s="26"/>
      <c r="F235" s="26"/>
      <c r="G235" s="20"/>
      <c r="H235" s="20"/>
      <c r="I235" s="18"/>
      <c r="J235" s="18"/>
      <c r="K235" s="18"/>
      <c r="L235" s="18"/>
      <c r="M235" s="18"/>
      <c r="N235" s="18"/>
      <c r="O235" s="18"/>
      <c r="P235" s="18"/>
      <c r="Q235" s="18"/>
      <c r="R235" s="18"/>
      <c r="S235" s="18"/>
      <c r="T235" s="16" t="str">
        <f>IF($A235="","",COUNTIFS('LỆNH ĐIỀU XE'!$B$5:$B$604,$A235,'LỆNH ĐIỀU XE'!$C$5:$C$604,$B235))</f>
        <v/>
      </c>
      <c r="U235" s="27" t="str">
        <f>IF($A235="","",SUMIFS('LỆNH ĐIỀU XE'!$J$5:$J$604,'LỆNH ĐIỀU XE'!$B$5:$B$604,$A235,'LỆNH ĐIỀU XE'!$C$5:$C$604,$B235))</f>
        <v/>
      </c>
      <c r="V235" s="22" t="str">
        <f t="shared" si="30"/>
        <v/>
      </c>
      <c r="W235" s="28" t="str">
        <f t="shared" si="31"/>
        <v/>
      </c>
      <c r="X235" s="28" t="str">
        <f t="shared" si="32"/>
        <v/>
      </c>
      <c r="Y235" s="28" t="str">
        <f t="shared" si="33"/>
        <v/>
      </c>
      <c r="Z235" s="22" t="str">
        <f t="shared" si="34"/>
        <v/>
      </c>
      <c r="AA235" s="28" t="str">
        <f t="shared" si="35"/>
        <v/>
      </c>
      <c r="AB235" s="28" t="str">
        <f t="shared" si="36"/>
        <v/>
      </c>
      <c r="AC235" s="28" t="str">
        <f>IF($A235="","",SUMIFS('CHẶNG TĂNG CA'!$E$5:$E$304,'CHẶNG TĂNG CA'!$A$5:$A$304,$A235,'CHẶNG TĂNG CA'!$B$5:$B$304,$B235))</f>
        <v/>
      </c>
      <c r="AD235" s="28" t="str">
        <f>IF($A235="","",SUMIFS('CHẶNG TĂNG CA'!$F$5:$F$304,'CHẶNG TĂNG CA'!$A$5:$A$304,$A235,'CHẶNG TĂNG CA'!$B$5:$B$304,$B235))</f>
        <v/>
      </c>
      <c r="AE235" s="28" t="str">
        <f>IF($A235="","",SUMIFS('CHẶNG TĂNG CA'!$G$5:$G$304,'CHẶNG TĂNG CA'!$A$5:$A$304,$A235,'CHẶNG TĂNG CA'!$B$5:$B$304,$B235))</f>
        <v/>
      </c>
      <c r="AF235" s="28" t="str">
        <f>IF($A235="","",SUMIFS('CHẶNG TĂNG CA'!$H$5:$H$304,'CHẶNG TĂNG CA'!$A$5:$A$304,$A235,'CHẶNG TĂNG CA'!$B$5:$B$304,$B235))</f>
        <v/>
      </c>
      <c r="AG235" s="28" t="str">
        <f t="shared" si="37"/>
        <v/>
      </c>
      <c r="AH235" s="16" t="str">
        <f>IF($A235="","",IF(COUNTIFS('LỆNH ĐIỀU XE'!$B$5:$B$604,$A235,'LỆNH ĐIỀU XE'!$C$5:$C$604,$B235,'LỆNH ĐIỀU XE'!$N$5:$N$604,"Có")&gt;0,"Có","Không"))</f>
        <v/>
      </c>
      <c r="AI235" s="16" t="str">
        <f>IF(OR($A235="",H235="",N(T235)=0),"",IF(_xlfn.MAXIFS('LỆNH ĐIỀU XE'!$U$5:$U$604,'LỆNH ĐIỀU XE'!$B$5:$B$604,$A235,'LỆNH ĐIỀU XE'!$C$5:$C$604,$B235)=0,"",ROUND((H235+(H235&lt;4/24)-_xlfn.MAXIFS('LỆNH ĐIỀU XE'!$U$5:$U$604,'LỆNH ĐIỀU XE'!$B$5:$B$604,$A235,'LỆNH ĐIỀU XE'!$C$5:$C$604,$B235))*1440,0)))</f>
        <v/>
      </c>
      <c r="AJ235" s="16" t="str">
        <f>IF($A235="","",IF(OR(AI235="",V235=""),"Thiếu dữ liệu",IF(AND(AI235&lt;='THAM SỐ'!$B$29,ABS(V235)&lt;='THAM SỐ'!$B$28),"Đạt","Không đạt")))</f>
        <v/>
      </c>
      <c r="AK235" s="16" t="str">
        <f t="shared" si="38"/>
        <v/>
      </c>
      <c r="AL235" s="16" t="str">
        <f>IF($A235="","",TRIM(IF(T235=0,"Không có lệnh; ","")&amp;IF(N(N235)&gt;0,"Dừng ngoài lệnh; ","")&amp;IF(N(J235)&gt;0,"Quá tốc độ; ","")&amp;IF(N(K235)&gt;0,"Lái quá 4h; ","")&amp;IF(N(L235)&gt;0,"Không tắt máy; ","")&amp;IF(OR(P235&lt;&gt;"Đủ",Q235&lt;&gt;"Đủ",R235&lt;&gt;"Đủ"),"Thiếu ảnh; ","")&amp;IF(S235&lt;&gt;"Đạt","Lốp chưa đạt; ","")&amp;IF(N(W235)&gt;'THAM SỐ'!$B$27,"Có mặt quá giờ; ","")&amp;IF(N(X235)&gt;'THAM SỐ'!$B$25,"Lái quá giờ ngày; ","")&amp;IF(ISNUMBER(V235),IF(ABS(V235)&gt;'THAM SỐ'!$B$28,"Lệch km; ",""),"")))</f>
        <v/>
      </c>
      <c r="AM235" s="29"/>
      <c r="AN235" s="30"/>
      <c r="AO235" s="28" t="str">
        <f t="shared" si="39"/>
        <v/>
      </c>
      <c r="AP235" s="21" t="str">
        <f>IF(OR($A235="",AO235=""),"",IF(AG235=0,0,ROUND((AC235*'THAM SỐ'!$B$18+AD235*'THAM SỐ'!$B$19+AE235*'THAM SỐ'!$B$20+AF235*'THAM SỐ'!$B$21)*MIN(1,AO235/AG235),0)))</f>
        <v/>
      </c>
      <c r="AQ235" s="18"/>
    </row>
    <row r="236" spans="1:43" x14ac:dyDescent="0.45">
      <c r="A236" s="17"/>
      <c r="B236" s="18"/>
      <c r="C236" s="18"/>
      <c r="D236" s="25"/>
      <c r="E236" s="26"/>
      <c r="F236" s="26"/>
      <c r="G236" s="20"/>
      <c r="H236" s="20"/>
      <c r="I236" s="18"/>
      <c r="J236" s="18"/>
      <c r="K236" s="18"/>
      <c r="L236" s="18"/>
      <c r="M236" s="18"/>
      <c r="N236" s="18"/>
      <c r="O236" s="18"/>
      <c r="P236" s="18"/>
      <c r="Q236" s="18"/>
      <c r="R236" s="18"/>
      <c r="S236" s="18"/>
      <c r="T236" s="16" t="str">
        <f>IF($A236="","",COUNTIFS('LỆNH ĐIỀU XE'!$B$5:$B$604,$A236,'LỆNH ĐIỀU XE'!$C$5:$C$604,$B236))</f>
        <v/>
      </c>
      <c r="U236" s="27" t="str">
        <f>IF($A236="","",SUMIFS('LỆNH ĐIỀU XE'!$J$5:$J$604,'LỆNH ĐIỀU XE'!$B$5:$B$604,$A236,'LỆNH ĐIỀU XE'!$C$5:$C$604,$B236))</f>
        <v/>
      </c>
      <c r="V236" s="22" t="str">
        <f t="shared" si="30"/>
        <v/>
      </c>
      <c r="W236" s="28" t="str">
        <f t="shared" si="31"/>
        <v/>
      </c>
      <c r="X236" s="28" t="str">
        <f t="shared" si="32"/>
        <v/>
      </c>
      <c r="Y236" s="28" t="str">
        <f t="shared" si="33"/>
        <v/>
      </c>
      <c r="Z236" s="22" t="str">
        <f t="shared" si="34"/>
        <v/>
      </c>
      <c r="AA236" s="28" t="str">
        <f t="shared" si="35"/>
        <v/>
      </c>
      <c r="AB236" s="28" t="str">
        <f t="shared" si="36"/>
        <v/>
      </c>
      <c r="AC236" s="28" t="str">
        <f>IF($A236="","",SUMIFS('CHẶNG TĂNG CA'!$E$5:$E$304,'CHẶNG TĂNG CA'!$A$5:$A$304,$A236,'CHẶNG TĂNG CA'!$B$5:$B$304,$B236))</f>
        <v/>
      </c>
      <c r="AD236" s="28" t="str">
        <f>IF($A236="","",SUMIFS('CHẶNG TĂNG CA'!$F$5:$F$304,'CHẶNG TĂNG CA'!$A$5:$A$304,$A236,'CHẶNG TĂNG CA'!$B$5:$B$304,$B236))</f>
        <v/>
      </c>
      <c r="AE236" s="28" t="str">
        <f>IF($A236="","",SUMIFS('CHẶNG TĂNG CA'!$G$5:$G$304,'CHẶNG TĂNG CA'!$A$5:$A$304,$A236,'CHẶNG TĂNG CA'!$B$5:$B$304,$B236))</f>
        <v/>
      </c>
      <c r="AF236" s="28" t="str">
        <f>IF($A236="","",SUMIFS('CHẶNG TĂNG CA'!$H$5:$H$304,'CHẶNG TĂNG CA'!$A$5:$A$304,$A236,'CHẶNG TĂNG CA'!$B$5:$B$304,$B236))</f>
        <v/>
      </c>
      <c r="AG236" s="28" t="str">
        <f t="shared" si="37"/>
        <v/>
      </c>
      <c r="AH236" s="16" t="str">
        <f>IF($A236="","",IF(COUNTIFS('LỆNH ĐIỀU XE'!$B$5:$B$604,$A236,'LỆNH ĐIỀU XE'!$C$5:$C$604,$B236,'LỆNH ĐIỀU XE'!$N$5:$N$604,"Có")&gt;0,"Có","Không"))</f>
        <v/>
      </c>
      <c r="AI236" s="16" t="str">
        <f>IF(OR($A236="",H236="",N(T236)=0),"",IF(_xlfn.MAXIFS('LỆNH ĐIỀU XE'!$U$5:$U$604,'LỆNH ĐIỀU XE'!$B$5:$B$604,$A236,'LỆNH ĐIỀU XE'!$C$5:$C$604,$B236)=0,"",ROUND((H236+(H236&lt;4/24)-_xlfn.MAXIFS('LỆNH ĐIỀU XE'!$U$5:$U$604,'LỆNH ĐIỀU XE'!$B$5:$B$604,$A236,'LỆNH ĐIỀU XE'!$C$5:$C$604,$B236))*1440,0)))</f>
        <v/>
      </c>
      <c r="AJ236" s="16" t="str">
        <f>IF($A236="","",IF(OR(AI236="",V236=""),"Thiếu dữ liệu",IF(AND(AI236&lt;='THAM SỐ'!$B$29,ABS(V236)&lt;='THAM SỐ'!$B$28),"Đạt","Không đạt")))</f>
        <v/>
      </c>
      <c r="AK236" s="16" t="str">
        <f t="shared" si="38"/>
        <v/>
      </c>
      <c r="AL236" s="16" t="str">
        <f>IF($A236="","",TRIM(IF(T236=0,"Không có lệnh; ","")&amp;IF(N(N236)&gt;0,"Dừng ngoài lệnh; ","")&amp;IF(N(J236)&gt;0,"Quá tốc độ; ","")&amp;IF(N(K236)&gt;0,"Lái quá 4h; ","")&amp;IF(N(L236)&gt;0,"Không tắt máy; ","")&amp;IF(OR(P236&lt;&gt;"Đủ",Q236&lt;&gt;"Đủ",R236&lt;&gt;"Đủ"),"Thiếu ảnh; ","")&amp;IF(S236&lt;&gt;"Đạt","Lốp chưa đạt; ","")&amp;IF(N(W236)&gt;'THAM SỐ'!$B$27,"Có mặt quá giờ; ","")&amp;IF(N(X236)&gt;'THAM SỐ'!$B$25,"Lái quá giờ ngày; ","")&amp;IF(ISNUMBER(V236),IF(ABS(V236)&gt;'THAM SỐ'!$B$28,"Lệch km; ",""),"")))</f>
        <v/>
      </c>
      <c r="AM236" s="29"/>
      <c r="AN236" s="30"/>
      <c r="AO236" s="28" t="str">
        <f t="shared" si="39"/>
        <v/>
      </c>
      <c r="AP236" s="21" t="str">
        <f>IF(OR($A236="",AO236=""),"",IF(AG236=0,0,ROUND((AC236*'THAM SỐ'!$B$18+AD236*'THAM SỐ'!$B$19+AE236*'THAM SỐ'!$B$20+AF236*'THAM SỐ'!$B$21)*MIN(1,AO236/AG236),0)))</f>
        <v/>
      </c>
      <c r="AQ236" s="18"/>
    </row>
    <row r="237" spans="1:43" x14ac:dyDescent="0.45">
      <c r="A237" s="17"/>
      <c r="B237" s="18"/>
      <c r="C237" s="18"/>
      <c r="D237" s="25"/>
      <c r="E237" s="26"/>
      <c r="F237" s="26"/>
      <c r="G237" s="20"/>
      <c r="H237" s="20"/>
      <c r="I237" s="18"/>
      <c r="J237" s="18"/>
      <c r="K237" s="18"/>
      <c r="L237" s="18"/>
      <c r="M237" s="18"/>
      <c r="N237" s="18"/>
      <c r="O237" s="18"/>
      <c r="P237" s="18"/>
      <c r="Q237" s="18"/>
      <c r="R237" s="18"/>
      <c r="S237" s="18"/>
      <c r="T237" s="16" t="str">
        <f>IF($A237="","",COUNTIFS('LỆNH ĐIỀU XE'!$B$5:$B$604,$A237,'LỆNH ĐIỀU XE'!$C$5:$C$604,$B237))</f>
        <v/>
      </c>
      <c r="U237" s="27" t="str">
        <f>IF($A237="","",SUMIFS('LỆNH ĐIỀU XE'!$J$5:$J$604,'LỆNH ĐIỀU XE'!$B$5:$B$604,$A237,'LỆNH ĐIỀU XE'!$C$5:$C$604,$B237))</f>
        <v/>
      </c>
      <c r="V237" s="22" t="str">
        <f t="shared" si="30"/>
        <v/>
      </c>
      <c r="W237" s="28" t="str">
        <f t="shared" si="31"/>
        <v/>
      </c>
      <c r="X237" s="28" t="str">
        <f t="shared" si="32"/>
        <v/>
      </c>
      <c r="Y237" s="28" t="str">
        <f t="shared" si="33"/>
        <v/>
      </c>
      <c r="Z237" s="22" t="str">
        <f t="shared" si="34"/>
        <v/>
      </c>
      <c r="AA237" s="28" t="str">
        <f t="shared" si="35"/>
        <v/>
      </c>
      <c r="AB237" s="28" t="str">
        <f t="shared" si="36"/>
        <v/>
      </c>
      <c r="AC237" s="28" t="str">
        <f>IF($A237="","",SUMIFS('CHẶNG TĂNG CA'!$E$5:$E$304,'CHẶNG TĂNG CA'!$A$5:$A$304,$A237,'CHẶNG TĂNG CA'!$B$5:$B$304,$B237))</f>
        <v/>
      </c>
      <c r="AD237" s="28" t="str">
        <f>IF($A237="","",SUMIFS('CHẶNG TĂNG CA'!$F$5:$F$304,'CHẶNG TĂNG CA'!$A$5:$A$304,$A237,'CHẶNG TĂNG CA'!$B$5:$B$304,$B237))</f>
        <v/>
      </c>
      <c r="AE237" s="28" t="str">
        <f>IF($A237="","",SUMIFS('CHẶNG TĂNG CA'!$G$5:$G$304,'CHẶNG TĂNG CA'!$A$5:$A$304,$A237,'CHẶNG TĂNG CA'!$B$5:$B$304,$B237))</f>
        <v/>
      </c>
      <c r="AF237" s="28" t="str">
        <f>IF($A237="","",SUMIFS('CHẶNG TĂNG CA'!$H$5:$H$304,'CHẶNG TĂNG CA'!$A$5:$A$304,$A237,'CHẶNG TĂNG CA'!$B$5:$B$304,$B237))</f>
        <v/>
      </c>
      <c r="AG237" s="28" t="str">
        <f t="shared" si="37"/>
        <v/>
      </c>
      <c r="AH237" s="16" t="str">
        <f>IF($A237="","",IF(COUNTIFS('LỆNH ĐIỀU XE'!$B$5:$B$604,$A237,'LỆNH ĐIỀU XE'!$C$5:$C$604,$B237,'LỆNH ĐIỀU XE'!$N$5:$N$604,"Có")&gt;0,"Có","Không"))</f>
        <v/>
      </c>
      <c r="AI237" s="16" t="str">
        <f>IF(OR($A237="",H237="",N(T237)=0),"",IF(_xlfn.MAXIFS('LỆNH ĐIỀU XE'!$U$5:$U$604,'LỆNH ĐIỀU XE'!$B$5:$B$604,$A237,'LỆNH ĐIỀU XE'!$C$5:$C$604,$B237)=0,"",ROUND((H237+(H237&lt;4/24)-_xlfn.MAXIFS('LỆNH ĐIỀU XE'!$U$5:$U$604,'LỆNH ĐIỀU XE'!$B$5:$B$604,$A237,'LỆNH ĐIỀU XE'!$C$5:$C$604,$B237))*1440,0)))</f>
        <v/>
      </c>
      <c r="AJ237" s="16" t="str">
        <f>IF($A237="","",IF(OR(AI237="",V237=""),"Thiếu dữ liệu",IF(AND(AI237&lt;='THAM SỐ'!$B$29,ABS(V237)&lt;='THAM SỐ'!$B$28),"Đạt","Không đạt")))</f>
        <v/>
      </c>
      <c r="AK237" s="16" t="str">
        <f t="shared" si="38"/>
        <v/>
      </c>
      <c r="AL237" s="16" t="str">
        <f>IF($A237="","",TRIM(IF(T237=0,"Không có lệnh; ","")&amp;IF(N(N237)&gt;0,"Dừng ngoài lệnh; ","")&amp;IF(N(J237)&gt;0,"Quá tốc độ; ","")&amp;IF(N(K237)&gt;0,"Lái quá 4h; ","")&amp;IF(N(L237)&gt;0,"Không tắt máy; ","")&amp;IF(OR(P237&lt;&gt;"Đủ",Q237&lt;&gt;"Đủ",R237&lt;&gt;"Đủ"),"Thiếu ảnh; ","")&amp;IF(S237&lt;&gt;"Đạt","Lốp chưa đạt; ","")&amp;IF(N(W237)&gt;'THAM SỐ'!$B$27,"Có mặt quá giờ; ","")&amp;IF(N(X237)&gt;'THAM SỐ'!$B$25,"Lái quá giờ ngày; ","")&amp;IF(ISNUMBER(V237),IF(ABS(V237)&gt;'THAM SỐ'!$B$28,"Lệch km; ",""),"")))</f>
        <v/>
      </c>
      <c r="AM237" s="29"/>
      <c r="AN237" s="30"/>
      <c r="AO237" s="28" t="str">
        <f t="shared" si="39"/>
        <v/>
      </c>
      <c r="AP237" s="21" t="str">
        <f>IF(OR($A237="",AO237=""),"",IF(AG237=0,0,ROUND((AC237*'THAM SỐ'!$B$18+AD237*'THAM SỐ'!$B$19+AE237*'THAM SỐ'!$B$20+AF237*'THAM SỐ'!$B$21)*MIN(1,AO237/AG237),0)))</f>
        <v/>
      </c>
      <c r="AQ237" s="18"/>
    </row>
    <row r="238" spans="1:43" x14ac:dyDescent="0.45">
      <c r="A238" s="17"/>
      <c r="B238" s="18"/>
      <c r="C238" s="18"/>
      <c r="D238" s="25"/>
      <c r="E238" s="26"/>
      <c r="F238" s="26"/>
      <c r="G238" s="20"/>
      <c r="H238" s="20"/>
      <c r="I238" s="18"/>
      <c r="J238" s="18"/>
      <c r="K238" s="18"/>
      <c r="L238" s="18"/>
      <c r="M238" s="18"/>
      <c r="N238" s="18"/>
      <c r="O238" s="18"/>
      <c r="P238" s="18"/>
      <c r="Q238" s="18"/>
      <c r="R238" s="18"/>
      <c r="S238" s="18"/>
      <c r="T238" s="16" t="str">
        <f>IF($A238="","",COUNTIFS('LỆNH ĐIỀU XE'!$B$5:$B$604,$A238,'LỆNH ĐIỀU XE'!$C$5:$C$604,$B238))</f>
        <v/>
      </c>
      <c r="U238" s="27" t="str">
        <f>IF($A238="","",SUMIFS('LỆNH ĐIỀU XE'!$J$5:$J$604,'LỆNH ĐIỀU XE'!$B$5:$B$604,$A238,'LỆNH ĐIỀU XE'!$C$5:$C$604,$B238))</f>
        <v/>
      </c>
      <c r="V238" s="22" t="str">
        <f t="shared" si="30"/>
        <v/>
      </c>
      <c r="W238" s="28" t="str">
        <f t="shared" si="31"/>
        <v/>
      </c>
      <c r="X238" s="28" t="str">
        <f t="shared" si="32"/>
        <v/>
      </c>
      <c r="Y238" s="28" t="str">
        <f t="shared" si="33"/>
        <v/>
      </c>
      <c r="Z238" s="22" t="str">
        <f t="shared" si="34"/>
        <v/>
      </c>
      <c r="AA238" s="28" t="str">
        <f t="shared" si="35"/>
        <v/>
      </c>
      <c r="AB238" s="28" t="str">
        <f t="shared" si="36"/>
        <v/>
      </c>
      <c r="AC238" s="28" t="str">
        <f>IF($A238="","",SUMIFS('CHẶNG TĂNG CA'!$E$5:$E$304,'CHẶNG TĂNG CA'!$A$5:$A$304,$A238,'CHẶNG TĂNG CA'!$B$5:$B$304,$B238))</f>
        <v/>
      </c>
      <c r="AD238" s="28" t="str">
        <f>IF($A238="","",SUMIFS('CHẶNG TĂNG CA'!$F$5:$F$304,'CHẶNG TĂNG CA'!$A$5:$A$304,$A238,'CHẶNG TĂNG CA'!$B$5:$B$304,$B238))</f>
        <v/>
      </c>
      <c r="AE238" s="28" t="str">
        <f>IF($A238="","",SUMIFS('CHẶNG TĂNG CA'!$G$5:$G$304,'CHẶNG TĂNG CA'!$A$5:$A$304,$A238,'CHẶNG TĂNG CA'!$B$5:$B$304,$B238))</f>
        <v/>
      </c>
      <c r="AF238" s="28" t="str">
        <f>IF($A238="","",SUMIFS('CHẶNG TĂNG CA'!$H$5:$H$304,'CHẶNG TĂNG CA'!$A$5:$A$304,$A238,'CHẶNG TĂNG CA'!$B$5:$B$304,$B238))</f>
        <v/>
      </c>
      <c r="AG238" s="28" t="str">
        <f t="shared" si="37"/>
        <v/>
      </c>
      <c r="AH238" s="16" t="str">
        <f>IF($A238="","",IF(COUNTIFS('LỆNH ĐIỀU XE'!$B$5:$B$604,$A238,'LỆNH ĐIỀU XE'!$C$5:$C$604,$B238,'LỆNH ĐIỀU XE'!$N$5:$N$604,"Có")&gt;0,"Có","Không"))</f>
        <v/>
      </c>
      <c r="AI238" s="16" t="str">
        <f>IF(OR($A238="",H238="",N(T238)=0),"",IF(_xlfn.MAXIFS('LỆNH ĐIỀU XE'!$U$5:$U$604,'LỆNH ĐIỀU XE'!$B$5:$B$604,$A238,'LỆNH ĐIỀU XE'!$C$5:$C$604,$B238)=0,"",ROUND((H238+(H238&lt;4/24)-_xlfn.MAXIFS('LỆNH ĐIỀU XE'!$U$5:$U$604,'LỆNH ĐIỀU XE'!$B$5:$B$604,$A238,'LỆNH ĐIỀU XE'!$C$5:$C$604,$B238))*1440,0)))</f>
        <v/>
      </c>
      <c r="AJ238" s="16" t="str">
        <f>IF($A238="","",IF(OR(AI238="",V238=""),"Thiếu dữ liệu",IF(AND(AI238&lt;='THAM SỐ'!$B$29,ABS(V238)&lt;='THAM SỐ'!$B$28),"Đạt","Không đạt")))</f>
        <v/>
      </c>
      <c r="AK238" s="16" t="str">
        <f t="shared" si="38"/>
        <v/>
      </c>
      <c r="AL238" s="16" t="str">
        <f>IF($A238="","",TRIM(IF(T238=0,"Không có lệnh; ","")&amp;IF(N(N238)&gt;0,"Dừng ngoài lệnh; ","")&amp;IF(N(J238)&gt;0,"Quá tốc độ; ","")&amp;IF(N(K238)&gt;0,"Lái quá 4h; ","")&amp;IF(N(L238)&gt;0,"Không tắt máy; ","")&amp;IF(OR(P238&lt;&gt;"Đủ",Q238&lt;&gt;"Đủ",R238&lt;&gt;"Đủ"),"Thiếu ảnh; ","")&amp;IF(S238&lt;&gt;"Đạt","Lốp chưa đạt; ","")&amp;IF(N(W238)&gt;'THAM SỐ'!$B$27,"Có mặt quá giờ; ","")&amp;IF(N(X238)&gt;'THAM SỐ'!$B$25,"Lái quá giờ ngày; ","")&amp;IF(ISNUMBER(V238),IF(ABS(V238)&gt;'THAM SỐ'!$B$28,"Lệch km; ",""),"")))</f>
        <v/>
      </c>
      <c r="AM238" s="29"/>
      <c r="AN238" s="30"/>
      <c r="AO238" s="28" t="str">
        <f t="shared" si="39"/>
        <v/>
      </c>
      <c r="AP238" s="21" t="str">
        <f>IF(OR($A238="",AO238=""),"",IF(AG238=0,0,ROUND((AC238*'THAM SỐ'!$B$18+AD238*'THAM SỐ'!$B$19+AE238*'THAM SỐ'!$B$20+AF238*'THAM SỐ'!$B$21)*MIN(1,AO238/AG238),0)))</f>
        <v/>
      </c>
      <c r="AQ238" s="18"/>
    </row>
    <row r="239" spans="1:43" x14ac:dyDescent="0.45">
      <c r="A239" s="17"/>
      <c r="B239" s="18"/>
      <c r="C239" s="18"/>
      <c r="D239" s="25"/>
      <c r="E239" s="26"/>
      <c r="F239" s="26"/>
      <c r="G239" s="20"/>
      <c r="H239" s="20"/>
      <c r="I239" s="18"/>
      <c r="J239" s="18"/>
      <c r="K239" s="18"/>
      <c r="L239" s="18"/>
      <c r="M239" s="18"/>
      <c r="N239" s="18"/>
      <c r="O239" s="18"/>
      <c r="P239" s="18"/>
      <c r="Q239" s="18"/>
      <c r="R239" s="18"/>
      <c r="S239" s="18"/>
      <c r="T239" s="16" t="str">
        <f>IF($A239="","",COUNTIFS('LỆNH ĐIỀU XE'!$B$5:$B$604,$A239,'LỆNH ĐIỀU XE'!$C$5:$C$604,$B239))</f>
        <v/>
      </c>
      <c r="U239" s="27" t="str">
        <f>IF($A239="","",SUMIFS('LỆNH ĐIỀU XE'!$J$5:$J$604,'LỆNH ĐIỀU XE'!$B$5:$B$604,$A239,'LỆNH ĐIỀU XE'!$C$5:$C$604,$B239))</f>
        <v/>
      </c>
      <c r="V239" s="22" t="str">
        <f t="shared" si="30"/>
        <v/>
      </c>
      <c r="W239" s="28" t="str">
        <f t="shared" si="31"/>
        <v/>
      </c>
      <c r="X239" s="28" t="str">
        <f t="shared" si="32"/>
        <v/>
      </c>
      <c r="Y239" s="28" t="str">
        <f t="shared" si="33"/>
        <v/>
      </c>
      <c r="Z239" s="22" t="str">
        <f t="shared" si="34"/>
        <v/>
      </c>
      <c r="AA239" s="28" t="str">
        <f t="shared" si="35"/>
        <v/>
      </c>
      <c r="AB239" s="28" t="str">
        <f t="shared" si="36"/>
        <v/>
      </c>
      <c r="AC239" s="28" t="str">
        <f>IF($A239="","",SUMIFS('CHẶNG TĂNG CA'!$E$5:$E$304,'CHẶNG TĂNG CA'!$A$5:$A$304,$A239,'CHẶNG TĂNG CA'!$B$5:$B$304,$B239))</f>
        <v/>
      </c>
      <c r="AD239" s="28" t="str">
        <f>IF($A239="","",SUMIFS('CHẶNG TĂNG CA'!$F$5:$F$304,'CHẶNG TĂNG CA'!$A$5:$A$304,$A239,'CHẶNG TĂNG CA'!$B$5:$B$304,$B239))</f>
        <v/>
      </c>
      <c r="AE239" s="28" t="str">
        <f>IF($A239="","",SUMIFS('CHẶNG TĂNG CA'!$G$5:$G$304,'CHẶNG TĂNG CA'!$A$5:$A$304,$A239,'CHẶNG TĂNG CA'!$B$5:$B$304,$B239))</f>
        <v/>
      </c>
      <c r="AF239" s="28" t="str">
        <f>IF($A239="","",SUMIFS('CHẶNG TĂNG CA'!$H$5:$H$304,'CHẶNG TĂNG CA'!$A$5:$A$304,$A239,'CHẶNG TĂNG CA'!$B$5:$B$304,$B239))</f>
        <v/>
      </c>
      <c r="AG239" s="28" t="str">
        <f t="shared" si="37"/>
        <v/>
      </c>
      <c r="AH239" s="16" t="str">
        <f>IF($A239="","",IF(COUNTIFS('LỆNH ĐIỀU XE'!$B$5:$B$604,$A239,'LỆNH ĐIỀU XE'!$C$5:$C$604,$B239,'LỆNH ĐIỀU XE'!$N$5:$N$604,"Có")&gt;0,"Có","Không"))</f>
        <v/>
      </c>
      <c r="AI239" s="16" t="str">
        <f>IF(OR($A239="",H239="",N(T239)=0),"",IF(_xlfn.MAXIFS('LỆNH ĐIỀU XE'!$U$5:$U$604,'LỆNH ĐIỀU XE'!$B$5:$B$604,$A239,'LỆNH ĐIỀU XE'!$C$5:$C$604,$B239)=0,"",ROUND((H239+(H239&lt;4/24)-_xlfn.MAXIFS('LỆNH ĐIỀU XE'!$U$5:$U$604,'LỆNH ĐIỀU XE'!$B$5:$B$604,$A239,'LỆNH ĐIỀU XE'!$C$5:$C$604,$B239))*1440,0)))</f>
        <v/>
      </c>
      <c r="AJ239" s="16" t="str">
        <f>IF($A239="","",IF(OR(AI239="",V239=""),"Thiếu dữ liệu",IF(AND(AI239&lt;='THAM SỐ'!$B$29,ABS(V239)&lt;='THAM SỐ'!$B$28),"Đạt","Không đạt")))</f>
        <v/>
      </c>
      <c r="AK239" s="16" t="str">
        <f t="shared" si="38"/>
        <v/>
      </c>
      <c r="AL239" s="16" t="str">
        <f>IF($A239="","",TRIM(IF(T239=0,"Không có lệnh; ","")&amp;IF(N(N239)&gt;0,"Dừng ngoài lệnh; ","")&amp;IF(N(J239)&gt;0,"Quá tốc độ; ","")&amp;IF(N(K239)&gt;0,"Lái quá 4h; ","")&amp;IF(N(L239)&gt;0,"Không tắt máy; ","")&amp;IF(OR(P239&lt;&gt;"Đủ",Q239&lt;&gt;"Đủ",R239&lt;&gt;"Đủ"),"Thiếu ảnh; ","")&amp;IF(S239&lt;&gt;"Đạt","Lốp chưa đạt; ","")&amp;IF(N(W239)&gt;'THAM SỐ'!$B$27,"Có mặt quá giờ; ","")&amp;IF(N(X239)&gt;'THAM SỐ'!$B$25,"Lái quá giờ ngày; ","")&amp;IF(ISNUMBER(V239),IF(ABS(V239)&gt;'THAM SỐ'!$B$28,"Lệch km; ",""),"")))</f>
        <v/>
      </c>
      <c r="AM239" s="29"/>
      <c r="AN239" s="30"/>
      <c r="AO239" s="28" t="str">
        <f t="shared" si="39"/>
        <v/>
      </c>
      <c r="AP239" s="21" t="str">
        <f>IF(OR($A239="",AO239=""),"",IF(AG239=0,0,ROUND((AC239*'THAM SỐ'!$B$18+AD239*'THAM SỐ'!$B$19+AE239*'THAM SỐ'!$B$20+AF239*'THAM SỐ'!$B$21)*MIN(1,AO239/AG239),0)))</f>
        <v/>
      </c>
      <c r="AQ239" s="18"/>
    </row>
    <row r="240" spans="1:43" x14ac:dyDescent="0.45">
      <c r="A240" s="17"/>
      <c r="B240" s="18"/>
      <c r="C240" s="18"/>
      <c r="D240" s="25"/>
      <c r="E240" s="26"/>
      <c r="F240" s="26"/>
      <c r="G240" s="20"/>
      <c r="H240" s="20"/>
      <c r="I240" s="18"/>
      <c r="J240" s="18"/>
      <c r="K240" s="18"/>
      <c r="L240" s="18"/>
      <c r="M240" s="18"/>
      <c r="N240" s="18"/>
      <c r="O240" s="18"/>
      <c r="P240" s="18"/>
      <c r="Q240" s="18"/>
      <c r="R240" s="18"/>
      <c r="S240" s="18"/>
      <c r="T240" s="16" t="str">
        <f>IF($A240="","",COUNTIFS('LỆNH ĐIỀU XE'!$B$5:$B$604,$A240,'LỆNH ĐIỀU XE'!$C$5:$C$604,$B240))</f>
        <v/>
      </c>
      <c r="U240" s="27" t="str">
        <f>IF($A240="","",SUMIFS('LỆNH ĐIỀU XE'!$J$5:$J$604,'LỆNH ĐIỀU XE'!$B$5:$B$604,$A240,'LỆNH ĐIỀU XE'!$C$5:$C$604,$B240))</f>
        <v/>
      </c>
      <c r="V240" s="22" t="str">
        <f t="shared" si="30"/>
        <v/>
      </c>
      <c r="W240" s="28" t="str">
        <f t="shared" si="31"/>
        <v/>
      </c>
      <c r="X240" s="28" t="str">
        <f t="shared" si="32"/>
        <v/>
      </c>
      <c r="Y240" s="28" t="str">
        <f t="shared" si="33"/>
        <v/>
      </c>
      <c r="Z240" s="22" t="str">
        <f t="shared" si="34"/>
        <v/>
      </c>
      <c r="AA240" s="28" t="str">
        <f t="shared" si="35"/>
        <v/>
      </c>
      <c r="AB240" s="28" t="str">
        <f t="shared" si="36"/>
        <v/>
      </c>
      <c r="AC240" s="28" t="str">
        <f>IF($A240="","",SUMIFS('CHẶNG TĂNG CA'!$E$5:$E$304,'CHẶNG TĂNG CA'!$A$5:$A$304,$A240,'CHẶNG TĂNG CA'!$B$5:$B$304,$B240))</f>
        <v/>
      </c>
      <c r="AD240" s="28" t="str">
        <f>IF($A240="","",SUMIFS('CHẶNG TĂNG CA'!$F$5:$F$304,'CHẶNG TĂNG CA'!$A$5:$A$304,$A240,'CHẶNG TĂNG CA'!$B$5:$B$304,$B240))</f>
        <v/>
      </c>
      <c r="AE240" s="28" t="str">
        <f>IF($A240="","",SUMIFS('CHẶNG TĂNG CA'!$G$5:$G$304,'CHẶNG TĂNG CA'!$A$5:$A$304,$A240,'CHẶNG TĂNG CA'!$B$5:$B$304,$B240))</f>
        <v/>
      </c>
      <c r="AF240" s="28" t="str">
        <f>IF($A240="","",SUMIFS('CHẶNG TĂNG CA'!$H$5:$H$304,'CHẶNG TĂNG CA'!$A$5:$A$304,$A240,'CHẶNG TĂNG CA'!$B$5:$B$304,$B240))</f>
        <v/>
      </c>
      <c r="AG240" s="28" t="str">
        <f t="shared" si="37"/>
        <v/>
      </c>
      <c r="AH240" s="16" t="str">
        <f>IF($A240="","",IF(COUNTIFS('LỆNH ĐIỀU XE'!$B$5:$B$604,$A240,'LỆNH ĐIỀU XE'!$C$5:$C$604,$B240,'LỆNH ĐIỀU XE'!$N$5:$N$604,"Có")&gt;0,"Có","Không"))</f>
        <v/>
      </c>
      <c r="AI240" s="16" t="str">
        <f>IF(OR($A240="",H240="",N(T240)=0),"",IF(_xlfn.MAXIFS('LỆNH ĐIỀU XE'!$U$5:$U$604,'LỆNH ĐIỀU XE'!$B$5:$B$604,$A240,'LỆNH ĐIỀU XE'!$C$5:$C$604,$B240)=0,"",ROUND((H240+(H240&lt;4/24)-_xlfn.MAXIFS('LỆNH ĐIỀU XE'!$U$5:$U$604,'LỆNH ĐIỀU XE'!$B$5:$B$604,$A240,'LỆNH ĐIỀU XE'!$C$5:$C$604,$B240))*1440,0)))</f>
        <v/>
      </c>
      <c r="AJ240" s="16" t="str">
        <f>IF($A240="","",IF(OR(AI240="",V240=""),"Thiếu dữ liệu",IF(AND(AI240&lt;='THAM SỐ'!$B$29,ABS(V240)&lt;='THAM SỐ'!$B$28),"Đạt","Không đạt")))</f>
        <v/>
      </c>
      <c r="AK240" s="16" t="str">
        <f t="shared" si="38"/>
        <v/>
      </c>
      <c r="AL240" s="16" t="str">
        <f>IF($A240="","",TRIM(IF(T240=0,"Không có lệnh; ","")&amp;IF(N(N240)&gt;0,"Dừng ngoài lệnh; ","")&amp;IF(N(J240)&gt;0,"Quá tốc độ; ","")&amp;IF(N(K240)&gt;0,"Lái quá 4h; ","")&amp;IF(N(L240)&gt;0,"Không tắt máy; ","")&amp;IF(OR(P240&lt;&gt;"Đủ",Q240&lt;&gt;"Đủ",R240&lt;&gt;"Đủ"),"Thiếu ảnh; ","")&amp;IF(S240&lt;&gt;"Đạt","Lốp chưa đạt; ","")&amp;IF(N(W240)&gt;'THAM SỐ'!$B$27,"Có mặt quá giờ; ","")&amp;IF(N(X240)&gt;'THAM SỐ'!$B$25,"Lái quá giờ ngày; ","")&amp;IF(ISNUMBER(V240),IF(ABS(V240)&gt;'THAM SỐ'!$B$28,"Lệch km; ",""),"")))</f>
        <v/>
      </c>
      <c r="AM240" s="29"/>
      <c r="AN240" s="30"/>
      <c r="AO240" s="28" t="str">
        <f t="shared" si="39"/>
        <v/>
      </c>
      <c r="AP240" s="21" t="str">
        <f>IF(OR($A240="",AO240=""),"",IF(AG240=0,0,ROUND((AC240*'THAM SỐ'!$B$18+AD240*'THAM SỐ'!$B$19+AE240*'THAM SỐ'!$B$20+AF240*'THAM SỐ'!$B$21)*MIN(1,AO240/AG240),0)))</f>
        <v/>
      </c>
      <c r="AQ240" s="18"/>
    </row>
    <row r="241" spans="1:43" x14ac:dyDescent="0.45">
      <c r="A241" s="17"/>
      <c r="B241" s="18"/>
      <c r="C241" s="18"/>
      <c r="D241" s="25"/>
      <c r="E241" s="26"/>
      <c r="F241" s="26"/>
      <c r="G241" s="20"/>
      <c r="H241" s="20"/>
      <c r="I241" s="18"/>
      <c r="J241" s="18"/>
      <c r="K241" s="18"/>
      <c r="L241" s="18"/>
      <c r="M241" s="18"/>
      <c r="N241" s="18"/>
      <c r="O241" s="18"/>
      <c r="P241" s="18"/>
      <c r="Q241" s="18"/>
      <c r="R241" s="18"/>
      <c r="S241" s="18"/>
      <c r="T241" s="16" t="str">
        <f>IF($A241="","",COUNTIFS('LỆNH ĐIỀU XE'!$B$5:$B$604,$A241,'LỆNH ĐIỀU XE'!$C$5:$C$604,$B241))</f>
        <v/>
      </c>
      <c r="U241" s="27" t="str">
        <f>IF($A241="","",SUMIFS('LỆNH ĐIỀU XE'!$J$5:$J$604,'LỆNH ĐIỀU XE'!$B$5:$B$604,$A241,'LỆNH ĐIỀU XE'!$C$5:$C$604,$B241))</f>
        <v/>
      </c>
      <c r="V241" s="22" t="str">
        <f t="shared" si="30"/>
        <v/>
      </c>
      <c r="W241" s="28" t="str">
        <f t="shared" si="31"/>
        <v/>
      </c>
      <c r="X241" s="28" t="str">
        <f t="shared" si="32"/>
        <v/>
      </c>
      <c r="Y241" s="28" t="str">
        <f t="shared" si="33"/>
        <v/>
      </c>
      <c r="Z241" s="22" t="str">
        <f t="shared" si="34"/>
        <v/>
      </c>
      <c r="AA241" s="28" t="str">
        <f t="shared" si="35"/>
        <v/>
      </c>
      <c r="AB241" s="28" t="str">
        <f t="shared" si="36"/>
        <v/>
      </c>
      <c r="AC241" s="28" t="str">
        <f>IF($A241="","",SUMIFS('CHẶNG TĂNG CA'!$E$5:$E$304,'CHẶNG TĂNG CA'!$A$5:$A$304,$A241,'CHẶNG TĂNG CA'!$B$5:$B$304,$B241))</f>
        <v/>
      </c>
      <c r="AD241" s="28" t="str">
        <f>IF($A241="","",SUMIFS('CHẶNG TĂNG CA'!$F$5:$F$304,'CHẶNG TĂNG CA'!$A$5:$A$304,$A241,'CHẶNG TĂNG CA'!$B$5:$B$304,$B241))</f>
        <v/>
      </c>
      <c r="AE241" s="28" t="str">
        <f>IF($A241="","",SUMIFS('CHẶNG TĂNG CA'!$G$5:$G$304,'CHẶNG TĂNG CA'!$A$5:$A$304,$A241,'CHẶNG TĂNG CA'!$B$5:$B$304,$B241))</f>
        <v/>
      </c>
      <c r="AF241" s="28" t="str">
        <f>IF($A241="","",SUMIFS('CHẶNG TĂNG CA'!$H$5:$H$304,'CHẶNG TĂNG CA'!$A$5:$A$304,$A241,'CHẶNG TĂNG CA'!$B$5:$B$304,$B241))</f>
        <v/>
      </c>
      <c r="AG241" s="28" t="str">
        <f t="shared" si="37"/>
        <v/>
      </c>
      <c r="AH241" s="16" t="str">
        <f>IF($A241="","",IF(COUNTIFS('LỆNH ĐIỀU XE'!$B$5:$B$604,$A241,'LỆNH ĐIỀU XE'!$C$5:$C$604,$B241,'LỆNH ĐIỀU XE'!$N$5:$N$604,"Có")&gt;0,"Có","Không"))</f>
        <v/>
      </c>
      <c r="AI241" s="16" t="str">
        <f>IF(OR($A241="",H241="",N(T241)=0),"",IF(_xlfn.MAXIFS('LỆNH ĐIỀU XE'!$U$5:$U$604,'LỆNH ĐIỀU XE'!$B$5:$B$604,$A241,'LỆNH ĐIỀU XE'!$C$5:$C$604,$B241)=0,"",ROUND((H241+(H241&lt;4/24)-_xlfn.MAXIFS('LỆNH ĐIỀU XE'!$U$5:$U$604,'LỆNH ĐIỀU XE'!$B$5:$B$604,$A241,'LỆNH ĐIỀU XE'!$C$5:$C$604,$B241))*1440,0)))</f>
        <v/>
      </c>
      <c r="AJ241" s="16" t="str">
        <f>IF($A241="","",IF(OR(AI241="",V241=""),"Thiếu dữ liệu",IF(AND(AI241&lt;='THAM SỐ'!$B$29,ABS(V241)&lt;='THAM SỐ'!$B$28),"Đạt","Không đạt")))</f>
        <v/>
      </c>
      <c r="AK241" s="16" t="str">
        <f t="shared" si="38"/>
        <v/>
      </c>
      <c r="AL241" s="16" t="str">
        <f>IF($A241="","",TRIM(IF(T241=0,"Không có lệnh; ","")&amp;IF(N(N241)&gt;0,"Dừng ngoài lệnh; ","")&amp;IF(N(J241)&gt;0,"Quá tốc độ; ","")&amp;IF(N(K241)&gt;0,"Lái quá 4h; ","")&amp;IF(N(L241)&gt;0,"Không tắt máy; ","")&amp;IF(OR(P241&lt;&gt;"Đủ",Q241&lt;&gt;"Đủ",R241&lt;&gt;"Đủ"),"Thiếu ảnh; ","")&amp;IF(S241&lt;&gt;"Đạt","Lốp chưa đạt; ","")&amp;IF(N(W241)&gt;'THAM SỐ'!$B$27,"Có mặt quá giờ; ","")&amp;IF(N(X241)&gt;'THAM SỐ'!$B$25,"Lái quá giờ ngày; ","")&amp;IF(ISNUMBER(V241),IF(ABS(V241)&gt;'THAM SỐ'!$B$28,"Lệch km; ",""),"")))</f>
        <v/>
      </c>
      <c r="AM241" s="29"/>
      <c r="AN241" s="30"/>
      <c r="AO241" s="28" t="str">
        <f t="shared" si="39"/>
        <v/>
      </c>
      <c r="AP241" s="21" t="str">
        <f>IF(OR($A241="",AO241=""),"",IF(AG241=0,0,ROUND((AC241*'THAM SỐ'!$B$18+AD241*'THAM SỐ'!$B$19+AE241*'THAM SỐ'!$B$20+AF241*'THAM SỐ'!$B$21)*MIN(1,AO241/AG241),0)))</f>
        <v/>
      </c>
      <c r="AQ241" s="18"/>
    </row>
    <row r="242" spans="1:43" x14ac:dyDescent="0.45">
      <c r="A242" s="17"/>
      <c r="B242" s="18"/>
      <c r="C242" s="18"/>
      <c r="D242" s="25"/>
      <c r="E242" s="26"/>
      <c r="F242" s="26"/>
      <c r="G242" s="20"/>
      <c r="H242" s="20"/>
      <c r="I242" s="18"/>
      <c r="J242" s="18"/>
      <c r="K242" s="18"/>
      <c r="L242" s="18"/>
      <c r="M242" s="18"/>
      <c r="N242" s="18"/>
      <c r="O242" s="18"/>
      <c r="P242" s="18"/>
      <c r="Q242" s="18"/>
      <c r="R242" s="18"/>
      <c r="S242" s="18"/>
      <c r="T242" s="16" t="str">
        <f>IF($A242="","",COUNTIFS('LỆNH ĐIỀU XE'!$B$5:$B$604,$A242,'LỆNH ĐIỀU XE'!$C$5:$C$604,$B242))</f>
        <v/>
      </c>
      <c r="U242" s="27" t="str">
        <f>IF($A242="","",SUMIFS('LỆNH ĐIỀU XE'!$J$5:$J$604,'LỆNH ĐIỀU XE'!$B$5:$B$604,$A242,'LỆNH ĐIỀU XE'!$C$5:$C$604,$B242))</f>
        <v/>
      </c>
      <c r="V242" s="22" t="str">
        <f t="shared" si="30"/>
        <v/>
      </c>
      <c r="W242" s="28" t="str">
        <f t="shared" si="31"/>
        <v/>
      </c>
      <c r="X242" s="28" t="str">
        <f t="shared" si="32"/>
        <v/>
      </c>
      <c r="Y242" s="28" t="str">
        <f t="shared" si="33"/>
        <v/>
      </c>
      <c r="Z242" s="22" t="str">
        <f t="shared" si="34"/>
        <v/>
      </c>
      <c r="AA242" s="28" t="str">
        <f t="shared" si="35"/>
        <v/>
      </c>
      <c r="AB242" s="28" t="str">
        <f t="shared" si="36"/>
        <v/>
      </c>
      <c r="AC242" s="28" t="str">
        <f>IF($A242="","",SUMIFS('CHẶNG TĂNG CA'!$E$5:$E$304,'CHẶNG TĂNG CA'!$A$5:$A$304,$A242,'CHẶNG TĂNG CA'!$B$5:$B$304,$B242))</f>
        <v/>
      </c>
      <c r="AD242" s="28" t="str">
        <f>IF($A242="","",SUMIFS('CHẶNG TĂNG CA'!$F$5:$F$304,'CHẶNG TĂNG CA'!$A$5:$A$304,$A242,'CHẶNG TĂNG CA'!$B$5:$B$304,$B242))</f>
        <v/>
      </c>
      <c r="AE242" s="28" t="str">
        <f>IF($A242="","",SUMIFS('CHẶNG TĂNG CA'!$G$5:$G$304,'CHẶNG TĂNG CA'!$A$5:$A$304,$A242,'CHẶNG TĂNG CA'!$B$5:$B$304,$B242))</f>
        <v/>
      </c>
      <c r="AF242" s="28" t="str">
        <f>IF($A242="","",SUMIFS('CHẶNG TĂNG CA'!$H$5:$H$304,'CHẶNG TĂNG CA'!$A$5:$A$304,$A242,'CHẶNG TĂNG CA'!$B$5:$B$304,$B242))</f>
        <v/>
      </c>
      <c r="AG242" s="28" t="str">
        <f t="shared" si="37"/>
        <v/>
      </c>
      <c r="AH242" s="16" t="str">
        <f>IF($A242="","",IF(COUNTIFS('LỆNH ĐIỀU XE'!$B$5:$B$604,$A242,'LỆNH ĐIỀU XE'!$C$5:$C$604,$B242,'LỆNH ĐIỀU XE'!$N$5:$N$604,"Có")&gt;0,"Có","Không"))</f>
        <v/>
      </c>
      <c r="AI242" s="16" t="str">
        <f>IF(OR($A242="",H242="",N(T242)=0),"",IF(_xlfn.MAXIFS('LỆNH ĐIỀU XE'!$U$5:$U$604,'LỆNH ĐIỀU XE'!$B$5:$B$604,$A242,'LỆNH ĐIỀU XE'!$C$5:$C$604,$B242)=0,"",ROUND((H242+(H242&lt;4/24)-_xlfn.MAXIFS('LỆNH ĐIỀU XE'!$U$5:$U$604,'LỆNH ĐIỀU XE'!$B$5:$B$604,$A242,'LỆNH ĐIỀU XE'!$C$5:$C$604,$B242))*1440,0)))</f>
        <v/>
      </c>
      <c r="AJ242" s="16" t="str">
        <f>IF($A242="","",IF(OR(AI242="",V242=""),"Thiếu dữ liệu",IF(AND(AI242&lt;='THAM SỐ'!$B$29,ABS(V242)&lt;='THAM SỐ'!$B$28),"Đạt","Không đạt")))</f>
        <v/>
      </c>
      <c r="AK242" s="16" t="str">
        <f t="shared" si="38"/>
        <v/>
      </c>
      <c r="AL242" s="16" t="str">
        <f>IF($A242="","",TRIM(IF(T242=0,"Không có lệnh; ","")&amp;IF(N(N242)&gt;0,"Dừng ngoài lệnh; ","")&amp;IF(N(J242)&gt;0,"Quá tốc độ; ","")&amp;IF(N(K242)&gt;0,"Lái quá 4h; ","")&amp;IF(N(L242)&gt;0,"Không tắt máy; ","")&amp;IF(OR(P242&lt;&gt;"Đủ",Q242&lt;&gt;"Đủ",R242&lt;&gt;"Đủ"),"Thiếu ảnh; ","")&amp;IF(S242&lt;&gt;"Đạt","Lốp chưa đạt; ","")&amp;IF(N(W242)&gt;'THAM SỐ'!$B$27,"Có mặt quá giờ; ","")&amp;IF(N(X242)&gt;'THAM SỐ'!$B$25,"Lái quá giờ ngày; ","")&amp;IF(ISNUMBER(V242),IF(ABS(V242)&gt;'THAM SỐ'!$B$28,"Lệch km; ",""),"")))</f>
        <v/>
      </c>
      <c r="AM242" s="29"/>
      <c r="AN242" s="30"/>
      <c r="AO242" s="28" t="str">
        <f t="shared" si="39"/>
        <v/>
      </c>
      <c r="AP242" s="21" t="str">
        <f>IF(OR($A242="",AO242=""),"",IF(AG242=0,0,ROUND((AC242*'THAM SỐ'!$B$18+AD242*'THAM SỐ'!$B$19+AE242*'THAM SỐ'!$B$20+AF242*'THAM SỐ'!$B$21)*MIN(1,AO242/AG242),0)))</f>
        <v/>
      </c>
      <c r="AQ242" s="18"/>
    </row>
    <row r="243" spans="1:43" x14ac:dyDescent="0.45">
      <c r="A243" s="17"/>
      <c r="B243" s="18"/>
      <c r="C243" s="18"/>
      <c r="D243" s="25"/>
      <c r="E243" s="26"/>
      <c r="F243" s="26"/>
      <c r="G243" s="20"/>
      <c r="H243" s="20"/>
      <c r="I243" s="18"/>
      <c r="J243" s="18"/>
      <c r="K243" s="18"/>
      <c r="L243" s="18"/>
      <c r="M243" s="18"/>
      <c r="N243" s="18"/>
      <c r="O243" s="18"/>
      <c r="P243" s="18"/>
      <c r="Q243" s="18"/>
      <c r="R243" s="18"/>
      <c r="S243" s="18"/>
      <c r="T243" s="16" t="str">
        <f>IF($A243="","",COUNTIFS('LỆNH ĐIỀU XE'!$B$5:$B$604,$A243,'LỆNH ĐIỀU XE'!$C$5:$C$604,$B243))</f>
        <v/>
      </c>
      <c r="U243" s="27" t="str">
        <f>IF($A243="","",SUMIFS('LỆNH ĐIỀU XE'!$J$5:$J$604,'LỆNH ĐIỀU XE'!$B$5:$B$604,$A243,'LỆNH ĐIỀU XE'!$C$5:$C$604,$B243))</f>
        <v/>
      </c>
      <c r="V243" s="22" t="str">
        <f t="shared" si="30"/>
        <v/>
      </c>
      <c r="W243" s="28" t="str">
        <f t="shared" si="31"/>
        <v/>
      </c>
      <c r="X243" s="28" t="str">
        <f t="shared" si="32"/>
        <v/>
      </c>
      <c r="Y243" s="28" t="str">
        <f t="shared" si="33"/>
        <v/>
      </c>
      <c r="Z243" s="22" t="str">
        <f t="shared" si="34"/>
        <v/>
      </c>
      <c r="AA243" s="28" t="str">
        <f t="shared" si="35"/>
        <v/>
      </c>
      <c r="AB243" s="28" t="str">
        <f t="shared" si="36"/>
        <v/>
      </c>
      <c r="AC243" s="28" t="str">
        <f>IF($A243="","",SUMIFS('CHẶNG TĂNG CA'!$E$5:$E$304,'CHẶNG TĂNG CA'!$A$5:$A$304,$A243,'CHẶNG TĂNG CA'!$B$5:$B$304,$B243))</f>
        <v/>
      </c>
      <c r="AD243" s="28" t="str">
        <f>IF($A243="","",SUMIFS('CHẶNG TĂNG CA'!$F$5:$F$304,'CHẶNG TĂNG CA'!$A$5:$A$304,$A243,'CHẶNG TĂNG CA'!$B$5:$B$304,$B243))</f>
        <v/>
      </c>
      <c r="AE243" s="28" t="str">
        <f>IF($A243="","",SUMIFS('CHẶNG TĂNG CA'!$G$5:$G$304,'CHẶNG TĂNG CA'!$A$5:$A$304,$A243,'CHẶNG TĂNG CA'!$B$5:$B$304,$B243))</f>
        <v/>
      </c>
      <c r="AF243" s="28" t="str">
        <f>IF($A243="","",SUMIFS('CHẶNG TĂNG CA'!$H$5:$H$304,'CHẶNG TĂNG CA'!$A$5:$A$304,$A243,'CHẶNG TĂNG CA'!$B$5:$B$304,$B243))</f>
        <v/>
      </c>
      <c r="AG243" s="28" t="str">
        <f t="shared" si="37"/>
        <v/>
      </c>
      <c r="AH243" s="16" t="str">
        <f>IF($A243="","",IF(COUNTIFS('LỆNH ĐIỀU XE'!$B$5:$B$604,$A243,'LỆNH ĐIỀU XE'!$C$5:$C$604,$B243,'LỆNH ĐIỀU XE'!$N$5:$N$604,"Có")&gt;0,"Có","Không"))</f>
        <v/>
      </c>
      <c r="AI243" s="16" t="str">
        <f>IF(OR($A243="",H243="",N(T243)=0),"",IF(_xlfn.MAXIFS('LỆNH ĐIỀU XE'!$U$5:$U$604,'LỆNH ĐIỀU XE'!$B$5:$B$604,$A243,'LỆNH ĐIỀU XE'!$C$5:$C$604,$B243)=0,"",ROUND((H243+(H243&lt;4/24)-_xlfn.MAXIFS('LỆNH ĐIỀU XE'!$U$5:$U$604,'LỆNH ĐIỀU XE'!$B$5:$B$604,$A243,'LỆNH ĐIỀU XE'!$C$5:$C$604,$B243))*1440,0)))</f>
        <v/>
      </c>
      <c r="AJ243" s="16" t="str">
        <f>IF($A243="","",IF(OR(AI243="",V243=""),"Thiếu dữ liệu",IF(AND(AI243&lt;='THAM SỐ'!$B$29,ABS(V243)&lt;='THAM SỐ'!$B$28),"Đạt","Không đạt")))</f>
        <v/>
      </c>
      <c r="AK243" s="16" t="str">
        <f t="shared" si="38"/>
        <v/>
      </c>
      <c r="AL243" s="16" t="str">
        <f>IF($A243="","",TRIM(IF(T243=0,"Không có lệnh; ","")&amp;IF(N(N243)&gt;0,"Dừng ngoài lệnh; ","")&amp;IF(N(J243)&gt;0,"Quá tốc độ; ","")&amp;IF(N(K243)&gt;0,"Lái quá 4h; ","")&amp;IF(N(L243)&gt;0,"Không tắt máy; ","")&amp;IF(OR(P243&lt;&gt;"Đủ",Q243&lt;&gt;"Đủ",R243&lt;&gt;"Đủ"),"Thiếu ảnh; ","")&amp;IF(S243&lt;&gt;"Đạt","Lốp chưa đạt; ","")&amp;IF(N(W243)&gt;'THAM SỐ'!$B$27,"Có mặt quá giờ; ","")&amp;IF(N(X243)&gt;'THAM SỐ'!$B$25,"Lái quá giờ ngày; ","")&amp;IF(ISNUMBER(V243),IF(ABS(V243)&gt;'THAM SỐ'!$B$28,"Lệch km; ",""),"")))</f>
        <v/>
      </c>
      <c r="AM243" s="29"/>
      <c r="AN243" s="30"/>
      <c r="AO243" s="28" t="str">
        <f t="shared" si="39"/>
        <v/>
      </c>
      <c r="AP243" s="21" t="str">
        <f>IF(OR($A243="",AO243=""),"",IF(AG243=0,0,ROUND((AC243*'THAM SỐ'!$B$18+AD243*'THAM SỐ'!$B$19+AE243*'THAM SỐ'!$B$20+AF243*'THAM SỐ'!$B$21)*MIN(1,AO243/AG243),0)))</f>
        <v/>
      </c>
      <c r="AQ243" s="18"/>
    </row>
    <row r="244" spans="1:43" x14ac:dyDescent="0.45">
      <c r="A244" s="17"/>
      <c r="B244" s="18"/>
      <c r="C244" s="18"/>
      <c r="D244" s="25"/>
      <c r="E244" s="26"/>
      <c r="F244" s="26"/>
      <c r="G244" s="20"/>
      <c r="H244" s="20"/>
      <c r="I244" s="18"/>
      <c r="J244" s="18"/>
      <c r="K244" s="18"/>
      <c r="L244" s="18"/>
      <c r="M244" s="18"/>
      <c r="N244" s="18"/>
      <c r="O244" s="18"/>
      <c r="P244" s="18"/>
      <c r="Q244" s="18"/>
      <c r="R244" s="18"/>
      <c r="S244" s="18"/>
      <c r="T244" s="16" t="str">
        <f>IF($A244="","",COUNTIFS('LỆNH ĐIỀU XE'!$B$5:$B$604,$A244,'LỆNH ĐIỀU XE'!$C$5:$C$604,$B244))</f>
        <v/>
      </c>
      <c r="U244" s="27" t="str">
        <f>IF($A244="","",SUMIFS('LỆNH ĐIỀU XE'!$J$5:$J$604,'LỆNH ĐIỀU XE'!$B$5:$B$604,$A244,'LỆNH ĐIỀU XE'!$C$5:$C$604,$B244))</f>
        <v/>
      </c>
      <c r="V244" s="22" t="str">
        <f t="shared" si="30"/>
        <v/>
      </c>
      <c r="W244" s="28" t="str">
        <f t="shared" si="31"/>
        <v/>
      </c>
      <c r="X244" s="28" t="str">
        <f t="shared" si="32"/>
        <v/>
      </c>
      <c r="Y244" s="28" t="str">
        <f t="shared" si="33"/>
        <v/>
      </c>
      <c r="Z244" s="22" t="str">
        <f t="shared" si="34"/>
        <v/>
      </c>
      <c r="AA244" s="28" t="str">
        <f t="shared" si="35"/>
        <v/>
      </c>
      <c r="AB244" s="28" t="str">
        <f t="shared" si="36"/>
        <v/>
      </c>
      <c r="AC244" s="28" t="str">
        <f>IF($A244="","",SUMIFS('CHẶNG TĂNG CA'!$E$5:$E$304,'CHẶNG TĂNG CA'!$A$5:$A$304,$A244,'CHẶNG TĂNG CA'!$B$5:$B$304,$B244))</f>
        <v/>
      </c>
      <c r="AD244" s="28" t="str">
        <f>IF($A244="","",SUMIFS('CHẶNG TĂNG CA'!$F$5:$F$304,'CHẶNG TĂNG CA'!$A$5:$A$304,$A244,'CHẶNG TĂNG CA'!$B$5:$B$304,$B244))</f>
        <v/>
      </c>
      <c r="AE244" s="28" t="str">
        <f>IF($A244="","",SUMIFS('CHẶNG TĂNG CA'!$G$5:$G$304,'CHẶNG TĂNG CA'!$A$5:$A$304,$A244,'CHẶNG TĂNG CA'!$B$5:$B$304,$B244))</f>
        <v/>
      </c>
      <c r="AF244" s="28" t="str">
        <f>IF($A244="","",SUMIFS('CHẶNG TĂNG CA'!$H$5:$H$304,'CHẶNG TĂNG CA'!$A$5:$A$304,$A244,'CHẶNG TĂNG CA'!$B$5:$B$304,$B244))</f>
        <v/>
      </c>
      <c r="AG244" s="28" t="str">
        <f t="shared" si="37"/>
        <v/>
      </c>
      <c r="AH244" s="16" t="str">
        <f>IF($A244="","",IF(COUNTIFS('LỆNH ĐIỀU XE'!$B$5:$B$604,$A244,'LỆNH ĐIỀU XE'!$C$5:$C$604,$B244,'LỆNH ĐIỀU XE'!$N$5:$N$604,"Có")&gt;0,"Có","Không"))</f>
        <v/>
      </c>
      <c r="AI244" s="16" t="str">
        <f>IF(OR($A244="",H244="",N(T244)=0),"",IF(_xlfn.MAXIFS('LỆNH ĐIỀU XE'!$U$5:$U$604,'LỆNH ĐIỀU XE'!$B$5:$B$604,$A244,'LỆNH ĐIỀU XE'!$C$5:$C$604,$B244)=0,"",ROUND((H244+(H244&lt;4/24)-_xlfn.MAXIFS('LỆNH ĐIỀU XE'!$U$5:$U$604,'LỆNH ĐIỀU XE'!$B$5:$B$604,$A244,'LỆNH ĐIỀU XE'!$C$5:$C$604,$B244))*1440,0)))</f>
        <v/>
      </c>
      <c r="AJ244" s="16" t="str">
        <f>IF($A244="","",IF(OR(AI244="",V244=""),"Thiếu dữ liệu",IF(AND(AI244&lt;='THAM SỐ'!$B$29,ABS(V244)&lt;='THAM SỐ'!$B$28),"Đạt","Không đạt")))</f>
        <v/>
      </c>
      <c r="AK244" s="16" t="str">
        <f t="shared" si="38"/>
        <v/>
      </c>
      <c r="AL244" s="16" t="str">
        <f>IF($A244="","",TRIM(IF(T244=0,"Không có lệnh; ","")&amp;IF(N(N244)&gt;0,"Dừng ngoài lệnh; ","")&amp;IF(N(J244)&gt;0,"Quá tốc độ; ","")&amp;IF(N(K244)&gt;0,"Lái quá 4h; ","")&amp;IF(N(L244)&gt;0,"Không tắt máy; ","")&amp;IF(OR(P244&lt;&gt;"Đủ",Q244&lt;&gt;"Đủ",R244&lt;&gt;"Đủ"),"Thiếu ảnh; ","")&amp;IF(S244&lt;&gt;"Đạt","Lốp chưa đạt; ","")&amp;IF(N(W244)&gt;'THAM SỐ'!$B$27,"Có mặt quá giờ; ","")&amp;IF(N(X244)&gt;'THAM SỐ'!$B$25,"Lái quá giờ ngày; ","")&amp;IF(ISNUMBER(V244),IF(ABS(V244)&gt;'THAM SỐ'!$B$28,"Lệch km; ",""),"")))</f>
        <v/>
      </c>
      <c r="AM244" s="29"/>
      <c r="AN244" s="30"/>
      <c r="AO244" s="28" t="str">
        <f t="shared" si="39"/>
        <v/>
      </c>
      <c r="AP244" s="21" t="str">
        <f>IF(OR($A244="",AO244=""),"",IF(AG244=0,0,ROUND((AC244*'THAM SỐ'!$B$18+AD244*'THAM SỐ'!$B$19+AE244*'THAM SỐ'!$B$20+AF244*'THAM SỐ'!$B$21)*MIN(1,AO244/AG244),0)))</f>
        <v/>
      </c>
      <c r="AQ244" s="18"/>
    </row>
    <row r="245" spans="1:43" x14ac:dyDescent="0.45">
      <c r="A245" s="17"/>
      <c r="B245" s="18"/>
      <c r="C245" s="18"/>
      <c r="D245" s="25"/>
      <c r="E245" s="26"/>
      <c r="F245" s="26"/>
      <c r="G245" s="20"/>
      <c r="H245" s="20"/>
      <c r="I245" s="18"/>
      <c r="J245" s="18"/>
      <c r="K245" s="18"/>
      <c r="L245" s="18"/>
      <c r="M245" s="18"/>
      <c r="N245" s="18"/>
      <c r="O245" s="18"/>
      <c r="P245" s="18"/>
      <c r="Q245" s="18"/>
      <c r="R245" s="18"/>
      <c r="S245" s="18"/>
      <c r="T245" s="16" t="str">
        <f>IF($A245="","",COUNTIFS('LỆNH ĐIỀU XE'!$B$5:$B$604,$A245,'LỆNH ĐIỀU XE'!$C$5:$C$604,$B245))</f>
        <v/>
      </c>
      <c r="U245" s="27" t="str">
        <f>IF($A245="","",SUMIFS('LỆNH ĐIỀU XE'!$J$5:$J$604,'LỆNH ĐIỀU XE'!$B$5:$B$604,$A245,'LỆNH ĐIỀU XE'!$C$5:$C$604,$B245))</f>
        <v/>
      </c>
      <c r="V245" s="22" t="str">
        <f t="shared" si="30"/>
        <v/>
      </c>
      <c r="W245" s="28" t="str">
        <f t="shared" si="31"/>
        <v/>
      </c>
      <c r="X245" s="28" t="str">
        <f t="shared" si="32"/>
        <v/>
      </c>
      <c r="Y245" s="28" t="str">
        <f t="shared" si="33"/>
        <v/>
      </c>
      <c r="Z245" s="22" t="str">
        <f t="shared" si="34"/>
        <v/>
      </c>
      <c r="AA245" s="28" t="str">
        <f t="shared" si="35"/>
        <v/>
      </c>
      <c r="AB245" s="28" t="str">
        <f t="shared" si="36"/>
        <v/>
      </c>
      <c r="AC245" s="28" t="str">
        <f>IF($A245="","",SUMIFS('CHẶNG TĂNG CA'!$E$5:$E$304,'CHẶNG TĂNG CA'!$A$5:$A$304,$A245,'CHẶNG TĂNG CA'!$B$5:$B$304,$B245))</f>
        <v/>
      </c>
      <c r="AD245" s="28" t="str">
        <f>IF($A245="","",SUMIFS('CHẶNG TĂNG CA'!$F$5:$F$304,'CHẶNG TĂNG CA'!$A$5:$A$304,$A245,'CHẶNG TĂNG CA'!$B$5:$B$304,$B245))</f>
        <v/>
      </c>
      <c r="AE245" s="28" t="str">
        <f>IF($A245="","",SUMIFS('CHẶNG TĂNG CA'!$G$5:$G$304,'CHẶNG TĂNG CA'!$A$5:$A$304,$A245,'CHẶNG TĂNG CA'!$B$5:$B$304,$B245))</f>
        <v/>
      </c>
      <c r="AF245" s="28" t="str">
        <f>IF($A245="","",SUMIFS('CHẶNG TĂNG CA'!$H$5:$H$304,'CHẶNG TĂNG CA'!$A$5:$A$304,$A245,'CHẶNG TĂNG CA'!$B$5:$B$304,$B245))</f>
        <v/>
      </c>
      <c r="AG245" s="28" t="str">
        <f t="shared" si="37"/>
        <v/>
      </c>
      <c r="AH245" s="16" t="str">
        <f>IF($A245="","",IF(COUNTIFS('LỆNH ĐIỀU XE'!$B$5:$B$604,$A245,'LỆNH ĐIỀU XE'!$C$5:$C$604,$B245,'LỆNH ĐIỀU XE'!$N$5:$N$604,"Có")&gt;0,"Có","Không"))</f>
        <v/>
      </c>
      <c r="AI245" s="16" t="str">
        <f>IF(OR($A245="",H245="",N(T245)=0),"",IF(_xlfn.MAXIFS('LỆNH ĐIỀU XE'!$U$5:$U$604,'LỆNH ĐIỀU XE'!$B$5:$B$604,$A245,'LỆNH ĐIỀU XE'!$C$5:$C$604,$B245)=0,"",ROUND((H245+(H245&lt;4/24)-_xlfn.MAXIFS('LỆNH ĐIỀU XE'!$U$5:$U$604,'LỆNH ĐIỀU XE'!$B$5:$B$604,$A245,'LỆNH ĐIỀU XE'!$C$5:$C$604,$B245))*1440,0)))</f>
        <v/>
      </c>
      <c r="AJ245" s="16" t="str">
        <f>IF($A245="","",IF(OR(AI245="",V245=""),"Thiếu dữ liệu",IF(AND(AI245&lt;='THAM SỐ'!$B$29,ABS(V245)&lt;='THAM SỐ'!$B$28),"Đạt","Không đạt")))</f>
        <v/>
      </c>
      <c r="AK245" s="16" t="str">
        <f t="shared" si="38"/>
        <v/>
      </c>
      <c r="AL245" s="16" t="str">
        <f>IF($A245="","",TRIM(IF(T245=0,"Không có lệnh; ","")&amp;IF(N(N245)&gt;0,"Dừng ngoài lệnh; ","")&amp;IF(N(J245)&gt;0,"Quá tốc độ; ","")&amp;IF(N(K245)&gt;0,"Lái quá 4h; ","")&amp;IF(N(L245)&gt;0,"Không tắt máy; ","")&amp;IF(OR(P245&lt;&gt;"Đủ",Q245&lt;&gt;"Đủ",R245&lt;&gt;"Đủ"),"Thiếu ảnh; ","")&amp;IF(S245&lt;&gt;"Đạt","Lốp chưa đạt; ","")&amp;IF(N(W245)&gt;'THAM SỐ'!$B$27,"Có mặt quá giờ; ","")&amp;IF(N(X245)&gt;'THAM SỐ'!$B$25,"Lái quá giờ ngày; ","")&amp;IF(ISNUMBER(V245),IF(ABS(V245)&gt;'THAM SỐ'!$B$28,"Lệch km; ",""),"")))</f>
        <v/>
      </c>
      <c r="AM245" s="29"/>
      <c r="AN245" s="30"/>
      <c r="AO245" s="28" t="str">
        <f t="shared" si="39"/>
        <v/>
      </c>
      <c r="AP245" s="21" t="str">
        <f>IF(OR($A245="",AO245=""),"",IF(AG245=0,0,ROUND((AC245*'THAM SỐ'!$B$18+AD245*'THAM SỐ'!$B$19+AE245*'THAM SỐ'!$B$20+AF245*'THAM SỐ'!$B$21)*MIN(1,AO245/AG245),0)))</f>
        <v/>
      </c>
      <c r="AQ245" s="18"/>
    </row>
    <row r="246" spans="1:43" x14ac:dyDescent="0.45">
      <c r="A246" s="17"/>
      <c r="B246" s="18"/>
      <c r="C246" s="18"/>
      <c r="D246" s="25"/>
      <c r="E246" s="26"/>
      <c r="F246" s="26"/>
      <c r="G246" s="20"/>
      <c r="H246" s="20"/>
      <c r="I246" s="18"/>
      <c r="J246" s="18"/>
      <c r="K246" s="18"/>
      <c r="L246" s="18"/>
      <c r="M246" s="18"/>
      <c r="N246" s="18"/>
      <c r="O246" s="18"/>
      <c r="P246" s="18"/>
      <c r="Q246" s="18"/>
      <c r="R246" s="18"/>
      <c r="S246" s="18"/>
      <c r="T246" s="16" t="str">
        <f>IF($A246="","",COUNTIFS('LỆNH ĐIỀU XE'!$B$5:$B$604,$A246,'LỆNH ĐIỀU XE'!$C$5:$C$604,$B246))</f>
        <v/>
      </c>
      <c r="U246" s="27" t="str">
        <f>IF($A246="","",SUMIFS('LỆNH ĐIỀU XE'!$J$5:$J$604,'LỆNH ĐIỀU XE'!$B$5:$B$604,$A246,'LỆNH ĐIỀU XE'!$C$5:$C$604,$B246))</f>
        <v/>
      </c>
      <c r="V246" s="22" t="str">
        <f t="shared" si="30"/>
        <v/>
      </c>
      <c r="W246" s="28" t="str">
        <f t="shared" si="31"/>
        <v/>
      </c>
      <c r="X246" s="28" t="str">
        <f t="shared" si="32"/>
        <v/>
      </c>
      <c r="Y246" s="28" t="str">
        <f t="shared" si="33"/>
        <v/>
      </c>
      <c r="Z246" s="22" t="str">
        <f t="shared" si="34"/>
        <v/>
      </c>
      <c r="AA246" s="28" t="str">
        <f t="shared" si="35"/>
        <v/>
      </c>
      <c r="AB246" s="28" t="str">
        <f t="shared" si="36"/>
        <v/>
      </c>
      <c r="AC246" s="28" t="str">
        <f>IF($A246="","",SUMIFS('CHẶNG TĂNG CA'!$E$5:$E$304,'CHẶNG TĂNG CA'!$A$5:$A$304,$A246,'CHẶNG TĂNG CA'!$B$5:$B$304,$B246))</f>
        <v/>
      </c>
      <c r="AD246" s="28" t="str">
        <f>IF($A246="","",SUMIFS('CHẶNG TĂNG CA'!$F$5:$F$304,'CHẶNG TĂNG CA'!$A$5:$A$304,$A246,'CHẶNG TĂNG CA'!$B$5:$B$304,$B246))</f>
        <v/>
      </c>
      <c r="AE246" s="28" t="str">
        <f>IF($A246="","",SUMIFS('CHẶNG TĂNG CA'!$G$5:$G$304,'CHẶNG TĂNG CA'!$A$5:$A$304,$A246,'CHẶNG TĂNG CA'!$B$5:$B$304,$B246))</f>
        <v/>
      </c>
      <c r="AF246" s="28" t="str">
        <f>IF($A246="","",SUMIFS('CHẶNG TĂNG CA'!$H$5:$H$304,'CHẶNG TĂNG CA'!$A$5:$A$304,$A246,'CHẶNG TĂNG CA'!$B$5:$B$304,$B246))</f>
        <v/>
      </c>
      <c r="AG246" s="28" t="str">
        <f t="shared" si="37"/>
        <v/>
      </c>
      <c r="AH246" s="16" t="str">
        <f>IF($A246="","",IF(COUNTIFS('LỆNH ĐIỀU XE'!$B$5:$B$604,$A246,'LỆNH ĐIỀU XE'!$C$5:$C$604,$B246,'LỆNH ĐIỀU XE'!$N$5:$N$604,"Có")&gt;0,"Có","Không"))</f>
        <v/>
      </c>
      <c r="AI246" s="16" t="str">
        <f>IF(OR($A246="",H246="",N(T246)=0),"",IF(_xlfn.MAXIFS('LỆNH ĐIỀU XE'!$U$5:$U$604,'LỆNH ĐIỀU XE'!$B$5:$B$604,$A246,'LỆNH ĐIỀU XE'!$C$5:$C$604,$B246)=0,"",ROUND((H246+(H246&lt;4/24)-_xlfn.MAXIFS('LỆNH ĐIỀU XE'!$U$5:$U$604,'LỆNH ĐIỀU XE'!$B$5:$B$604,$A246,'LỆNH ĐIỀU XE'!$C$5:$C$604,$B246))*1440,0)))</f>
        <v/>
      </c>
      <c r="AJ246" s="16" t="str">
        <f>IF($A246="","",IF(OR(AI246="",V246=""),"Thiếu dữ liệu",IF(AND(AI246&lt;='THAM SỐ'!$B$29,ABS(V246)&lt;='THAM SỐ'!$B$28),"Đạt","Không đạt")))</f>
        <v/>
      </c>
      <c r="AK246" s="16" t="str">
        <f t="shared" si="38"/>
        <v/>
      </c>
      <c r="AL246" s="16" t="str">
        <f>IF($A246="","",TRIM(IF(T246=0,"Không có lệnh; ","")&amp;IF(N(N246)&gt;0,"Dừng ngoài lệnh; ","")&amp;IF(N(J246)&gt;0,"Quá tốc độ; ","")&amp;IF(N(K246)&gt;0,"Lái quá 4h; ","")&amp;IF(N(L246)&gt;0,"Không tắt máy; ","")&amp;IF(OR(P246&lt;&gt;"Đủ",Q246&lt;&gt;"Đủ",R246&lt;&gt;"Đủ"),"Thiếu ảnh; ","")&amp;IF(S246&lt;&gt;"Đạt","Lốp chưa đạt; ","")&amp;IF(N(W246)&gt;'THAM SỐ'!$B$27,"Có mặt quá giờ; ","")&amp;IF(N(X246)&gt;'THAM SỐ'!$B$25,"Lái quá giờ ngày; ","")&amp;IF(ISNUMBER(V246),IF(ABS(V246)&gt;'THAM SỐ'!$B$28,"Lệch km; ",""),"")))</f>
        <v/>
      </c>
      <c r="AM246" s="29"/>
      <c r="AN246" s="30"/>
      <c r="AO246" s="28" t="str">
        <f t="shared" si="39"/>
        <v/>
      </c>
      <c r="AP246" s="21" t="str">
        <f>IF(OR($A246="",AO246=""),"",IF(AG246=0,0,ROUND((AC246*'THAM SỐ'!$B$18+AD246*'THAM SỐ'!$B$19+AE246*'THAM SỐ'!$B$20+AF246*'THAM SỐ'!$B$21)*MIN(1,AO246/AG246),0)))</f>
        <v/>
      </c>
      <c r="AQ246" s="18"/>
    </row>
    <row r="247" spans="1:43" x14ac:dyDescent="0.45">
      <c r="A247" s="17"/>
      <c r="B247" s="18"/>
      <c r="C247" s="18"/>
      <c r="D247" s="25"/>
      <c r="E247" s="26"/>
      <c r="F247" s="26"/>
      <c r="G247" s="20"/>
      <c r="H247" s="20"/>
      <c r="I247" s="18"/>
      <c r="J247" s="18"/>
      <c r="K247" s="18"/>
      <c r="L247" s="18"/>
      <c r="M247" s="18"/>
      <c r="N247" s="18"/>
      <c r="O247" s="18"/>
      <c r="P247" s="18"/>
      <c r="Q247" s="18"/>
      <c r="R247" s="18"/>
      <c r="S247" s="18"/>
      <c r="T247" s="16" t="str">
        <f>IF($A247="","",COUNTIFS('LỆNH ĐIỀU XE'!$B$5:$B$604,$A247,'LỆNH ĐIỀU XE'!$C$5:$C$604,$B247))</f>
        <v/>
      </c>
      <c r="U247" s="27" t="str">
        <f>IF($A247="","",SUMIFS('LỆNH ĐIỀU XE'!$J$5:$J$604,'LỆNH ĐIỀU XE'!$B$5:$B$604,$A247,'LỆNH ĐIỀU XE'!$C$5:$C$604,$B247))</f>
        <v/>
      </c>
      <c r="V247" s="22" t="str">
        <f t="shared" si="30"/>
        <v/>
      </c>
      <c r="W247" s="28" t="str">
        <f t="shared" si="31"/>
        <v/>
      </c>
      <c r="X247" s="28" t="str">
        <f t="shared" si="32"/>
        <v/>
      </c>
      <c r="Y247" s="28" t="str">
        <f t="shared" si="33"/>
        <v/>
      </c>
      <c r="Z247" s="22" t="str">
        <f t="shared" si="34"/>
        <v/>
      </c>
      <c r="AA247" s="28" t="str">
        <f t="shared" si="35"/>
        <v/>
      </c>
      <c r="AB247" s="28" t="str">
        <f t="shared" si="36"/>
        <v/>
      </c>
      <c r="AC247" s="28" t="str">
        <f>IF($A247="","",SUMIFS('CHẶNG TĂNG CA'!$E$5:$E$304,'CHẶNG TĂNG CA'!$A$5:$A$304,$A247,'CHẶNG TĂNG CA'!$B$5:$B$304,$B247))</f>
        <v/>
      </c>
      <c r="AD247" s="28" t="str">
        <f>IF($A247="","",SUMIFS('CHẶNG TĂNG CA'!$F$5:$F$304,'CHẶNG TĂNG CA'!$A$5:$A$304,$A247,'CHẶNG TĂNG CA'!$B$5:$B$304,$B247))</f>
        <v/>
      </c>
      <c r="AE247" s="28" t="str">
        <f>IF($A247="","",SUMIFS('CHẶNG TĂNG CA'!$G$5:$G$304,'CHẶNG TĂNG CA'!$A$5:$A$304,$A247,'CHẶNG TĂNG CA'!$B$5:$B$304,$B247))</f>
        <v/>
      </c>
      <c r="AF247" s="28" t="str">
        <f>IF($A247="","",SUMIFS('CHẶNG TĂNG CA'!$H$5:$H$304,'CHẶNG TĂNG CA'!$A$5:$A$304,$A247,'CHẶNG TĂNG CA'!$B$5:$B$304,$B247))</f>
        <v/>
      </c>
      <c r="AG247" s="28" t="str">
        <f t="shared" si="37"/>
        <v/>
      </c>
      <c r="AH247" s="16" t="str">
        <f>IF($A247="","",IF(COUNTIFS('LỆNH ĐIỀU XE'!$B$5:$B$604,$A247,'LỆNH ĐIỀU XE'!$C$5:$C$604,$B247,'LỆNH ĐIỀU XE'!$N$5:$N$604,"Có")&gt;0,"Có","Không"))</f>
        <v/>
      </c>
      <c r="AI247" s="16" t="str">
        <f>IF(OR($A247="",H247="",N(T247)=0),"",IF(_xlfn.MAXIFS('LỆNH ĐIỀU XE'!$U$5:$U$604,'LỆNH ĐIỀU XE'!$B$5:$B$604,$A247,'LỆNH ĐIỀU XE'!$C$5:$C$604,$B247)=0,"",ROUND((H247+(H247&lt;4/24)-_xlfn.MAXIFS('LỆNH ĐIỀU XE'!$U$5:$U$604,'LỆNH ĐIỀU XE'!$B$5:$B$604,$A247,'LỆNH ĐIỀU XE'!$C$5:$C$604,$B247))*1440,0)))</f>
        <v/>
      </c>
      <c r="AJ247" s="16" t="str">
        <f>IF($A247="","",IF(OR(AI247="",V247=""),"Thiếu dữ liệu",IF(AND(AI247&lt;='THAM SỐ'!$B$29,ABS(V247)&lt;='THAM SỐ'!$B$28),"Đạt","Không đạt")))</f>
        <v/>
      </c>
      <c r="AK247" s="16" t="str">
        <f t="shared" si="38"/>
        <v/>
      </c>
      <c r="AL247" s="16" t="str">
        <f>IF($A247="","",TRIM(IF(T247=0,"Không có lệnh; ","")&amp;IF(N(N247)&gt;0,"Dừng ngoài lệnh; ","")&amp;IF(N(J247)&gt;0,"Quá tốc độ; ","")&amp;IF(N(K247)&gt;0,"Lái quá 4h; ","")&amp;IF(N(L247)&gt;0,"Không tắt máy; ","")&amp;IF(OR(P247&lt;&gt;"Đủ",Q247&lt;&gt;"Đủ",R247&lt;&gt;"Đủ"),"Thiếu ảnh; ","")&amp;IF(S247&lt;&gt;"Đạt","Lốp chưa đạt; ","")&amp;IF(N(W247)&gt;'THAM SỐ'!$B$27,"Có mặt quá giờ; ","")&amp;IF(N(X247)&gt;'THAM SỐ'!$B$25,"Lái quá giờ ngày; ","")&amp;IF(ISNUMBER(V247),IF(ABS(V247)&gt;'THAM SỐ'!$B$28,"Lệch km; ",""),"")))</f>
        <v/>
      </c>
      <c r="AM247" s="29"/>
      <c r="AN247" s="30"/>
      <c r="AO247" s="28" t="str">
        <f t="shared" si="39"/>
        <v/>
      </c>
      <c r="AP247" s="21" t="str">
        <f>IF(OR($A247="",AO247=""),"",IF(AG247=0,0,ROUND((AC247*'THAM SỐ'!$B$18+AD247*'THAM SỐ'!$B$19+AE247*'THAM SỐ'!$B$20+AF247*'THAM SỐ'!$B$21)*MIN(1,AO247/AG247),0)))</f>
        <v/>
      </c>
      <c r="AQ247" s="18"/>
    </row>
    <row r="248" spans="1:43" x14ac:dyDescent="0.45">
      <c r="A248" s="17"/>
      <c r="B248" s="18"/>
      <c r="C248" s="18"/>
      <c r="D248" s="25"/>
      <c r="E248" s="26"/>
      <c r="F248" s="26"/>
      <c r="G248" s="20"/>
      <c r="H248" s="20"/>
      <c r="I248" s="18"/>
      <c r="J248" s="18"/>
      <c r="K248" s="18"/>
      <c r="L248" s="18"/>
      <c r="M248" s="18"/>
      <c r="N248" s="18"/>
      <c r="O248" s="18"/>
      <c r="P248" s="18"/>
      <c r="Q248" s="18"/>
      <c r="R248" s="18"/>
      <c r="S248" s="18"/>
      <c r="T248" s="16" t="str">
        <f>IF($A248="","",COUNTIFS('LỆNH ĐIỀU XE'!$B$5:$B$604,$A248,'LỆNH ĐIỀU XE'!$C$5:$C$604,$B248))</f>
        <v/>
      </c>
      <c r="U248" s="27" t="str">
        <f>IF($A248="","",SUMIFS('LỆNH ĐIỀU XE'!$J$5:$J$604,'LỆNH ĐIỀU XE'!$B$5:$B$604,$A248,'LỆNH ĐIỀU XE'!$C$5:$C$604,$B248))</f>
        <v/>
      </c>
      <c r="V248" s="22" t="str">
        <f t="shared" si="30"/>
        <v/>
      </c>
      <c r="W248" s="28" t="str">
        <f t="shared" si="31"/>
        <v/>
      </c>
      <c r="X248" s="28" t="str">
        <f t="shared" si="32"/>
        <v/>
      </c>
      <c r="Y248" s="28" t="str">
        <f t="shared" si="33"/>
        <v/>
      </c>
      <c r="Z248" s="22" t="str">
        <f t="shared" si="34"/>
        <v/>
      </c>
      <c r="AA248" s="28" t="str">
        <f t="shared" si="35"/>
        <v/>
      </c>
      <c r="AB248" s="28" t="str">
        <f t="shared" si="36"/>
        <v/>
      </c>
      <c r="AC248" s="28" t="str">
        <f>IF($A248="","",SUMIFS('CHẶNG TĂNG CA'!$E$5:$E$304,'CHẶNG TĂNG CA'!$A$5:$A$304,$A248,'CHẶNG TĂNG CA'!$B$5:$B$304,$B248))</f>
        <v/>
      </c>
      <c r="AD248" s="28" t="str">
        <f>IF($A248="","",SUMIFS('CHẶNG TĂNG CA'!$F$5:$F$304,'CHẶNG TĂNG CA'!$A$5:$A$304,$A248,'CHẶNG TĂNG CA'!$B$5:$B$304,$B248))</f>
        <v/>
      </c>
      <c r="AE248" s="28" t="str">
        <f>IF($A248="","",SUMIFS('CHẶNG TĂNG CA'!$G$5:$G$304,'CHẶNG TĂNG CA'!$A$5:$A$304,$A248,'CHẶNG TĂNG CA'!$B$5:$B$304,$B248))</f>
        <v/>
      </c>
      <c r="AF248" s="28" t="str">
        <f>IF($A248="","",SUMIFS('CHẶNG TĂNG CA'!$H$5:$H$304,'CHẶNG TĂNG CA'!$A$5:$A$304,$A248,'CHẶNG TĂNG CA'!$B$5:$B$304,$B248))</f>
        <v/>
      </c>
      <c r="AG248" s="28" t="str">
        <f t="shared" si="37"/>
        <v/>
      </c>
      <c r="AH248" s="16" t="str">
        <f>IF($A248="","",IF(COUNTIFS('LỆNH ĐIỀU XE'!$B$5:$B$604,$A248,'LỆNH ĐIỀU XE'!$C$5:$C$604,$B248,'LỆNH ĐIỀU XE'!$N$5:$N$604,"Có")&gt;0,"Có","Không"))</f>
        <v/>
      </c>
      <c r="AI248" s="16" t="str">
        <f>IF(OR($A248="",H248="",N(T248)=0),"",IF(_xlfn.MAXIFS('LỆNH ĐIỀU XE'!$U$5:$U$604,'LỆNH ĐIỀU XE'!$B$5:$B$604,$A248,'LỆNH ĐIỀU XE'!$C$5:$C$604,$B248)=0,"",ROUND((H248+(H248&lt;4/24)-_xlfn.MAXIFS('LỆNH ĐIỀU XE'!$U$5:$U$604,'LỆNH ĐIỀU XE'!$B$5:$B$604,$A248,'LỆNH ĐIỀU XE'!$C$5:$C$604,$B248))*1440,0)))</f>
        <v/>
      </c>
      <c r="AJ248" s="16" t="str">
        <f>IF($A248="","",IF(OR(AI248="",V248=""),"Thiếu dữ liệu",IF(AND(AI248&lt;='THAM SỐ'!$B$29,ABS(V248)&lt;='THAM SỐ'!$B$28),"Đạt","Không đạt")))</f>
        <v/>
      </c>
      <c r="AK248" s="16" t="str">
        <f t="shared" si="38"/>
        <v/>
      </c>
      <c r="AL248" s="16" t="str">
        <f>IF($A248="","",TRIM(IF(T248=0,"Không có lệnh; ","")&amp;IF(N(N248)&gt;0,"Dừng ngoài lệnh; ","")&amp;IF(N(J248)&gt;0,"Quá tốc độ; ","")&amp;IF(N(K248)&gt;0,"Lái quá 4h; ","")&amp;IF(N(L248)&gt;0,"Không tắt máy; ","")&amp;IF(OR(P248&lt;&gt;"Đủ",Q248&lt;&gt;"Đủ",R248&lt;&gt;"Đủ"),"Thiếu ảnh; ","")&amp;IF(S248&lt;&gt;"Đạt","Lốp chưa đạt; ","")&amp;IF(N(W248)&gt;'THAM SỐ'!$B$27,"Có mặt quá giờ; ","")&amp;IF(N(X248)&gt;'THAM SỐ'!$B$25,"Lái quá giờ ngày; ","")&amp;IF(ISNUMBER(V248),IF(ABS(V248)&gt;'THAM SỐ'!$B$28,"Lệch km; ",""),"")))</f>
        <v/>
      </c>
      <c r="AM248" s="29"/>
      <c r="AN248" s="30"/>
      <c r="AO248" s="28" t="str">
        <f t="shared" si="39"/>
        <v/>
      </c>
      <c r="AP248" s="21" t="str">
        <f>IF(OR($A248="",AO248=""),"",IF(AG248=0,0,ROUND((AC248*'THAM SỐ'!$B$18+AD248*'THAM SỐ'!$B$19+AE248*'THAM SỐ'!$B$20+AF248*'THAM SỐ'!$B$21)*MIN(1,AO248/AG248),0)))</f>
        <v/>
      </c>
      <c r="AQ248" s="18"/>
    </row>
    <row r="249" spans="1:43" x14ac:dyDescent="0.45">
      <c r="A249" s="17"/>
      <c r="B249" s="18"/>
      <c r="C249" s="18"/>
      <c r="D249" s="25"/>
      <c r="E249" s="26"/>
      <c r="F249" s="26"/>
      <c r="G249" s="20"/>
      <c r="H249" s="20"/>
      <c r="I249" s="18"/>
      <c r="J249" s="18"/>
      <c r="K249" s="18"/>
      <c r="L249" s="18"/>
      <c r="M249" s="18"/>
      <c r="N249" s="18"/>
      <c r="O249" s="18"/>
      <c r="P249" s="18"/>
      <c r="Q249" s="18"/>
      <c r="R249" s="18"/>
      <c r="S249" s="18"/>
      <c r="T249" s="16" t="str">
        <f>IF($A249="","",COUNTIFS('LỆNH ĐIỀU XE'!$B$5:$B$604,$A249,'LỆNH ĐIỀU XE'!$C$5:$C$604,$B249))</f>
        <v/>
      </c>
      <c r="U249" s="27" t="str">
        <f>IF($A249="","",SUMIFS('LỆNH ĐIỀU XE'!$J$5:$J$604,'LỆNH ĐIỀU XE'!$B$5:$B$604,$A249,'LỆNH ĐIỀU XE'!$C$5:$C$604,$B249))</f>
        <v/>
      </c>
      <c r="V249" s="22" t="str">
        <f t="shared" si="30"/>
        <v/>
      </c>
      <c r="W249" s="28" t="str">
        <f t="shared" si="31"/>
        <v/>
      </c>
      <c r="X249" s="28" t="str">
        <f t="shared" si="32"/>
        <v/>
      </c>
      <c r="Y249" s="28" t="str">
        <f t="shared" si="33"/>
        <v/>
      </c>
      <c r="Z249" s="22" t="str">
        <f t="shared" si="34"/>
        <v/>
      </c>
      <c r="AA249" s="28" t="str">
        <f t="shared" si="35"/>
        <v/>
      </c>
      <c r="AB249" s="28" t="str">
        <f t="shared" si="36"/>
        <v/>
      </c>
      <c r="AC249" s="28" t="str">
        <f>IF($A249="","",SUMIFS('CHẶNG TĂNG CA'!$E$5:$E$304,'CHẶNG TĂNG CA'!$A$5:$A$304,$A249,'CHẶNG TĂNG CA'!$B$5:$B$304,$B249))</f>
        <v/>
      </c>
      <c r="AD249" s="28" t="str">
        <f>IF($A249="","",SUMIFS('CHẶNG TĂNG CA'!$F$5:$F$304,'CHẶNG TĂNG CA'!$A$5:$A$304,$A249,'CHẶNG TĂNG CA'!$B$5:$B$304,$B249))</f>
        <v/>
      </c>
      <c r="AE249" s="28" t="str">
        <f>IF($A249="","",SUMIFS('CHẶNG TĂNG CA'!$G$5:$G$304,'CHẶNG TĂNG CA'!$A$5:$A$304,$A249,'CHẶNG TĂNG CA'!$B$5:$B$304,$B249))</f>
        <v/>
      </c>
      <c r="AF249" s="28" t="str">
        <f>IF($A249="","",SUMIFS('CHẶNG TĂNG CA'!$H$5:$H$304,'CHẶNG TĂNG CA'!$A$5:$A$304,$A249,'CHẶNG TĂNG CA'!$B$5:$B$304,$B249))</f>
        <v/>
      </c>
      <c r="AG249" s="28" t="str">
        <f t="shared" si="37"/>
        <v/>
      </c>
      <c r="AH249" s="16" t="str">
        <f>IF($A249="","",IF(COUNTIFS('LỆNH ĐIỀU XE'!$B$5:$B$604,$A249,'LỆNH ĐIỀU XE'!$C$5:$C$604,$B249,'LỆNH ĐIỀU XE'!$N$5:$N$604,"Có")&gt;0,"Có","Không"))</f>
        <v/>
      </c>
      <c r="AI249" s="16" t="str">
        <f>IF(OR($A249="",H249="",N(T249)=0),"",IF(_xlfn.MAXIFS('LỆNH ĐIỀU XE'!$U$5:$U$604,'LỆNH ĐIỀU XE'!$B$5:$B$604,$A249,'LỆNH ĐIỀU XE'!$C$5:$C$604,$B249)=0,"",ROUND((H249+(H249&lt;4/24)-_xlfn.MAXIFS('LỆNH ĐIỀU XE'!$U$5:$U$604,'LỆNH ĐIỀU XE'!$B$5:$B$604,$A249,'LỆNH ĐIỀU XE'!$C$5:$C$604,$B249))*1440,0)))</f>
        <v/>
      </c>
      <c r="AJ249" s="16" t="str">
        <f>IF($A249="","",IF(OR(AI249="",V249=""),"Thiếu dữ liệu",IF(AND(AI249&lt;='THAM SỐ'!$B$29,ABS(V249)&lt;='THAM SỐ'!$B$28),"Đạt","Không đạt")))</f>
        <v/>
      </c>
      <c r="AK249" s="16" t="str">
        <f t="shared" si="38"/>
        <v/>
      </c>
      <c r="AL249" s="16" t="str">
        <f>IF($A249="","",TRIM(IF(T249=0,"Không có lệnh; ","")&amp;IF(N(N249)&gt;0,"Dừng ngoài lệnh; ","")&amp;IF(N(J249)&gt;0,"Quá tốc độ; ","")&amp;IF(N(K249)&gt;0,"Lái quá 4h; ","")&amp;IF(N(L249)&gt;0,"Không tắt máy; ","")&amp;IF(OR(P249&lt;&gt;"Đủ",Q249&lt;&gt;"Đủ",R249&lt;&gt;"Đủ"),"Thiếu ảnh; ","")&amp;IF(S249&lt;&gt;"Đạt","Lốp chưa đạt; ","")&amp;IF(N(W249)&gt;'THAM SỐ'!$B$27,"Có mặt quá giờ; ","")&amp;IF(N(X249)&gt;'THAM SỐ'!$B$25,"Lái quá giờ ngày; ","")&amp;IF(ISNUMBER(V249),IF(ABS(V249)&gt;'THAM SỐ'!$B$28,"Lệch km; ",""),"")))</f>
        <v/>
      </c>
      <c r="AM249" s="29"/>
      <c r="AN249" s="30"/>
      <c r="AO249" s="28" t="str">
        <f t="shared" si="39"/>
        <v/>
      </c>
      <c r="AP249" s="21" t="str">
        <f>IF(OR($A249="",AO249=""),"",IF(AG249=0,0,ROUND((AC249*'THAM SỐ'!$B$18+AD249*'THAM SỐ'!$B$19+AE249*'THAM SỐ'!$B$20+AF249*'THAM SỐ'!$B$21)*MIN(1,AO249/AG249),0)))</f>
        <v/>
      </c>
      <c r="AQ249" s="18"/>
    </row>
    <row r="250" spans="1:43" x14ac:dyDescent="0.45">
      <c r="A250" s="17"/>
      <c r="B250" s="18"/>
      <c r="C250" s="18"/>
      <c r="D250" s="25"/>
      <c r="E250" s="26"/>
      <c r="F250" s="26"/>
      <c r="G250" s="20"/>
      <c r="H250" s="20"/>
      <c r="I250" s="18"/>
      <c r="J250" s="18"/>
      <c r="K250" s="18"/>
      <c r="L250" s="18"/>
      <c r="M250" s="18"/>
      <c r="N250" s="18"/>
      <c r="O250" s="18"/>
      <c r="P250" s="18"/>
      <c r="Q250" s="18"/>
      <c r="R250" s="18"/>
      <c r="S250" s="18"/>
      <c r="T250" s="16" t="str">
        <f>IF($A250="","",COUNTIFS('LỆNH ĐIỀU XE'!$B$5:$B$604,$A250,'LỆNH ĐIỀU XE'!$C$5:$C$604,$B250))</f>
        <v/>
      </c>
      <c r="U250" s="27" t="str">
        <f>IF($A250="","",SUMIFS('LỆNH ĐIỀU XE'!$J$5:$J$604,'LỆNH ĐIỀU XE'!$B$5:$B$604,$A250,'LỆNH ĐIỀU XE'!$C$5:$C$604,$B250))</f>
        <v/>
      </c>
      <c r="V250" s="22" t="str">
        <f t="shared" si="30"/>
        <v/>
      </c>
      <c r="W250" s="28" t="str">
        <f t="shared" si="31"/>
        <v/>
      </c>
      <c r="X250" s="28" t="str">
        <f t="shared" si="32"/>
        <v/>
      </c>
      <c r="Y250" s="28" t="str">
        <f t="shared" si="33"/>
        <v/>
      </c>
      <c r="Z250" s="22" t="str">
        <f t="shared" si="34"/>
        <v/>
      </c>
      <c r="AA250" s="28" t="str">
        <f t="shared" si="35"/>
        <v/>
      </c>
      <c r="AB250" s="28" t="str">
        <f t="shared" si="36"/>
        <v/>
      </c>
      <c r="AC250" s="28" t="str">
        <f>IF($A250="","",SUMIFS('CHẶNG TĂNG CA'!$E$5:$E$304,'CHẶNG TĂNG CA'!$A$5:$A$304,$A250,'CHẶNG TĂNG CA'!$B$5:$B$304,$B250))</f>
        <v/>
      </c>
      <c r="AD250" s="28" t="str">
        <f>IF($A250="","",SUMIFS('CHẶNG TĂNG CA'!$F$5:$F$304,'CHẶNG TĂNG CA'!$A$5:$A$304,$A250,'CHẶNG TĂNG CA'!$B$5:$B$304,$B250))</f>
        <v/>
      </c>
      <c r="AE250" s="28" t="str">
        <f>IF($A250="","",SUMIFS('CHẶNG TĂNG CA'!$G$5:$G$304,'CHẶNG TĂNG CA'!$A$5:$A$304,$A250,'CHẶNG TĂNG CA'!$B$5:$B$304,$B250))</f>
        <v/>
      </c>
      <c r="AF250" s="28" t="str">
        <f>IF($A250="","",SUMIFS('CHẶNG TĂNG CA'!$H$5:$H$304,'CHẶNG TĂNG CA'!$A$5:$A$304,$A250,'CHẶNG TĂNG CA'!$B$5:$B$304,$B250))</f>
        <v/>
      </c>
      <c r="AG250" s="28" t="str">
        <f t="shared" si="37"/>
        <v/>
      </c>
      <c r="AH250" s="16" t="str">
        <f>IF($A250="","",IF(COUNTIFS('LỆNH ĐIỀU XE'!$B$5:$B$604,$A250,'LỆNH ĐIỀU XE'!$C$5:$C$604,$B250,'LỆNH ĐIỀU XE'!$N$5:$N$604,"Có")&gt;0,"Có","Không"))</f>
        <v/>
      </c>
      <c r="AI250" s="16" t="str">
        <f>IF(OR($A250="",H250="",N(T250)=0),"",IF(_xlfn.MAXIFS('LỆNH ĐIỀU XE'!$U$5:$U$604,'LỆNH ĐIỀU XE'!$B$5:$B$604,$A250,'LỆNH ĐIỀU XE'!$C$5:$C$604,$B250)=0,"",ROUND((H250+(H250&lt;4/24)-_xlfn.MAXIFS('LỆNH ĐIỀU XE'!$U$5:$U$604,'LỆNH ĐIỀU XE'!$B$5:$B$604,$A250,'LỆNH ĐIỀU XE'!$C$5:$C$604,$B250))*1440,0)))</f>
        <v/>
      </c>
      <c r="AJ250" s="16" t="str">
        <f>IF($A250="","",IF(OR(AI250="",V250=""),"Thiếu dữ liệu",IF(AND(AI250&lt;='THAM SỐ'!$B$29,ABS(V250)&lt;='THAM SỐ'!$B$28),"Đạt","Không đạt")))</f>
        <v/>
      </c>
      <c r="AK250" s="16" t="str">
        <f t="shared" si="38"/>
        <v/>
      </c>
      <c r="AL250" s="16" t="str">
        <f>IF($A250="","",TRIM(IF(T250=0,"Không có lệnh; ","")&amp;IF(N(N250)&gt;0,"Dừng ngoài lệnh; ","")&amp;IF(N(J250)&gt;0,"Quá tốc độ; ","")&amp;IF(N(K250)&gt;0,"Lái quá 4h; ","")&amp;IF(N(L250)&gt;0,"Không tắt máy; ","")&amp;IF(OR(P250&lt;&gt;"Đủ",Q250&lt;&gt;"Đủ",R250&lt;&gt;"Đủ"),"Thiếu ảnh; ","")&amp;IF(S250&lt;&gt;"Đạt","Lốp chưa đạt; ","")&amp;IF(N(W250)&gt;'THAM SỐ'!$B$27,"Có mặt quá giờ; ","")&amp;IF(N(X250)&gt;'THAM SỐ'!$B$25,"Lái quá giờ ngày; ","")&amp;IF(ISNUMBER(V250),IF(ABS(V250)&gt;'THAM SỐ'!$B$28,"Lệch km; ",""),"")))</f>
        <v/>
      </c>
      <c r="AM250" s="29"/>
      <c r="AN250" s="30"/>
      <c r="AO250" s="28" t="str">
        <f t="shared" si="39"/>
        <v/>
      </c>
      <c r="AP250" s="21" t="str">
        <f>IF(OR($A250="",AO250=""),"",IF(AG250=0,0,ROUND((AC250*'THAM SỐ'!$B$18+AD250*'THAM SỐ'!$B$19+AE250*'THAM SỐ'!$B$20+AF250*'THAM SỐ'!$B$21)*MIN(1,AO250/AG250),0)))</f>
        <v/>
      </c>
      <c r="AQ250" s="18"/>
    </row>
    <row r="251" spans="1:43" x14ac:dyDescent="0.45">
      <c r="A251" s="17"/>
      <c r="B251" s="18"/>
      <c r="C251" s="18"/>
      <c r="D251" s="25"/>
      <c r="E251" s="26"/>
      <c r="F251" s="26"/>
      <c r="G251" s="20"/>
      <c r="H251" s="20"/>
      <c r="I251" s="18"/>
      <c r="J251" s="18"/>
      <c r="K251" s="18"/>
      <c r="L251" s="18"/>
      <c r="M251" s="18"/>
      <c r="N251" s="18"/>
      <c r="O251" s="18"/>
      <c r="P251" s="18"/>
      <c r="Q251" s="18"/>
      <c r="R251" s="18"/>
      <c r="S251" s="18"/>
      <c r="T251" s="16" t="str">
        <f>IF($A251="","",COUNTIFS('LỆNH ĐIỀU XE'!$B$5:$B$604,$A251,'LỆNH ĐIỀU XE'!$C$5:$C$604,$B251))</f>
        <v/>
      </c>
      <c r="U251" s="27" t="str">
        <f>IF($A251="","",SUMIFS('LỆNH ĐIỀU XE'!$J$5:$J$604,'LỆNH ĐIỀU XE'!$B$5:$B$604,$A251,'LỆNH ĐIỀU XE'!$C$5:$C$604,$B251))</f>
        <v/>
      </c>
      <c r="V251" s="22" t="str">
        <f t="shared" si="30"/>
        <v/>
      </c>
      <c r="W251" s="28" t="str">
        <f t="shared" si="31"/>
        <v/>
      </c>
      <c r="X251" s="28" t="str">
        <f t="shared" si="32"/>
        <v/>
      </c>
      <c r="Y251" s="28" t="str">
        <f t="shared" si="33"/>
        <v/>
      </c>
      <c r="Z251" s="22" t="str">
        <f t="shared" si="34"/>
        <v/>
      </c>
      <c r="AA251" s="28" t="str">
        <f t="shared" si="35"/>
        <v/>
      </c>
      <c r="AB251" s="28" t="str">
        <f t="shared" si="36"/>
        <v/>
      </c>
      <c r="AC251" s="28" t="str">
        <f>IF($A251="","",SUMIFS('CHẶNG TĂNG CA'!$E$5:$E$304,'CHẶNG TĂNG CA'!$A$5:$A$304,$A251,'CHẶNG TĂNG CA'!$B$5:$B$304,$B251))</f>
        <v/>
      </c>
      <c r="AD251" s="28" t="str">
        <f>IF($A251="","",SUMIFS('CHẶNG TĂNG CA'!$F$5:$F$304,'CHẶNG TĂNG CA'!$A$5:$A$304,$A251,'CHẶNG TĂNG CA'!$B$5:$B$304,$B251))</f>
        <v/>
      </c>
      <c r="AE251" s="28" t="str">
        <f>IF($A251="","",SUMIFS('CHẶNG TĂNG CA'!$G$5:$G$304,'CHẶNG TĂNG CA'!$A$5:$A$304,$A251,'CHẶNG TĂNG CA'!$B$5:$B$304,$B251))</f>
        <v/>
      </c>
      <c r="AF251" s="28" t="str">
        <f>IF($A251="","",SUMIFS('CHẶNG TĂNG CA'!$H$5:$H$304,'CHẶNG TĂNG CA'!$A$5:$A$304,$A251,'CHẶNG TĂNG CA'!$B$5:$B$304,$B251))</f>
        <v/>
      </c>
      <c r="AG251" s="28" t="str">
        <f t="shared" si="37"/>
        <v/>
      </c>
      <c r="AH251" s="16" t="str">
        <f>IF($A251="","",IF(COUNTIFS('LỆNH ĐIỀU XE'!$B$5:$B$604,$A251,'LỆNH ĐIỀU XE'!$C$5:$C$604,$B251,'LỆNH ĐIỀU XE'!$N$5:$N$604,"Có")&gt;0,"Có","Không"))</f>
        <v/>
      </c>
      <c r="AI251" s="16" t="str">
        <f>IF(OR($A251="",H251="",N(T251)=0),"",IF(_xlfn.MAXIFS('LỆNH ĐIỀU XE'!$U$5:$U$604,'LỆNH ĐIỀU XE'!$B$5:$B$604,$A251,'LỆNH ĐIỀU XE'!$C$5:$C$604,$B251)=0,"",ROUND((H251+(H251&lt;4/24)-_xlfn.MAXIFS('LỆNH ĐIỀU XE'!$U$5:$U$604,'LỆNH ĐIỀU XE'!$B$5:$B$604,$A251,'LỆNH ĐIỀU XE'!$C$5:$C$604,$B251))*1440,0)))</f>
        <v/>
      </c>
      <c r="AJ251" s="16" t="str">
        <f>IF($A251="","",IF(OR(AI251="",V251=""),"Thiếu dữ liệu",IF(AND(AI251&lt;='THAM SỐ'!$B$29,ABS(V251)&lt;='THAM SỐ'!$B$28),"Đạt","Không đạt")))</f>
        <v/>
      </c>
      <c r="AK251" s="16" t="str">
        <f t="shared" si="38"/>
        <v/>
      </c>
      <c r="AL251" s="16" t="str">
        <f>IF($A251="","",TRIM(IF(T251=0,"Không có lệnh; ","")&amp;IF(N(N251)&gt;0,"Dừng ngoài lệnh; ","")&amp;IF(N(J251)&gt;0,"Quá tốc độ; ","")&amp;IF(N(K251)&gt;0,"Lái quá 4h; ","")&amp;IF(N(L251)&gt;0,"Không tắt máy; ","")&amp;IF(OR(P251&lt;&gt;"Đủ",Q251&lt;&gt;"Đủ",R251&lt;&gt;"Đủ"),"Thiếu ảnh; ","")&amp;IF(S251&lt;&gt;"Đạt","Lốp chưa đạt; ","")&amp;IF(N(W251)&gt;'THAM SỐ'!$B$27,"Có mặt quá giờ; ","")&amp;IF(N(X251)&gt;'THAM SỐ'!$B$25,"Lái quá giờ ngày; ","")&amp;IF(ISNUMBER(V251),IF(ABS(V251)&gt;'THAM SỐ'!$B$28,"Lệch km; ",""),"")))</f>
        <v/>
      </c>
      <c r="AM251" s="29"/>
      <c r="AN251" s="30"/>
      <c r="AO251" s="28" t="str">
        <f t="shared" si="39"/>
        <v/>
      </c>
      <c r="AP251" s="21" t="str">
        <f>IF(OR($A251="",AO251=""),"",IF(AG251=0,0,ROUND((AC251*'THAM SỐ'!$B$18+AD251*'THAM SỐ'!$B$19+AE251*'THAM SỐ'!$B$20+AF251*'THAM SỐ'!$B$21)*MIN(1,AO251/AG251),0)))</f>
        <v/>
      </c>
      <c r="AQ251" s="18"/>
    </row>
    <row r="252" spans="1:43" x14ac:dyDescent="0.45">
      <c r="A252" s="17"/>
      <c r="B252" s="18"/>
      <c r="C252" s="18"/>
      <c r="D252" s="25"/>
      <c r="E252" s="26"/>
      <c r="F252" s="26"/>
      <c r="G252" s="20"/>
      <c r="H252" s="20"/>
      <c r="I252" s="18"/>
      <c r="J252" s="18"/>
      <c r="K252" s="18"/>
      <c r="L252" s="18"/>
      <c r="M252" s="18"/>
      <c r="N252" s="18"/>
      <c r="O252" s="18"/>
      <c r="P252" s="18"/>
      <c r="Q252" s="18"/>
      <c r="R252" s="18"/>
      <c r="S252" s="18"/>
      <c r="T252" s="16" t="str">
        <f>IF($A252="","",COUNTIFS('LỆNH ĐIỀU XE'!$B$5:$B$604,$A252,'LỆNH ĐIỀU XE'!$C$5:$C$604,$B252))</f>
        <v/>
      </c>
      <c r="U252" s="27" t="str">
        <f>IF($A252="","",SUMIFS('LỆNH ĐIỀU XE'!$J$5:$J$604,'LỆNH ĐIỀU XE'!$B$5:$B$604,$A252,'LỆNH ĐIỀU XE'!$C$5:$C$604,$B252))</f>
        <v/>
      </c>
      <c r="V252" s="22" t="str">
        <f t="shared" si="30"/>
        <v/>
      </c>
      <c r="W252" s="28" t="str">
        <f t="shared" si="31"/>
        <v/>
      </c>
      <c r="X252" s="28" t="str">
        <f t="shared" si="32"/>
        <v/>
      </c>
      <c r="Y252" s="28" t="str">
        <f t="shared" si="33"/>
        <v/>
      </c>
      <c r="Z252" s="22" t="str">
        <f t="shared" si="34"/>
        <v/>
      </c>
      <c r="AA252" s="28" t="str">
        <f t="shared" si="35"/>
        <v/>
      </c>
      <c r="AB252" s="28" t="str">
        <f t="shared" si="36"/>
        <v/>
      </c>
      <c r="AC252" s="28" t="str">
        <f>IF($A252="","",SUMIFS('CHẶNG TĂNG CA'!$E$5:$E$304,'CHẶNG TĂNG CA'!$A$5:$A$304,$A252,'CHẶNG TĂNG CA'!$B$5:$B$304,$B252))</f>
        <v/>
      </c>
      <c r="AD252" s="28" t="str">
        <f>IF($A252="","",SUMIFS('CHẶNG TĂNG CA'!$F$5:$F$304,'CHẶNG TĂNG CA'!$A$5:$A$304,$A252,'CHẶNG TĂNG CA'!$B$5:$B$304,$B252))</f>
        <v/>
      </c>
      <c r="AE252" s="28" t="str">
        <f>IF($A252="","",SUMIFS('CHẶNG TĂNG CA'!$G$5:$G$304,'CHẶNG TĂNG CA'!$A$5:$A$304,$A252,'CHẶNG TĂNG CA'!$B$5:$B$304,$B252))</f>
        <v/>
      </c>
      <c r="AF252" s="28" t="str">
        <f>IF($A252="","",SUMIFS('CHẶNG TĂNG CA'!$H$5:$H$304,'CHẶNG TĂNG CA'!$A$5:$A$304,$A252,'CHẶNG TĂNG CA'!$B$5:$B$304,$B252))</f>
        <v/>
      </c>
      <c r="AG252" s="28" t="str">
        <f t="shared" si="37"/>
        <v/>
      </c>
      <c r="AH252" s="16" t="str">
        <f>IF($A252="","",IF(COUNTIFS('LỆNH ĐIỀU XE'!$B$5:$B$604,$A252,'LỆNH ĐIỀU XE'!$C$5:$C$604,$B252,'LỆNH ĐIỀU XE'!$N$5:$N$604,"Có")&gt;0,"Có","Không"))</f>
        <v/>
      </c>
      <c r="AI252" s="16" t="str">
        <f>IF(OR($A252="",H252="",N(T252)=0),"",IF(_xlfn.MAXIFS('LỆNH ĐIỀU XE'!$U$5:$U$604,'LỆNH ĐIỀU XE'!$B$5:$B$604,$A252,'LỆNH ĐIỀU XE'!$C$5:$C$604,$B252)=0,"",ROUND((H252+(H252&lt;4/24)-_xlfn.MAXIFS('LỆNH ĐIỀU XE'!$U$5:$U$604,'LỆNH ĐIỀU XE'!$B$5:$B$604,$A252,'LỆNH ĐIỀU XE'!$C$5:$C$604,$B252))*1440,0)))</f>
        <v/>
      </c>
      <c r="AJ252" s="16" t="str">
        <f>IF($A252="","",IF(OR(AI252="",V252=""),"Thiếu dữ liệu",IF(AND(AI252&lt;='THAM SỐ'!$B$29,ABS(V252)&lt;='THAM SỐ'!$B$28),"Đạt","Không đạt")))</f>
        <v/>
      </c>
      <c r="AK252" s="16" t="str">
        <f t="shared" si="38"/>
        <v/>
      </c>
      <c r="AL252" s="16" t="str">
        <f>IF($A252="","",TRIM(IF(T252=0,"Không có lệnh; ","")&amp;IF(N(N252)&gt;0,"Dừng ngoài lệnh; ","")&amp;IF(N(J252)&gt;0,"Quá tốc độ; ","")&amp;IF(N(K252)&gt;0,"Lái quá 4h; ","")&amp;IF(N(L252)&gt;0,"Không tắt máy; ","")&amp;IF(OR(P252&lt;&gt;"Đủ",Q252&lt;&gt;"Đủ",R252&lt;&gt;"Đủ"),"Thiếu ảnh; ","")&amp;IF(S252&lt;&gt;"Đạt","Lốp chưa đạt; ","")&amp;IF(N(W252)&gt;'THAM SỐ'!$B$27,"Có mặt quá giờ; ","")&amp;IF(N(X252)&gt;'THAM SỐ'!$B$25,"Lái quá giờ ngày; ","")&amp;IF(ISNUMBER(V252),IF(ABS(V252)&gt;'THAM SỐ'!$B$28,"Lệch km; ",""),"")))</f>
        <v/>
      </c>
      <c r="AM252" s="29"/>
      <c r="AN252" s="30"/>
      <c r="AO252" s="28" t="str">
        <f t="shared" si="39"/>
        <v/>
      </c>
      <c r="AP252" s="21" t="str">
        <f>IF(OR($A252="",AO252=""),"",IF(AG252=0,0,ROUND((AC252*'THAM SỐ'!$B$18+AD252*'THAM SỐ'!$B$19+AE252*'THAM SỐ'!$B$20+AF252*'THAM SỐ'!$B$21)*MIN(1,AO252/AG252),0)))</f>
        <v/>
      </c>
      <c r="AQ252" s="18"/>
    </row>
    <row r="253" spans="1:43" x14ac:dyDescent="0.45">
      <c r="A253" s="17"/>
      <c r="B253" s="18"/>
      <c r="C253" s="18"/>
      <c r="D253" s="25"/>
      <c r="E253" s="26"/>
      <c r="F253" s="26"/>
      <c r="G253" s="20"/>
      <c r="H253" s="20"/>
      <c r="I253" s="18"/>
      <c r="J253" s="18"/>
      <c r="K253" s="18"/>
      <c r="L253" s="18"/>
      <c r="M253" s="18"/>
      <c r="N253" s="18"/>
      <c r="O253" s="18"/>
      <c r="P253" s="18"/>
      <c r="Q253" s="18"/>
      <c r="R253" s="18"/>
      <c r="S253" s="18"/>
      <c r="T253" s="16" t="str">
        <f>IF($A253="","",COUNTIFS('LỆNH ĐIỀU XE'!$B$5:$B$604,$A253,'LỆNH ĐIỀU XE'!$C$5:$C$604,$B253))</f>
        <v/>
      </c>
      <c r="U253" s="27" t="str">
        <f>IF($A253="","",SUMIFS('LỆNH ĐIỀU XE'!$J$5:$J$604,'LỆNH ĐIỀU XE'!$B$5:$B$604,$A253,'LỆNH ĐIỀU XE'!$C$5:$C$604,$B253))</f>
        <v/>
      </c>
      <c r="V253" s="22" t="str">
        <f t="shared" si="30"/>
        <v/>
      </c>
      <c r="W253" s="28" t="str">
        <f t="shared" si="31"/>
        <v/>
      </c>
      <c r="X253" s="28" t="str">
        <f t="shared" si="32"/>
        <v/>
      </c>
      <c r="Y253" s="28" t="str">
        <f t="shared" si="33"/>
        <v/>
      </c>
      <c r="Z253" s="22" t="str">
        <f t="shared" si="34"/>
        <v/>
      </c>
      <c r="AA253" s="28" t="str">
        <f t="shared" si="35"/>
        <v/>
      </c>
      <c r="AB253" s="28" t="str">
        <f t="shared" si="36"/>
        <v/>
      </c>
      <c r="AC253" s="28" t="str">
        <f>IF($A253="","",SUMIFS('CHẶNG TĂNG CA'!$E$5:$E$304,'CHẶNG TĂNG CA'!$A$5:$A$304,$A253,'CHẶNG TĂNG CA'!$B$5:$B$304,$B253))</f>
        <v/>
      </c>
      <c r="AD253" s="28" t="str">
        <f>IF($A253="","",SUMIFS('CHẶNG TĂNG CA'!$F$5:$F$304,'CHẶNG TĂNG CA'!$A$5:$A$304,$A253,'CHẶNG TĂNG CA'!$B$5:$B$304,$B253))</f>
        <v/>
      </c>
      <c r="AE253" s="28" t="str">
        <f>IF($A253="","",SUMIFS('CHẶNG TĂNG CA'!$G$5:$G$304,'CHẶNG TĂNG CA'!$A$5:$A$304,$A253,'CHẶNG TĂNG CA'!$B$5:$B$304,$B253))</f>
        <v/>
      </c>
      <c r="AF253" s="28" t="str">
        <f>IF($A253="","",SUMIFS('CHẶNG TĂNG CA'!$H$5:$H$304,'CHẶNG TĂNG CA'!$A$5:$A$304,$A253,'CHẶNG TĂNG CA'!$B$5:$B$304,$B253))</f>
        <v/>
      </c>
      <c r="AG253" s="28" t="str">
        <f t="shared" si="37"/>
        <v/>
      </c>
      <c r="AH253" s="16" t="str">
        <f>IF($A253="","",IF(COUNTIFS('LỆNH ĐIỀU XE'!$B$5:$B$604,$A253,'LỆNH ĐIỀU XE'!$C$5:$C$604,$B253,'LỆNH ĐIỀU XE'!$N$5:$N$604,"Có")&gt;0,"Có","Không"))</f>
        <v/>
      </c>
      <c r="AI253" s="16" t="str">
        <f>IF(OR($A253="",H253="",N(T253)=0),"",IF(_xlfn.MAXIFS('LỆNH ĐIỀU XE'!$U$5:$U$604,'LỆNH ĐIỀU XE'!$B$5:$B$604,$A253,'LỆNH ĐIỀU XE'!$C$5:$C$604,$B253)=0,"",ROUND((H253+(H253&lt;4/24)-_xlfn.MAXIFS('LỆNH ĐIỀU XE'!$U$5:$U$604,'LỆNH ĐIỀU XE'!$B$5:$B$604,$A253,'LỆNH ĐIỀU XE'!$C$5:$C$604,$B253))*1440,0)))</f>
        <v/>
      </c>
      <c r="AJ253" s="16" t="str">
        <f>IF($A253="","",IF(OR(AI253="",V253=""),"Thiếu dữ liệu",IF(AND(AI253&lt;='THAM SỐ'!$B$29,ABS(V253)&lt;='THAM SỐ'!$B$28),"Đạt","Không đạt")))</f>
        <v/>
      </c>
      <c r="AK253" s="16" t="str">
        <f t="shared" si="38"/>
        <v/>
      </c>
      <c r="AL253" s="16" t="str">
        <f>IF($A253="","",TRIM(IF(T253=0,"Không có lệnh; ","")&amp;IF(N(N253)&gt;0,"Dừng ngoài lệnh; ","")&amp;IF(N(J253)&gt;0,"Quá tốc độ; ","")&amp;IF(N(K253)&gt;0,"Lái quá 4h; ","")&amp;IF(N(L253)&gt;0,"Không tắt máy; ","")&amp;IF(OR(P253&lt;&gt;"Đủ",Q253&lt;&gt;"Đủ",R253&lt;&gt;"Đủ"),"Thiếu ảnh; ","")&amp;IF(S253&lt;&gt;"Đạt","Lốp chưa đạt; ","")&amp;IF(N(W253)&gt;'THAM SỐ'!$B$27,"Có mặt quá giờ; ","")&amp;IF(N(X253)&gt;'THAM SỐ'!$B$25,"Lái quá giờ ngày; ","")&amp;IF(ISNUMBER(V253),IF(ABS(V253)&gt;'THAM SỐ'!$B$28,"Lệch km; ",""),"")))</f>
        <v/>
      </c>
      <c r="AM253" s="29"/>
      <c r="AN253" s="30"/>
      <c r="AO253" s="28" t="str">
        <f t="shared" si="39"/>
        <v/>
      </c>
      <c r="AP253" s="21" t="str">
        <f>IF(OR($A253="",AO253=""),"",IF(AG253=0,0,ROUND((AC253*'THAM SỐ'!$B$18+AD253*'THAM SỐ'!$B$19+AE253*'THAM SỐ'!$B$20+AF253*'THAM SỐ'!$B$21)*MIN(1,AO253/AG253),0)))</f>
        <v/>
      </c>
      <c r="AQ253" s="18"/>
    </row>
    <row r="254" spans="1:43" x14ac:dyDescent="0.45">
      <c r="A254" s="17"/>
      <c r="B254" s="18"/>
      <c r="C254" s="18"/>
      <c r="D254" s="25"/>
      <c r="E254" s="26"/>
      <c r="F254" s="26"/>
      <c r="G254" s="20"/>
      <c r="H254" s="20"/>
      <c r="I254" s="18"/>
      <c r="J254" s="18"/>
      <c r="K254" s="18"/>
      <c r="L254" s="18"/>
      <c r="M254" s="18"/>
      <c r="N254" s="18"/>
      <c r="O254" s="18"/>
      <c r="P254" s="18"/>
      <c r="Q254" s="18"/>
      <c r="R254" s="18"/>
      <c r="S254" s="18"/>
      <c r="T254" s="16" t="str">
        <f>IF($A254="","",COUNTIFS('LỆNH ĐIỀU XE'!$B$5:$B$604,$A254,'LỆNH ĐIỀU XE'!$C$5:$C$604,$B254))</f>
        <v/>
      </c>
      <c r="U254" s="27" t="str">
        <f>IF($A254="","",SUMIFS('LỆNH ĐIỀU XE'!$J$5:$J$604,'LỆNH ĐIỀU XE'!$B$5:$B$604,$A254,'LỆNH ĐIỀU XE'!$C$5:$C$604,$B254))</f>
        <v/>
      </c>
      <c r="V254" s="22" t="str">
        <f t="shared" si="30"/>
        <v/>
      </c>
      <c r="W254" s="28" t="str">
        <f t="shared" si="31"/>
        <v/>
      </c>
      <c r="X254" s="28" t="str">
        <f t="shared" si="32"/>
        <v/>
      </c>
      <c r="Y254" s="28" t="str">
        <f t="shared" si="33"/>
        <v/>
      </c>
      <c r="Z254" s="22" t="str">
        <f t="shared" si="34"/>
        <v/>
      </c>
      <c r="AA254" s="28" t="str">
        <f t="shared" si="35"/>
        <v/>
      </c>
      <c r="AB254" s="28" t="str">
        <f t="shared" si="36"/>
        <v/>
      </c>
      <c r="AC254" s="28" t="str">
        <f>IF($A254="","",SUMIFS('CHẶNG TĂNG CA'!$E$5:$E$304,'CHẶNG TĂNG CA'!$A$5:$A$304,$A254,'CHẶNG TĂNG CA'!$B$5:$B$304,$B254))</f>
        <v/>
      </c>
      <c r="AD254" s="28" t="str">
        <f>IF($A254="","",SUMIFS('CHẶNG TĂNG CA'!$F$5:$F$304,'CHẶNG TĂNG CA'!$A$5:$A$304,$A254,'CHẶNG TĂNG CA'!$B$5:$B$304,$B254))</f>
        <v/>
      </c>
      <c r="AE254" s="28" t="str">
        <f>IF($A254="","",SUMIFS('CHẶNG TĂNG CA'!$G$5:$G$304,'CHẶNG TĂNG CA'!$A$5:$A$304,$A254,'CHẶNG TĂNG CA'!$B$5:$B$304,$B254))</f>
        <v/>
      </c>
      <c r="AF254" s="28" t="str">
        <f>IF($A254="","",SUMIFS('CHẶNG TĂNG CA'!$H$5:$H$304,'CHẶNG TĂNG CA'!$A$5:$A$304,$A254,'CHẶNG TĂNG CA'!$B$5:$B$304,$B254))</f>
        <v/>
      </c>
      <c r="AG254" s="28" t="str">
        <f t="shared" si="37"/>
        <v/>
      </c>
      <c r="AH254" s="16" t="str">
        <f>IF($A254="","",IF(COUNTIFS('LỆNH ĐIỀU XE'!$B$5:$B$604,$A254,'LỆNH ĐIỀU XE'!$C$5:$C$604,$B254,'LỆNH ĐIỀU XE'!$N$5:$N$604,"Có")&gt;0,"Có","Không"))</f>
        <v/>
      </c>
      <c r="AI254" s="16" t="str">
        <f>IF(OR($A254="",H254="",N(T254)=0),"",IF(_xlfn.MAXIFS('LỆNH ĐIỀU XE'!$U$5:$U$604,'LỆNH ĐIỀU XE'!$B$5:$B$604,$A254,'LỆNH ĐIỀU XE'!$C$5:$C$604,$B254)=0,"",ROUND((H254+(H254&lt;4/24)-_xlfn.MAXIFS('LỆNH ĐIỀU XE'!$U$5:$U$604,'LỆNH ĐIỀU XE'!$B$5:$B$604,$A254,'LỆNH ĐIỀU XE'!$C$5:$C$604,$B254))*1440,0)))</f>
        <v/>
      </c>
      <c r="AJ254" s="16" t="str">
        <f>IF($A254="","",IF(OR(AI254="",V254=""),"Thiếu dữ liệu",IF(AND(AI254&lt;='THAM SỐ'!$B$29,ABS(V254)&lt;='THAM SỐ'!$B$28),"Đạt","Không đạt")))</f>
        <v/>
      </c>
      <c r="AK254" s="16" t="str">
        <f t="shared" si="38"/>
        <v/>
      </c>
      <c r="AL254" s="16" t="str">
        <f>IF($A254="","",TRIM(IF(T254=0,"Không có lệnh; ","")&amp;IF(N(N254)&gt;0,"Dừng ngoài lệnh; ","")&amp;IF(N(J254)&gt;0,"Quá tốc độ; ","")&amp;IF(N(K254)&gt;0,"Lái quá 4h; ","")&amp;IF(N(L254)&gt;0,"Không tắt máy; ","")&amp;IF(OR(P254&lt;&gt;"Đủ",Q254&lt;&gt;"Đủ",R254&lt;&gt;"Đủ"),"Thiếu ảnh; ","")&amp;IF(S254&lt;&gt;"Đạt","Lốp chưa đạt; ","")&amp;IF(N(W254)&gt;'THAM SỐ'!$B$27,"Có mặt quá giờ; ","")&amp;IF(N(X254)&gt;'THAM SỐ'!$B$25,"Lái quá giờ ngày; ","")&amp;IF(ISNUMBER(V254),IF(ABS(V254)&gt;'THAM SỐ'!$B$28,"Lệch km; ",""),"")))</f>
        <v/>
      </c>
      <c r="AM254" s="29"/>
      <c r="AN254" s="30"/>
      <c r="AO254" s="28" t="str">
        <f t="shared" si="39"/>
        <v/>
      </c>
      <c r="AP254" s="21" t="str">
        <f>IF(OR($A254="",AO254=""),"",IF(AG254=0,0,ROUND((AC254*'THAM SỐ'!$B$18+AD254*'THAM SỐ'!$B$19+AE254*'THAM SỐ'!$B$20+AF254*'THAM SỐ'!$B$21)*MIN(1,AO254/AG254),0)))</f>
        <v/>
      </c>
      <c r="AQ254" s="18"/>
    </row>
    <row r="255" spans="1:43" x14ac:dyDescent="0.45">
      <c r="A255" s="17"/>
      <c r="B255" s="18"/>
      <c r="C255" s="18"/>
      <c r="D255" s="25"/>
      <c r="E255" s="26"/>
      <c r="F255" s="26"/>
      <c r="G255" s="20"/>
      <c r="H255" s="20"/>
      <c r="I255" s="18"/>
      <c r="J255" s="18"/>
      <c r="K255" s="18"/>
      <c r="L255" s="18"/>
      <c r="M255" s="18"/>
      <c r="N255" s="18"/>
      <c r="O255" s="18"/>
      <c r="P255" s="18"/>
      <c r="Q255" s="18"/>
      <c r="R255" s="18"/>
      <c r="S255" s="18"/>
      <c r="T255" s="16" t="str">
        <f>IF($A255="","",COUNTIFS('LỆNH ĐIỀU XE'!$B$5:$B$604,$A255,'LỆNH ĐIỀU XE'!$C$5:$C$604,$B255))</f>
        <v/>
      </c>
      <c r="U255" s="27" t="str">
        <f>IF($A255="","",SUMIFS('LỆNH ĐIỀU XE'!$J$5:$J$604,'LỆNH ĐIỀU XE'!$B$5:$B$604,$A255,'LỆNH ĐIỀU XE'!$C$5:$C$604,$B255))</f>
        <v/>
      </c>
      <c r="V255" s="22" t="str">
        <f t="shared" si="30"/>
        <v/>
      </c>
      <c r="W255" s="28" t="str">
        <f t="shared" si="31"/>
        <v/>
      </c>
      <c r="X255" s="28" t="str">
        <f t="shared" si="32"/>
        <v/>
      </c>
      <c r="Y255" s="28" t="str">
        <f t="shared" si="33"/>
        <v/>
      </c>
      <c r="Z255" s="22" t="str">
        <f t="shared" si="34"/>
        <v/>
      </c>
      <c r="AA255" s="28" t="str">
        <f t="shared" si="35"/>
        <v/>
      </c>
      <c r="AB255" s="28" t="str">
        <f t="shared" si="36"/>
        <v/>
      </c>
      <c r="AC255" s="28" t="str">
        <f>IF($A255="","",SUMIFS('CHẶNG TĂNG CA'!$E$5:$E$304,'CHẶNG TĂNG CA'!$A$5:$A$304,$A255,'CHẶNG TĂNG CA'!$B$5:$B$304,$B255))</f>
        <v/>
      </c>
      <c r="AD255" s="28" t="str">
        <f>IF($A255="","",SUMIFS('CHẶNG TĂNG CA'!$F$5:$F$304,'CHẶNG TĂNG CA'!$A$5:$A$304,$A255,'CHẶNG TĂNG CA'!$B$5:$B$304,$B255))</f>
        <v/>
      </c>
      <c r="AE255" s="28" t="str">
        <f>IF($A255="","",SUMIFS('CHẶNG TĂNG CA'!$G$5:$G$304,'CHẶNG TĂNG CA'!$A$5:$A$304,$A255,'CHẶNG TĂNG CA'!$B$5:$B$304,$B255))</f>
        <v/>
      </c>
      <c r="AF255" s="28" t="str">
        <f>IF($A255="","",SUMIFS('CHẶNG TĂNG CA'!$H$5:$H$304,'CHẶNG TĂNG CA'!$A$5:$A$304,$A255,'CHẶNG TĂNG CA'!$B$5:$B$304,$B255))</f>
        <v/>
      </c>
      <c r="AG255" s="28" t="str">
        <f t="shared" si="37"/>
        <v/>
      </c>
      <c r="AH255" s="16" t="str">
        <f>IF($A255="","",IF(COUNTIFS('LỆNH ĐIỀU XE'!$B$5:$B$604,$A255,'LỆNH ĐIỀU XE'!$C$5:$C$604,$B255,'LỆNH ĐIỀU XE'!$N$5:$N$604,"Có")&gt;0,"Có","Không"))</f>
        <v/>
      </c>
      <c r="AI255" s="16" t="str">
        <f>IF(OR($A255="",H255="",N(T255)=0),"",IF(_xlfn.MAXIFS('LỆNH ĐIỀU XE'!$U$5:$U$604,'LỆNH ĐIỀU XE'!$B$5:$B$604,$A255,'LỆNH ĐIỀU XE'!$C$5:$C$604,$B255)=0,"",ROUND((H255+(H255&lt;4/24)-_xlfn.MAXIFS('LỆNH ĐIỀU XE'!$U$5:$U$604,'LỆNH ĐIỀU XE'!$B$5:$B$604,$A255,'LỆNH ĐIỀU XE'!$C$5:$C$604,$B255))*1440,0)))</f>
        <v/>
      </c>
      <c r="AJ255" s="16" t="str">
        <f>IF($A255="","",IF(OR(AI255="",V255=""),"Thiếu dữ liệu",IF(AND(AI255&lt;='THAM SỐ'!$B$29,ABS(V255)&lt;='THAM SỐ'!$B$28),"Đạt","Không đạt")))</f>
        <v/>
      </c>
      <c r="AK255" s="16" t="str">
        <f t="shared" si="38"/>
        <v/>
      </c>
      <c r="AL255" s="16" t="str">
        <f>IF($A255="","",TRIM(IF(T255=0,"Không có lệnh; ","")&amp;IF(N(N255)&gt;0,"Dừng ngoài lệnh; ","")&amp;IF(N(J255)&gt;0,"Quá tốc độ; ","")&amp;IF(N(K255)&gt;0,"Lái quá 4h; ","")&amp;IF(N(L255)&gt;0,"Không tắt máy; ","")&amp;IF(OR(P255&lt;&gt;"Đủ",Q255&lt;&gt;"Đủ",R255&lt;&gt;"Đủ"),"Thiếu ảnh; ","")&amp;IF(S255&lt;&gt;"Đạt","Lốp chưa đạt; ","")&amp;IF(N(W255)&gt;'THAM SỐ'!$B$27,"Có mặt quá giờ; ","")&amp;IF(N(X255)&gt;'THAM SỐ'!$B$25,"Lái quá giờ ngày; ","")&amp;IF(ISNUMBER(V255),IF(ABS(V255)&gt;'THAM SỐ'!$B$28,"Lệch km; ",""),"")))</f>
        <v/>
      </c>
      <c r="AM255" s="29"/>
      <c r="AN255" s="30"/>
      <c r="AO255" s="28" t="str">
        <f t="shared" si="39"/>
        <v/>
      </c>
      <c r="AP255" s="21" t="str">
        <f>IF(OR($A255="",AO255=""),"",IF(AG255=0,0,ROUND((AC255*'THAM SỐ'!$B$18+AD255*'THAM SỐ'!$B$19+AE255*'THAM SỐ'!$B$20+AF255*'THAM SỐ'!$B$21)*MIN(1,AO255/AG255),0)))</f>
        <v/>
      </c>
      <c r="AQ255" s="18"/>
    </row>
    <row r="256" spans="1:43" x14ac:dyDescent="0.45">
      <c r="A256" s="17"/>
      <c r="B256" s="18"/>
      <c r="C256" s="18"/>
      <c r="D256" s="25"/>
      <c r="E256" s="26"/>
      <c r="F256" s="26"/>
      <c r="G256" s="20"/>
      <c r="H256" s="20"/>
      <c r="I256" s="18"/>
      <c r="J256" s="18"/>
      <c r="K256" s="18"/>
      <c r="L256" s="18"/>
      <c r="M256" s="18"/>
      <c r="N256" s="18"/>
      <c r="O256" s="18"/>
      <c r="P256" s="18"/>
      <c r="Q256" s="18"/>
      <c r="R256" s="18"/>
      <c r="S256" s="18"/>
      <c r="T256" s="16" t="str">
        <f>IF($A256="","",COUNTIFS('LỆNH ĐIỀU XE'!$B$5:$B$604,$A256,'LỆNH ĐIỀU XE'!$C$5:$C$604,$B256))</f>
        <v/>
      </c>
      <c r="U256" s="27" t="str">
        <f>IF($A256="","",SUMIFS('LỆNH ĐIỀU XE'!$J$5:$J$604,'LỆNH ĐIỀU XE'!$B$5:$B$604,$A256,'LỆNH ĐIỀU XE'!$C$5:$C$604,$B256))</f>
        <v/>
      </c>
      <c r="V256" s="22" t="str">
        <f t="shared" si="30"/>
        <v/>
      </c>
      <c r="W256" s="28" t="str">
        <f t="shared" si="31"/>
        <v/>
      </c>
      <c r="X256" s="28" t="str">
        <f t="shared" si="32"/>
        <v/>
      </c>
      <c r="Y256" s="28" t="str">
        <f t="shared" si="33"/>
        <v/>
      </c>
      <c r="Z256" s="22" t="str">
        <f t="shared" si="34"/>
        <v/>
      </c>
      <c r="AA256" s="28" t="str">
        <f t="shared" si="35"/>
        <v/>
      </c>
      <c r="AB256" s="28" t="str">
        <f t="shared" si="36"/>
        <v/>
      </c>
      <c r="AC256" s="28" t="str">
        <f>IF($A256="","",SUMIFS('CHẶNG TĂNG CA'!$E$5:$E$304,'CHẶNG TĂNG CA'!$A$5:$A$304,$A256,'CHẶNG TĂNG CA'!$B$5:$B$304,$B256))</f>
        <v/>
      </c>
      <c r="AD256" s="28" t="str">
        <f>IF($A256="","",SUMIFS('CHẶNG TĂNG CA'!$F$5:$F$304,'CHẶNG TĂNG CA'!$A$5:$A$304,$A256,'CHẶNG TĂNG CA'!$B$5:$B$304,$B256))</f>
        <v/>
      </c>
      <c r="AE256" s="28" t="str">
        <f>IF($A256="","",SUMIFS('CHẶNG TĂNG CA'!$G$5:$G$304,'CHẶNG TĂNG CA'!$A$5:$A$304,$A256,'CHẶNG TĂNG CA'!$B$5:$B$304,$B256))</f>
        <v/>
      </c>
      <c r="AF256" s="28" t="str">
        <f>IF($A256="","",SUMIFS('CHẶNG TĂNG CA'!$H$5:$H$304,'CHẶNG TĂNG CA'!$A$5:$A$304,$A256,'CHẶNG TĂNG CA'!$B$5:$B$304,$B256))</f>
        <v/>
      </c>
      <c r="AG256" s="28" t="str">
        <f t="shared" si="37"/>
        <v/>
      </c>
      <c r="AH256" s="16" t="str">
        <f>IF($A256="","",IF(COUNTIFS('LỆNH ĐIỀU XE'!$B$5:$B$604,$A256,'LỆNH ĐIỀU XE'!$C$5:$C$604,$B256,'LỆNH ĐIỀU XE'!$N$5:$N$604,"Có")&gt;0,"Có","Không"))</f>
        <v/>
      </c>
      <c r="AI256" s="16" t="str">
        <f>IF(OR($A256="",H256="",N(T256)=0),"",IF(_xlfn.MAXIFS('LỆNH ĐIỀU XE'!$U$5:$U$604,'LỆNH ĐIỀU XE'!$B$5:$B$604,$A256,'LỆNH ĐIỀU XE'!$C$5:$C$604,$B256)=0,"",ROUND((H256+(H256&lt;4/24)-_xlfn.MAXIFS('LỆNH ĐIỀU XE'!$U$5:$U$604,'LỆNH ĐIỀU XE'!$B$5:$B$604,$A256,'LỆNH ĐIỀU XE'!$C$5:$C$604,$B256))*1440,0)))</f>
        <v/>
      </c>
      <c r="AJ256" s="16" t="str">
        <f>IF($A256="","",IF(OR(AI256="",V256=""),"Thiếu dữ liệu",IF(AND(AI256&lt;='THAM SỐ'!$B$29,ABS(V256)&lt;='THAM SỐ'!$B$28),"Đạt","Không đạt")))</f>
        <v/>
      </c>
      <c r="AK256" s="16" t="str">
        <f t="shared" si="38"/>
        <v/>
      </c>
      <c r="AL256" s="16" t="str">
        <f>IF($A256="","",TRIM(IF(T256=0,"Không có lệnh; ","")&amp;IF(N(N256)&gt;0,"Dừng ngoài lệnh; ","")&amp;IF(N(J256)&gt;0,"Quá tốc độ; ","")&amp;IF(N(K256)&gt;0,"Lái quá 4h; ","")&amp;IF(N(L256)&gt;0,"Không tắt máy; ","")&amp;IF(OR(P256&lt;&gt;"Đủ",Q256&lt;&gt;"Đủ",R256&lt;&gt;"Đủ"),"Thiếu ảnh; ","")&amp;IF(S256&lt;&gt;"Đạt","Lốp chưa đạt; ","")&amp;IF(N(W256)&gt;'THAM SỐ'!$B$27,"Có mặt quá giờ; ","")&amp;IF(N(X256)&gt;'THAM SỐ'!$B$25,"Lái quá giờ ngày; ","")&amp;IF(ISNUMBER(V256),IF(ABS(V256)&gt;'THAM SỐ'!$B$28,"Lệch km; ",""),"")))</f>
        <v/>
      </c>
      <c r="AM256" s="29"/>
      <c r="AN256" s="30"/>
      <c r="AO256" s="28" t="str">
        <f t="shared" si="39"/>
        <v/>
      </c>
      <c r="AP256" s="21" t="str">
        <f>IF(OR($A256="",AO256=""),"",IF(AG256=0,0,ROUND((AC256*'THAM SỐ'!$B$18+AD256*'THAM SỐ'!$B$19+AE256*'THAM SỐ'!$B$20+AF256*'THAM SỐ'!$B$21)*MIN(1,AO256/AG256),0)))</f>
        <v/>
      </c>
      <c r="AQ256" s="18"/>
    </row>
    <row r="257" spans="1:43" x14ac:dyDescent="0.45">
      <c r="A257" s="17"/>
      <c r="B257" s="18"/>
      <c r="C257" s="18"/>
      <c r="D257" s="25"/>
      <c r="E257" s="26"/>
      <c r="F257" s="26"/>
      <c r="G257" s="20"/>
      <c r="H257" s="20"/>
      <c r="I257" s="18"/>
      <c r="J257" s="18"/>
      <c r="K257" s="18"/>
      <c r="L257" s="18"/>
      <c r="M257" s="18"/>
      <c r="N257" s="18"/>
      <c r="O257" s="18"/>
      <c r="P257" s="18"/>
      <c r="Q257" s="18"/>
      <c r="R257" s="18"/>
      <c r="S257" s="18"/>
      <c r="T257" s="16" t="str">
        <f>IF($A257="","",COUNTIFS('LỆNH ĐIỀU XE'!$B$5:$B$604,$A257,'LỆNH ĐIỀU XE'!$C$5:$C$604,$B257))</f>
        <v/>
      </c>
      <c r="U257" s="27" t="str">
        <f>IF($A257="","",SUMIFS('LỆNH ĐIỀU XE'!$J$5:$J$604,'LỆNH ĐIỀU XE'!$B$5:$B$604,$A257,'LỆNH ĐIỀU XE'!$C$5:$C$604,$B257))</f>
        <v/>
      </c>
      <c r="V257" s="22" t="str">
        <f t="shared" si="30"/>
        <v/>
      </c>
      <c r="W257" s="28" t="str">
        <f t="shared" si="31"/>
        <v/>
      </c>
      <c r="X257" s="28" t="str">
        <f t="shared" si="32"/>
        <v/>
      </c>
      <c r="Y257" s="28" t="str">
        <f t="shared" si="33"/>
        <v/>
      </c>
      <c r="Z257" s="22" t="str">
        <f t="shared" si="34"/>
        <v/>
      </c>
      <c r="AA257" s="28" t="str">
        <f t="shared" si="35"/>
        <v/>
      </c>
      <c r="AB257" s="28" t="str">
        <f t="shared" si="36"/>
        <v/>
      </c>
      <c r="AC257" s="28" t="str">
        <f>IF($A257="","",SUMIFS('CHẶNG TĂNG CA'!$E$5:$E$304,'CHẶNG TĂNG CA'!$A$5:$A$304,$A257,'CHẶNG TĂNG CA'!$B$5:$B$304,$B257))</f>
        <v/>
      </c>
      <c r="AD257" s="28" t="str">
        <f>IF($A257="","",SUMIFS('CHẶNG TĂNG CA'!$F$5:$F$304,'CHẶNG TĂNG CA'!$A$5:$A$304,$A257,'CHẶNG TĂNG CA'!$B$5:$B$304,$B257))</f>
        <v/>
      </c>
      <c r="AE257" s="28" t="str">
        <f>IF($A257="","",SUMIFS('CHẶNG TĂNG CA'!$G$5:$G$304,'CHẶNG TĂNG CA'!$A$5:$A$304,$A257,'CHẶNG TĂNG CA'!$B$5:$B$304,$B257))</f>
        <v/>
      </c>
      <c r="AF257" s="28" t="str">
        <f>IF($A257="","",SUMIFS('CHẶNG TĂNG CA'!$H$5:$H$304,'CHẶNG TĂNG CA'!$A$5:$A$304,$A257,'CHẶNG TĂNG CA'!$B$5:$B$304,$B257))</f>
        <v/>
      </c>
      <c r="AG257" s="28" t="str">
        <f t="shared" si="37"/>
        <v/>
      </c>
      <c r="AH257" s="16" t="str">
        <f>IF($A257="","",IF(COUNTIFS('LỆNH ĐIỀU XE'!$B$5:$B$604,$A257,'LỆNH ĐIỀU XE'!$C$5:$C$604,$B257,'LỆNH ĐIỀU XE'!$N$5:$N$604,"Có")&gt;0,"Có","Không"))</f>
        <v/>
      </c>
      <c r="AI257" s="16" t="str">
        <f>IF(OR($A257="",H257="",N(T257)=0),"",IF(_xlfn.MAXIFS('LỆNH ĐIỀU XE'!$U$5:$U$604,'LỆNH ĐIỀU XE'!$B$5:$B$604,$A257,'LỆNH ĐIỀU XE'!$C$5:$C$604,$B257)=0,"",ROUND((H257+(H257&lt;4/24)-_xlfn.MAXIFS('LỆNH ĐIỀU XE'!$U$5:$U$604,'LỆNH ĐIỀU XE'!$B$5:$B$604,$A257,'LỆNH ĐIỀU XE'!$C$5:$C$604,$B257))*1440,0)))</f>
        <v/>
      </c>
      <c r="AJ257" s="16" t="str">
        <f>IF($A257="","",IF(OR(AI257="",V257=""),"Thiếu dữ liệu",IF(AND(AI257&lt;='THAM SỐ'!$B$29,ABS(V257)&lt;='THAM SỐ'!$B$28),"Đạt","Không đạt")))</f>
        <v/>
      </c>
      <c r="AK257" s="16" t="str">
        <f t="shared" si="38"/>
        <v/>
      </c>
      <c r="AL257" s="16" t="str">
        <f>IF($A257="","",TRIM(IF(T257=0,"Không có lệnh; ","")&amp;IF(N(N257)&gt;0,"Dừng ngoài lệnh; ","")&amp;IF(N(J257)&gt;0,"Quá tốc độ; ","")&amp;IF(N(K257)&gt;0,"Lái quá 4h; ","")&amp;IF(N(L257)&gt;0,"Không tắt máy; ","")&amp;IF(OR(P257&lt;&gt;"Đủ",Q257&lt;&gt;"Đủ",R257&lt;&gt;"Đủ"),"Thiếu ảnh; ","")&amp;IF(S257&lt;&gt;"Đạt","Lốp chưa đạt; ","")&amp;IF(N(W257)&gt;'THAM SỐ'!$B$27,"Có mặt quá giờ; ","")&amp;IF(N(X257)&gt;'THAM SỐ'!$B$25,"Lái quá giờ ngày; ","")&amp;IF(ISNUMBER(V257),IF(ABS(V257)&gt;'THAM SỐ'!$B$28,"Lệch km; ",""),"")))</f>
        <v/>
      </c>
      <c r="AM257" s="29"/>
      <c r="AN257" s="30"/>
      <c r="AO257" s="28" t="str">
        <f t="shared" si="39"/>
        <v/>
      </c>
      <c r="AP257" s="21" t="str">
        <f>IF(OR($A257="",AO257=""),"",IF(AG257=0,0,ROUND((AC257*'THAM SỐ'!$B$18+AD257*'THAM SỐ'!$B$19+AE257*'THAM SỐ'!$B$20+AF257*'THAM SỐ'!$B$21)*MIN(1,AO257/AG257),0)))</f>
        <v/>
      </c>
      <c r="AQ257" s="18"/>
    </row>
    <row r="258" spans="1:43" x14ac:dyDescent="0.45">
      <c r="A258" s="17"/>
      <c r="B258" s="18"/>
      <c r="C258" s="18"/>
      <c r="D258" s="25"/>
      <c r="E258" s="26"/>
      <c r="F258" s="26"/>
      <c r="G258" s="20"/>
      <c r="H258" s="20"/>
      <c r="I258" s="18"/>
      <c r="J258" s="18"/>
      <c r="K258" s="18"/>
      <c r="L258" s="18"/>
      <c r="M258" s="18"/>
      <c r="N258" s="18"/>
      <c r="O258" s="18"/>
      <c r="P258" s="18"/>
      <c r="Q258" s="18"/>
      <c r="R258" s="18"/>
      <c r="S258" s="18"/>
      <c r="T258" s="16" t="str">
        <f>IF($A258="","",COUNTIFS('LỆNH ĐIỀU XE'!$B$5:$B$604,$A258,'LỆNH ĐIỀU XE'!$C$5:$C$604,$B258))</f>
        <v/>
      </c>
      <c r="U258" s="27" t="str">
        <f>IF($A258="","",SUMIFS('LỆNH ĐIỀU XE'!$J$5:$J$604,'LỆNH ĐIỀU XE'!$B$5:$B$604,$A258,'LỆNH ĐIỀU XE'!$C$5:$C$604,$B258))</f>
        <v/>
      </c>
      <c r="V258" s="22" t="str">
        <f t="shared" si="30"/>
        <v/>
      </c>
      <c r="W258" s="28" t="str">
        <f t="shared" si="31"/>
        <v/>
      </c>
      <c r="X258" s="28" t="str">
        <f t="shared" si="32"/>
        <v/>
      </c>
      <c r="Y258" s="28" t="str">
        <f t="shared" si="33"/>
        <v/>
      </c>
      <c r="Z258" s="22" t="str">
        <f t="shared" si="34"/>
        <v/>
      </c>
      <c r="AA258" s="28" t="str">
        <f t="shared" si="35"/>
        <v/>
      </c>
      <c r="AB258" s="28" t="str">
        <f t="shared" si="36"/>
        <v/>
      </c>
      <c r="AC258" s="28" t="str">
        <f>IF($A258="","",SUMIFS('CHẶNG TĂNG CA'!$E$5:$E$304,'CHẶNG TĂNG CA'!$A$5:$A$304,$A258,'CHẶNG TĂNG CA'!$B$5:$B$304,$B258))</f>
        <v/>
      </c>
      <c r="AD258" s="28" t="str">
        <f>IF($A258="","",SUMIFS('CHẶNG TĂNG CA'!$F$5:$F$304,'CHẶNG TĂNG CA'!$A$5:$A$304,$A258,'CHẶNG TĂNG CA'!$B$5:$B$304,$B258))</f>
        <v/>
      </c>
      <c r="AE258" s="28" t="str">
        <f>IF($A258="","",SUMIFS('CHẶNG TĂNG CA'!$G$5:$G$304,'CHẶNG TĂNG CA'!$A$5:$A$304,$A258,'CHẶNG TĂNG CA'!$B$5:$B$304,$B258))</f>
        <v/>
      </c>
      <c r="AF258" s="28" t="str">
        <f>IF($A258="","",SUMIFS('CHẶNG TĂNG CA'!$H$5:$H$304,'CHẶNG TĂNG CA'!$A$5:$A$304,$A258,'CHẶNG TĂNG CA'!$B$5:$B$304,$B258))</f>
        <v/>
      </c>
      <c r="AG258" s="28" t="str">
        <f t="shared" si="37"/>
        <v/>
      </c>
      <c r="AH258" s="16" t="str">
        <f>IF($A258="","",IF(COUNTIFS('LỆNH ĐIỀU XE'!$B$5:$B$604,$A258,'LỆNH ĐIỀU XE'!$C$5:$C$604,$B258,'LỆNH ĐIỀU XE'!$N$5:$N$604,"Có")&gt;0,"Có","Không"))</f>
        <v/>
      </c>
      <c r="AI258" s="16" t="str">
        <f>IF(OR($A258="",H258="",N(T258)=0),"",IF(_xlfn.MAXIFS('LỆNH ĐIỀU XE'!$U$5:$U$604,'LỆNH ĐIỀU XE'!$B$5:$B$604,$A258,'LỆNH ĐIỀU XE'!$C$5:$C$604,$B258)=0,"",ROUND((H258+(H258&lt;4/24)-_xlfn.MAXIFS('LỆNH ĐIỀU XE'!$U$5:$U$604,'LỆNH ĐIỀU XE'!$B$5:$B$604,$A258,'LỆNH ĐIỀU XE'!$C$5:$C$604,$B258))*1440,0)))</f>
        <v/>
      </c>
      <c r="AJ258" s="16" t="str">
        <f>IF($A258="","",IF(OR(AI258="",V258=""),"Thiếu dữ liệu",IF(AND(AI258&lt;='THAM SỐ'!$B$29,ABS(V258)&lt;='THAM SỐ'!$B$28),"Đạt","Không đạt")))</f>
        <v/>
      </c>
      <c r="AK258" s="16" t="str">
        <f t="shared" si="38"/>
        <v/>
      </c>
      <c r="AL258" s="16" t="str">
        <f>IF($A258="","",TRIM(IF(T258=0,"Không có lệnh; ","")&amp;IF(N(N258)&gt;0,"Dừng ngoài lệnh; ","")&amp;IF(N(J258)&gt;0,"Quá tốc độ; ","")&amp;IF(N(K258)&gt;0,"Lái quá 4h; ","")&amp;IF(N(L258)&gt;0,"Không tắt máy; ","")&amp;IF(OR(P258&lt;&gt;"Đủ",Q258&lt;&gt;"Đủ",R258&lt;&gt;"Đủ"),"Thiếu ảnh; ","")&amp;IF(S258&lt;&gt;"Đạt","Lốp chưa đạt; ","")&amp;IF(N(W258)&gt;'THAM SỐ'!$B$27,"Có mặt quá giờ; ","")&amp;IF(N(X258)&gt;'THAM SỐ'!$B$25,"Lái quá giờ ngày; ","")&amp;IF(ISNUMBER(V258),IF(ABS(V258)&gt;'THAM SỐ'!$B$28,"Lệch km; ",""),"")))</f>
        <v/>
      </c>
      <c r="AM258" s="29"/>
      <c r="AN258" s="30"/>
      <c r="AO258" s="28" t="str">
        <f t="shared" si="39"/>
        <v/>
      </c>
      <c r="AP258" s="21" t="str">
        <f>IF(OR($A258="",AO258=""),"",IF(AG258=0,0,ROUND((AC258*'THAM SỐ'!$B$18+AD258*'THAM SỐ'!$B$19+AE258*'THAM SỐ'!$B$20+AF258*'THAM SỐ'!$B$21)*MIN(1,AO258/AG258),0)))</f>
        <v/>
      </c>
      <c r="AQ258" s="18"/>
    </row>
    <row r="259" spans="1:43" x14ac:dyDescent="0.45">
      <c r="A259" s="17"/>
      <c r="B259" s="18"/>
      <c r="C259" s="18"/>
      <c r="D259" s="25"/>
      <c r="E259" s="26"/>
      <c r="F259" s="26"/>
      <c r="G259" s="20"/>
      <c r="H259" s="20"/>
      <c r="I259" s="18"/>
      <c r="J259" s="18"/>
      <c r="K259" s="18"/>
      <c r="L259" s="18"/>
      <c r="M259" s="18"/>
      <c r="N259" s="18"/>
      <c r="O259" s="18"/>
      <c r="P259" s="18"/>
      <c r="Q259" s="18"/>
      <c r="R259" s="18"/>
      <c r="S259" s="18"/>
      <c r="T259" s="16" t="str">
        <f>IF($A259="","",COUNTIFS('LỆNH ĐIỀU XE'!$B$5:$B$604,$A259,'LỆNH ĐIỀU XE'!$C$5:$C$604,$B259))</f>
        <v/>
      </c>
      <c r="U259" s="27" t="str">
        <f>IF($A259="","",SUMIFS('LỆNH ĐIỀU XE'!$J$5:$J$604,'LỆNH ĐIỀU XE'!$B$5:$B$604,$A259,'LỆNH ĐIỀU XE'!$C$5:$C$604,$B259))</f>
        <v/>
      </c>
      <c r="V259" s="22" t="str">
        <f t="shared" si="30"/>
        <v/>
      </c>
      <c r="W259" s="28" t="str">
        <f t="shared" si="31"/>
        <v/>
      </c>
      <c r="X259" s="28" t="str">
        <f t="shared" si="32"/>
        <v/>
      </c>
      <c r="Y259" s="28" t="str">
        <f t="shared" si="33"/>
        <v/>
      </c>
      <c r="Z259" s="22" t="str">
        <f t="shared" si="34"/>
        <v/>
      </c>
      <c r="AA259" s="28" t="str">
        <f t="shared" si="35"/>
        <v/>
      </c>
      <c r="AB259" s="28" t="str">
        <f t="shared" si="36"/>
        <v/>
      </c>
      <c r="AC259" s="28" t="str">
        <f>IF($A259="","",SUMIFS('CHẶNG TĂNG CA'!$E$5:$E$304,'CHẶNG TĂNG CA'!$A$5:$A$304,$A259,'CHẶNG TĂNG CA'!$B$5:$B$304,$B259))</f>
        <v/>
      </c>
      <c r="AD259" s="28" t="str">
        <f>IF($A259="","",SUMIFS('CHẶNG TĂNG CA'!$F$5:$F$304,'CHẶNG TĂNG CA'!$A$5:$A$304,$A259,'CHẶNG TĂNG CA'!$B$5:$B$304,$B259))</f>
        <v/>
      </c>
      <c r="AE259" s="28" t="str">
        <f>IF($A259="","",SUMIFS('CHẶNG TĂNG CA'!$G$5:$G$304,'CHẶNG TĂNG CA'!$A$5:$A$304,$A259,'CHẶNG TĂNG CA'!$B$5:$B$304,$B259))</f>
        <v/>
      </c>
      <c r="AF259" s="28" t="str">
        <f>IF($A259="","",SUMIFS('CHẶNG TĂNG CA'!$H$5:$H$304,'CHẶNG TĂNG CA'!$A$5:$A$304,$A259,'CHẶNG TĂNG CA'!$B$5:$B$304,$B259))</f>
        <v/>
      </c>
      <c r="AG259" s="28" t="str">
        <f t="shared" si="37"/>
        <v/>
      </c>
      <c r="AH259" s="16" t="str">
        <f>IF($A259="","",IF(COUNTIFS('LỆNH ĐIỀU XE'!$B$5:$B$604,$A259,'LỆNH ĐIỀU XE'!$C$5:$C$604,$B259,'LỆNH ĐIỀU XE'!$N$5:$N$604,"Có")&gt;0,"Có","Không"))</f>
        <v/>
      </c>
      <c r="AI259" s="16" t="str">
        <f>IF(OR($A259="",H259="",N(T259)=0),"",IF(_xlfn.MAXIFS('LỆNH ĐIỀU XE'!$U$5:$U$604,'LỆNH ĐIỀU XE'!$B$5:$B$604,$A259,'LỆNH ĐIỀU XE'!$C$5:$C$604,$B259)=0,"",ROUND((H259+(H259&lt;4/24)-_xlfn.MAXIFS('LỆNH ĐIỀU XE'!$U$5:$U$604,'LỆNH ĐIỀU XE'!$B$5:$B$604,$A259,'LỆNH ĐIỀU XE'!$C$5:$C$604,$B259))*1440,0)))</f>
        <v/>
      </c>
      <c r="AJ259" s="16" t="str">
        <f>IF($A259="","",IF(OR(AI259="",V259=""),"Thiếu dữ liệu",IF(AND(AI259&lt;='THAM SỐ'!$B$29,ABS(V259)&lt;='THAM SỐ'!$B$28),"Đạt","Không đạt")))</f>
        <v/>
      </c>
      <c r="AK259" s="16" t="str">
        <f t="shared" si="38"/>
        <v/>
      </c>
      <c r="AL259" s="16" t="str">
        <f>IF($A259="","",TRIM(IF(T259=0,"Không có lệnh; ","")&amp;IF(N(N259)&gt;0,"Dừng ngoài lệnh; ","")&amp;IF(N(J259)&gt;0,"Quá tốc độ; ","")&amp;IF(N(K259)&gt;0,"Lái quá 4h; ","")&amp;IF(N(L259)&gt;0,"Không tắt máy; ","")&amp;IF(OR(P259&lt;&gt;"Đủ",Q259&lt;&gt;"Đủ",R259&lt;&gt;"Đủ"),"Thiếu ảnh; ","")&amp;IF(S259&lt;&gt;"Đạt","Lốp chưa đạt; ","")&amp;IF(N(W259)&gt;'THAM SỐ'!$B$27,"Có mặt quá giờ; ","")&amp;IF(N(X259)&gt;'THAM SỐ'!$B$25,"Lái quá giờ ngày; ","")&amp;IF(ISNUMBER(V259),IF(ABS(V259)&gt;'THAM SỐ'!$B$28,"Lệch km; ",""),"")))</f>
        <v/>
      </c>
      <c r="AM259" s="29"/>
      <c r="AN259" s="30"/>
      <c r="AO259" s="28" t="str">
        <f t="shared" si="39"/>
        <v/>
      </c>
      <c r="AP259" s="21" t="str">
        <f>IF(OR($A259="",AO259=""),"",IF(AG259=0,0,ROUND((AC259*'THAM SỐ'!$B$18+AD259*'THAM SỐ'!$B$19+AE259*'THAM SỐ'!$B$20+AF259*'THAM SỐ'!$B$21)*MIN(1,AO259/AG259),0)))</f>
        <v/>
      </c>
      <c r="AQ259" s="18"/>
    </row>
    <row r="260" spans="1:43" x14ac:dyDescent="0.45">
      <c r="A260" s="17"/>
      <c r="B260" s="18"/>
      <c r="C260" s="18"/>
      <c r="D260" s="25"/>
      <c r="E260" s="26"/>
      <c r="F260" s="26"/>
      <c r="G260" s="20"/>
      <c r="H260" s="20"/>
      <c r="I260" s="18"/>
      <c r="J260" s="18"/>
      <c r="K260" s="18"/>
      <c r="L260" s="18"/>
      <c r="M260" s="18"/>
      <c r="N260" s="18"/>
      <c r="O260" s="18"/>
      <c r="P260" s="18"/>
      <c r="Q260" s="18"/>
      <c r="R260" s="18"/>
      <c r="S260" s="18"/>
      <c r="T260" s="16" t="str">
        <f>IF($A260="","",COUNTIFS('LỆNH ĐIỀU XE'!$B$5:$B$604,$A260,'LỆNH ĐIỀU XE'!$C$5:$C$604,$B260))</f>
        <v/>
      </c>
      <c r="U260" s="27" t="str">
        <f>IF($A260="","",SUMIFS('LỆNH ĐIỀU XE'!$J$5:$J$604,'LỆNH ĐIỀU XE'!$B$5:$B$604,$A260,'LỆNH ĐIỀU XE'!$C$5:$C$604,$B260))</f>
        <v/>
      </c>
      <c r="V260" s="22" t="str">
        <f t="shared" si="30"/>
        <v/>
      </c>
      <c r="W260" s="28" t="str">
        <f t="shared" si="31"/>
        <v/>
      </c>
      <c r="X260" s="28" t="str">
        <f t="shared" si="32"/>
        <v/>
      </c>
      <c r="Y260" s="28" t="str">
        <f t="shared" si="33"/>
        <v/>
      </c>
      <c r="Z260" s="22" t="str">
        <f t="shared" si="34"/>
        <v/>
      </c>
      <c r="AA260" s="28" t="str">
        <f t="shared" si="35"/>
        <v/>
      </c>
      <c r="AB260" s="28" t="str">
        <f t="shared" si="36"/>
        <v/>
      </c>
      <c r="AC260" s="28" t="str">
        <f>IF($A260="","",SUMIFS('CHẶNG TĂNG CA'!$E$5:$E$304,'CHẶNG TĂNG CA'!$A$5:$A$304,$A260,'CHẶNG TĂNG CA'!$B$5:$B$304,$B260))</f>
        <v/>
      </c>
      <c r="AD260" s="28" t="str">
        <f>IF($A260="","",SUMIFS('CHẶNG TĂNG CA'!$F$5:$F$304,'CHẶNG TĂNG CA'!$A$5:$A$304,$A260,'CHẶNG TĂNG CA'!$B$5:$B$304,$B260))</f>
        <v/>
      </c>
      <c r="AE260" s="28" t="str">
        <f>IF($A260="","",SUMIFS('CHẶNG TĂNG CA'!$G$5:$G$304,'CHẶNG TĂNG CA'!$A$5:$A$304,$A260,'CHẶNG TĂNG CA'!$B$5:$B$304,$B260))</f>
        <v/>
      </c>
      <c r="AF260" s="28" t="str">
        <f>IF($A260="","",SUMIFS('CHẶNG TĂNG CA'!$H$5:$H$304,'CHẶNG TĂNG CA'!$A$5:$A$304,$A260,'CHẶNG TĂNG CA'!$B$5:$B$304,$B260))</f>
        <v/>
      </c>
      <c r="AG260" s="28" t="str">
        <f t="shared" si="37"/>
        <v/>
      </c>
      <c r="AH260" s="16" t="str">
        <f>IF($A260="","",IF(COUNTIFS('LỆNH ĐIỀU XE'!$B$5:$B$604,$A260,'LỆNH ĐIỀU XE'!$C$5:$C$604,$B260,'LỆNH ĐIỀU XE'!$N$5:$N$604,"Có")&gt;0,"Có","Không"))</f>
        <v/>
      </c>
      <c r="AI260" s="16" t="str">
        <f>IF(OR($A260="",H260="",N(T260)=0),"",IF(_xlfn.MAXIFS('LỆNH ĐIỀU XE'!$U$5:$U$604,'LỆNH ĐIỀU XE'!$B$5:$B$604,$A260,'LỆNH ĐIỀU XE'!$C$5:$C$604,$B260)=0,"",ROUND((H260+(H260&lt;4/24)-_xlfn.MAXIFS('LỆNH ĐIỀU XE'!$U$5:$U$604,'LỆNH ĐIỀU XE'!$B$5:$B$604,$A260,'LỆNH ĐIỀU XE'!$C$5:$C$604,$B260))*1440,0)))</f>
        <v/>
      </c>
      <c r="AJ260" s="16" t="str">
        <f>IF($A260="","",IF(OR(AI260="",V260=""),"Thiếu dữ liệu",IF(AND(AI260&lt;='THAM SỐ'!$B$29,ABS(V260)&lt;='THAM SỐ'!$B$28),"Đạt","Không đạt")))</f>
        <v/>
      </c>
      <c r="AK260" s="16" t="str">
        <f t="shared" si="38"/>
        <v/>
      </c>
      <c r="AL260" s="16" t="str">
        <f>IF($A260="","",TRIM(IF(T260=0,"Không có lệnh; ","")&amp;IF(N(N260)&gt;0,"Dừng ngoài lệnh; ","")&amp;IF(N(J260)&gt;0,"Quá tốc độ; ","")&amp;IF(N(K260)&gt;0,"Lái quá 4h; ","")&amp;IF(N(L260)&gt;0,"Không tắt máy; ","")&amp;IF(OR(P260&lt;&gt;"Đủ",Q260&lt;&gt;"Đủ",R260&lt;&gt;"Đủ"),"Thiếu ảnh; ","")&amp;IF(S260&lt;&gt;"Đạt","Lốp chưa đạt; ","")&amp;IF(N(W260)&gt;'THAM SỐ'!$B$27,"Có mặt quá giờ; ","")&amp;IF(N(X260)&gt;'THAM SỐ'!$B$25,"Lái quá giờ ngày; ","")&amp;IF(ISNUMBER(V260),IF(ABS(V260)&gt;'THAM SỐ'!$B$28,"Lệch km; ",""),"")))</f>
        <v/>
      </c>
      <c r="AM260" s="29"/>
      <c r="AN260" s="30"/>
      <c r="AO260" s="28" t="str">
        <f t="shared" si="39"/>
        <v/>
      </c>
      <c r="AP260" s="21" t="str">
        <f>IF(OR($A260="",AO260=""),"",IF(AG260=0,0,ROUND((AC260*'THAM SỐ'!$B$18+AD260*'THAM SỐ'!$B$19+AE260*'THAM SỐ'!$B$20+AF260*'THAM SỐ'!$B$21)*MIN(1,AO260/AG260),0)))</f>
        <v/>
      </c>
      <c r="AQ260" s="18"/>
    </row>
    <row r="261" spans="1:43" x14ac:dyDescent="0.45">
      <c r="A261" s="17"/>
      <c r="B261" s="18"/>
      <c r="C261" s="18"/>
      <c r="D261" s="25"/>
      <c r="E261" s="26"/>
      <c r="F261" s="26"/>
      <c r="G261" s="20"/>
      <c r="H261" s="20"/>
      <c r="I261" s="18"/>
      <c r="J261" s="18"/>
      <c r="K261" s="18"/>
      <c r="L261" s="18"/>
      <c r="M261" s="18"/>
      <c r="N261" s="18"/>
      <c r="O261" s="18"/>
      <c r="P261" s="18"/>
      <c r="Q261" s="18"/>
      <c r="R261" s="18"/>
      <c r="S261" s="18"/>
      <c r="T261" s="16" t="str">
        <f>IF($A261="","",COUNTIFS('LỆNH ĐIỀU XE'!$B$5:$B$604,$A261,'LỆNH ĐIỀU XE'!$C$5:$C$604,$B261))</f>
        <v/>
      </c>
      <c r="U261" s="27" t="str">
        <f>IF($A261="","",SUMIFS('LỆNH ĐIỀU XE'!$J$5:$J$604,'LỆNH ĐIỀU XE'!$B$5:$B$604,$A261,'LỆNH ĐIỀU XE'!$C$5:$C$604,$B261))</f>
        <v/>
      </c>
      <c r="V261" s="22" t="str">
        <f t="shared" ref="V261:V324" si="40">IF(OR($A261="",D261="",N(U261)=0),"",(D261-U261)/U261)</f>
        <v/>
      </c>
      <c r="W261" s="28" t="str">
        <f t="shared" ref="W261:W324" si="41">IF(OR($A261="",G261="",H261=""),"",ROUND((H261+(H261&lt;G261)-G261)*24,2))</f>
        <v/>
      </c>
      <c r="X261" s="28" t="str">
        <f t="shared" ref="X261:X324" si="42">IF(OR($A261="",E261=""),"",ROUND(E261*24,2))</f>
        <v/>
      </c>
      <c r="Y261" s="28" t="str">
        <f t="shared" ref="Y261:Y324" si="43">IF(OR(W261="",X261=""),"",MAX(0,W261-X261))</f>
        <v/>
      </c>
      <c r="Z261" s="22" t="str">
        <f t="shared" ref="Z261:Z324" si="44">IF(OR(W261="",X261="",N(W261)=0),"",X261/W261)</f>
        <v/>
      </c>
      <c r="AA261" s="28" t="str">
        <f t="shared" ref="AA261:AA324" si="45">IF(OR($A261="",F261="",X261=""),"",MAX(0,ROUND(F261*24-X261,2)))</f>
        <v/>
      </c>
      <c r="AB261" s="28" t="str">
        <f t="shared" ref="AB261:AB324" si="46">IF(OR($A261="",M261="",N(D261)=0),"",M261/D261*100)</f>
        <v/>
      </c>
      <c r="AC261" s="28" t="str">
        <f>IF($A261="","",SUMIFS('CHẶNG TĂNG CA'!$E$5:$E$304,'CHẶNG TĂNG CA'!$A$5:$A$304,$A261,'CHẶNG TĂNG CA'!$B$5:$B$304,$B261))</f>
        <v/>
      </c>
      <c r="AD261" s="28" t="str">
        <f>IF($A261="","",SUMIFS('CHẶNG TĂNG CA'!$F$5:$F$304,'CHẶNG TĂNG CA'!$A$5:$A$304,$A261,'CHẶNG TĂNG CA'!$B$5:$B$304,$B261))</f>
        <v/>
      </c>
      <c r="AE261" s="28" t="str">
        <f>IF($A261="","",SUMIFS('CHẶNG TĂNG CA'!$G$5:$G$304,'CHẶNG TĂNG CA'!$A$5:$A$304,$A261,'CHẶNG TĂNG CA'!$B$5:$B$304,$B261))</f>
        <v/>
      </c>
      <c r="AF261" s="28" t="str">
        <f>IF($A261="","",SUMIFS('CHẶNG TĂNG CA'!$H$5:$H$304,'CHẶNG TĂNG CA'!$A$5:$A$304,$A261,'CHẶNG TĂNG CA'!$B$5:$B$304,$B261))</f>
        <v/>
      </c>
      <c r="AG261" s="28" t="str">
        <f t="shared" ref="AG261:AG324" si="47">IF($A261="","",SUM(AC261:AF261))</f>
        <v/>
      </c>
      <c r="AH261" s="16" t="str">
        <f>IF($A261="","",IF(COUNTIFS('LỆNH ĐIỀU XE'!$B$5:$B$604,$A261,'LỆNH ĐIỀU XE'!$C$5:$C$604,$B261,'LỆNH ĐIỀU XE'!$N$5:$N$604,"Có")&gt;0,"Có","Không"))</f>
        <v/>
      </c>
      <c r="AI261" s="16" t="str">
        <f>IF(OR($A261="",H261="",N(T261)=0),"",IF(_xlfn.MAXIFS('LỆNH ĐIỀU XE'!$U$5:$U$604,'LỆNH ĐIỀU XE'!$B$5:$B$604,$A261,'LỆNH ĐIỀU XE'!$C$5:$C$604,$B261)=0,"",ROUND((H261+(H261&lt;4/24)-_xlfn.MAXIFS('LỆNH ĐIỀU XE'!$U$5:$U$604,'LỆNH ĐIỀU XE'!$B$5:$B$604,$A261,'LỆNH ĐIỀU XE'!$C$5:$C$604,$B261))*1440,0)))</f>
        <v/>
      </c>
      <c r="AJ261" s="16" t="str">
        <f>IF($A261="","",IF(OR(AI261="",V261=""),"Thiếu dữ liệu",IF(AND(AI261&lt;='THAM SỐ'!$B$29,ABS(V261)&lt;='THAM SỐ'!$B$28),"Đạt","Không đạt")))</f>
        <v/>
      </c>
      <c r="AK261" s="16" t="str">
        <f t="shared" ref="AK261:AK324" si="48">IF($A261="","",IF(AG261=0,"Không có OT",IF(AND(AH261="Có",AJ261="Đạt"),"Đủ điều kiện","Cần giải trình")))</f>
        <v/>
      </c>
      <c r="AL261" s="16" t="str">
        <f>IF($A261="","",TRIM(IF(T261=0,"Không có lệnh; ","")&amp;IF(N(N261)&gt;0,"Dừng ngoài lệnh; ","")&amp;IF(N(J261)&gt;0,"Quá tốc độ; ","")&amp;IF(N(K261)&gt;0,"Lái quá 4h; ","")&amp;IF(N(L261)&gt;0,"Không tắt máy; ","")&amp;IF(OR(P261&lt;&gt;"Đủ",Q261&lt;&gt;"Đủ",R261&lt;&gt;"Đủ"),"Thiếu ảnh; ","")&amp;IF(S261&lt;&gt;"Đạt","Lốp chưa đạt; ","")&amp;IF(N(W261)&gt;'THAM SỐ'!$B$27,"Có mặt quá giờ; ","")&amp;IF(N(X261)&gt;'THAM SỐ'!$B$25,"Lái quá giờ ngày; ","")&amp;IF(ISNUMBER(V261),IF(ABS(V261)&gt;'THAM SỐ'!$B$28,"Lệch km; ",""),"")))</f>
        <v/>
      </c>
      <c r="AM261" s="29"/>
      <c r="AN261" s="30"/>
      <c r="AO261" s="28" t="str">
        <f t="shared" ref="AO261:AO324" si="49">IF($A261="","",IF(AM261="Duyệt đủ",AG261,IF(AM261="Duyệt một phần",N(AN261),IF(AM261="Không duyệt",0,""))))</f>
        <v/>
      </c>
      <c r="AP261" s="21" t="str">
        <f>IF(OR($A261="",AO261=""),"",IF(AG261=0,0,ROUND((AC261*'THAM SỐ'!$B$18+AD261*'THAM SỐ'!$B$19+AE261*'THAM SỐ'!$B$20+AF261*'THAM SỐ'!$B$21)*MIN(1,AO261/AG261),0)))</f>
        <v/>
      </c>
      <c r="AQ261" s="18"/>
    </row>
    <row r="262" spans="1:43" x14ac:dyDescent="0.45">
      <c r="A262" s="17"/>
      <c r="B262" s="18"/>
      <c r="C262" s="18"/>
      <c r="D262" s="25"/>
      <c r="E262" s="26"/>
      <c r="F262" s="26"/>
      <c r="G262" s="20"/>
      <c r="H262" s="20"/>
      <c r="I262" s="18"/>
      <c r="J262" s="18"/>
      <c r="K262" s="18"/>
      <c r="L262" s="18"/>
      <c r="M262" s="18"/>
      <c r="N262" s="18"/>
      <c r="O262" s="18"/>
      <c r="P262" s="18"/>
      <c r="Q262" s="18"/>
      <c r="R262" s="18"/>
      <c r="S262" s="18"/>
      <c r="T262" s="16" t="str">
        <f>IF($A262="","",COUNTIFS('LỆNH ĐIỀU XE'!$B$5:$B$604,$A262,'LỆNH ĐIỀU XE'!$C$5:$C$604,$B262))</f>
        <v/>
      </c>
      <c r="U262" s="27" t="str">
        <f>IF($A262="","",SUMIFS('LỆNH ĐIỀU XE'!$J$5:$J$604,'LỆNH ĐIỀU XE'!$B$5:$B$604,$A262,'LỆNH ĐIỀU XE'!$C$5:$C$604,$B262))</f>
        <v/>
      </c>
      <c r="V262" s="22" t="str">
        <f t="shared" si="40"/>
        <v/>
      </c>
      <c r="W262" s="28" t="str">
        <f t="shared" si="41"/>
        <v/>
      </c>
      <c r="X262" s="28" t="str">
        <f t="shared" si="42"/>
        <v/>
      </c>
      <c r="Y262" s="28" t="str">
        <f t="shared" si="43"/>
        <v/>
      </c>
      <c r="Z262" s="22" t="str">
        <f t="shared" si="44"/>
        <v/>
      </c>
      <c r="AA262" s="28" t="str">
        <f t="shared" si="45"/>
        <v/>
      </c>
      <c r="AB262" s="28" t="str">
        <f t="shared" si="46"/>
        <v/>
      </c>
      <c r="AC262" s="28" t="str">
        <f>IF($A262="","",SUMIFS('CHẶNG TĂNG CA'!$E$5:$E$304,'CHẶNG TĂNG CA'!$A$5:$A$304,$A262,'CHẶNG TĂNG CA'!$B$5:$B$304,$B262))</f>
        <v/>
      </c>
      <c r="AD262" s="28" t="str">
        <f>IF($A262="","",SUMIFS('CHẶNG TĂNG CA'!$F$5:$F$304,'CHẶNG TĂNG CA'!$A$5:$A$304,$A262,'CHẶNG TĂNG CA'!$B$5:$B$304,$B262))</f>
        <v/>
      </c>
      <c r="AE262" s="28" t="str">
        <f>IF($A262="","",SUMIFS('CHẶNG TĂNG CA'!$G$5:$G$304,'CHẶNG TĂNG CA'!$A$5:$A$304,$A262,'CHẶNG TĂNG CA'!$B$5:$B$304,$B262))</f>
        <v/>
      </c>
      <c r="AF262" s="28" t="str">
        <f>IF($A262="","",SUMIFS('CHẶNG TĂNG CA'!$H$5:$H$304,'CHẶNG TĂNG CA'!$A$5:$A$304,$A262,'CHẶNG TĂNG CA'!$B$5:$B$304,$B262))</f>
        <v/>
      </c>
      <c r="AG262" s="28" t="str">
        <f t="shared" si="47"/>
        <v/>
      </c>
      <c r="AH262" s="16" t="str">
        <f>IF($A262="","",IF(COUNTIFS('LỆNH ĐIỀU XE'!$B$5:$B$604,$A262,'LỆNH ĐIỀU XE'!$C$5:$C$604,$B262,'LỆNH ĐIỀU XE'!$N$5:$N$604,"Có")&gt;0,"Có","Không"))</f>
        <v/>
      </c>
      <c r="AI262" s="16" t="str">
        <f>IF(OR($A262="",H262="",N(T262)=0),"",IF(_xlfn.MAXIFS('LỆNH ĐIỀU XE'!$U$5:$U$604,'LỆNH ĐIỀU XE'!$B$5:$B$604,$A262,'LỆNH ĐIỀU XE'!$C$5:$C$604,$B262)=0,"",ROUND((H262+(H262&lt;4/24)-_xlfn.MAXIFS('LỆNH ĐIỀU XE'!$U$5:$U$604,'LỆNH ĐIỀU XE'!$B$5:$B$604,$A262,'LỆNH ĐIỀU XE'!$C$5:$C$604,$B262))*1440,0)))</f>
        <v/>
      </c>
      <c r="AJ262" s="16" t="str">
        <f>IF($A262="","",IF(OR(AI262="",V262=""),"Thiếu dữ liệu",IF(AND(AI262&lt;='THAM SỐ'!$B$29,ABS(V262)&lt;='THAM SỐ'!$B$28),"Đạt","Không đạt")))</f>
        <v/>
      </c>
      <c r="AK262" s="16" t="str">
        <f t="shared" si="48"/>
        <v/>
      </c>
      <c r="AL262" s="16" t="str">
        <f>IF($A262="","",TRIM(IF(T262=0,"Không có lệnh; ","")&amp;IF(N(N262)&gt;0,"Dừng ngoài lệnh; ","")&amp;IF(N(J262)&gt;0,"Quá tốc độ; ","")&amp;IF(N(K262)&gt;0,"Lái quá 4h; ","")&amp;IF(N(L262)&gt;0,"Không tắt máy; ","")&amp;IF(OR(P262&lt;&gt;"Đủ",Q262&lt;&gt;"Đủ",R262&lt;&gt;"Đủ"),"Thiếu ảnh; ","")&amp;IF(S262&lt;&gt;"Đạt","Lốp chưa đạt; ","")&amp;IF(N(W262)&gt;'THAM SỐ'!$B$27,"Có mặt quá giờ; ","")&amp;IF(N(X262)&gt;'THAM SỐ'!$B$25,"Lái quá giờ ngày; ","")&amp;IF(ISNUMBER(V262),IF(ABS(V262)&gt;'THAM SỐ'!$B$28,"Lệch km; ",""),"")))</f>
        <v/>
      </c>
      <c r="AM262" s="29"/>
      <c r="AN262" s="30"/>
      <c r="AO262" s="28" t="str">
        <f t="shared" si="49"/>
        <v/>
      </c>
      <c r="AP262" s="21" t="str">
        <f>IF(OR($A262="",AO262=""),"",IF(AG262=0,0,ROUND((AC262*'THAM SỐ'!$B$18+AD262*'THAM SỐ'!$B$19+AE262*'THAM SỐ'!$B$20+AF262*'THAM SỐ'!$B$21)*MIN(1,AO262/AG262),0)))</f>
        <v/>
      </c>
      <c r="AQ262" s="18"/>
    </row>
    <row r="263" spans="1:43" x14ac:dyDescent="0.45">
      <c r="A263" s="17"/>
      <c r="B263" s="18"/>
      <c r="C263" s="18"/>
      <c r="D263" s="25"/>
      <c r="E263" s="26"/>
      <c r="F263" s="26"/>
      <c r="G263" s="20"/>
      <c r="H263" s="20"/>
      <c r="I263" s="18"/>
      <c r="J263" s="18"/>
      <c r="K263" s="18"/>
      <c r="L263" s="18"/>
      <c r="M263" s="18"/>
      <c r="N263" s="18"/>
      <c r="O263" s="18"/>
      <c r="P263" s="18"/>
      <c r="Q263" s="18"/>
      <c r="R263" s="18"/>
      <c r="S263" s="18"/>
      <c r="T263" s="16" t="str">
        <f>IF($A263="","",COUNTIFS('LỆNH ĐIỀU XE'!$B$5:$B$604,$A263,'LỆNH ĐIỀU XE'!$C$5:$C$604,$B263))</f>
        <v/>
      </c>
      <c r="U263" s="27" t="str">
        <f>IF($A263="","",SUMIFS('LỆNH ĐIỀU XE'!$J$5:$J$604,'LỆNH ĐIỀU XE'!$B$5:$B$604,$A263,'LỆNH ĐIỀU XE'!$C$5:$C$604,$B263))</f>
        <v/>
      </c>
      <c r="V263" s="22" t="str">
        <f t="shared" si="40"/>
        <v/>
      </c>
      <c r="W263" s="28" t="str">
        <f t="shared" si="41"/>
        <v/>
      </c>
      <c r="X263" s="28" t="str">
        <f t="shared" si="42"/>
        <v/>
      </c>
      <c r="Y263" s="28" t="str">
        <f t="shared" si="43"/>
        <v/>
      </c>
      <c r="Z263" s="22" t="str">
        <f t="shared" si="44"/>
        <v/>
      </c>
      <c r="AA263" s="28" t="str">
        <f t="shared" si="45"/>
        <v/>
      </c>
      <c r="AB263" s="28" t="str">
        <f t="shared" si="46"/>
        <v/>
      </c>
      <c r="AC263" s="28" t="str">
        <f>IF($A263="","",SUMIFS('CHẶNG TĂNG CA'!$E$5:$E$304,'CHẶNG TĂNG CA'!$A$5:$A$304,$A263,'CHẶNG TĂNG CA'!$B$5:$B$304,$B263))</f>
        <v/>
      </c>
      <c r="AD263" s="28" t="str">
        <f>IF($A263="","",SUMIFS('CHẶNG TĂNG CA'!$F$5:$F$304,'CHẶNG TĂNG CA'!$A$5:$A$304,$A263,'CHẶNG TĂNG CA'!$B$5:$B$304,$B263))</f>
        <v/>
      </c>
      <c r="AE263" s="28" t="str">
        <f>IF($A263="","",SUMIFS('CHẶNG TĂNG CA'!$G$5:$G$304,'CHẶNG TĂNG CA'!$A$5:$A$304,$A263,'CHẶNG TĂNG CA'!$B$5:$B$304,$B263))</f>
        <v/>
      </c>
      <c r="AF263" s="28" t="str">
        <f>IF($A263="","",SUMIFS('CHẶNG TĂNG CA'!$H$5:$H$304,'CHẶNG TĂNG CA'!$A$5:$A$304,$A263,'CHẶNG TĂNG CA'!$B$5:$B$304,$B263))</f>
        <v/>
      </c>
      <c r="AG263" s="28" t="str">
        <f t="shared" si="47"/>
        <v/>
      </c>
      <c r="AH263" s="16" t="str">
        <f>IF($A263="","",IF(COUNTIFS('LỆNH ĐIỀU XE'!$B$5:$B$604,$A263,'LỆNH ĐIỀU XE'!$C$5:$C$604,$B263,'LỆNH ĐIỀU XE'!$N$5:$N$604,"Có")&gt;0,"Có","Không"))</f>
        <v/>
      </c>
      <c r="AI263" s="16" t="str">
        <f>IF(OR($A263="",H263="",N(T263)=0),"",IF(_xlfn.MAXIFS('LỆNH ĐIỀU XE'!$U$5:$U$604,'LỆNH ĐIỀU XE'!$B$5:$B$604,$A263,'LỆNH ĐIỀU XE'!$C$5:$C$604,$B263)=0,"",ROUND((H263+(H263&lt;4/24)-_xlfn.MAXIFS('LỆNH ĐIỀU XE'!$U$5:$U$604,'LỆNH ĐIỀU XE'!$B$5:$B$604,$A263,'LỆNH ĐIỀU XE'!$C$5:$C$604,$B263))*1440,0)))</f>
        <v/>
      </c>
      <c r="AJ263" s="16" t="str">
        <f>IF($A263="","",IF(OR(AI263="",V263=""),"Thiếu dữ liệu",IF(AND(AI263&lt;='THAM SỐ'!$B$29,ABS(V263)&lt;='THAM SỐ'!$B$28),"Đạt","Không đạt")))</f>
        <v/>
      </c>
      <c r="AK263" s="16" t="str">
        <f t="shared" si="48"/>
        <v/>
      </c>
      <c r="AL263" s="16" t="str">
        <f>IF($A263="","",TRIM(IF(T263=0,"Không có lệnh; ","")&amp;IF(N(N263)&gt;0,"Dừng ngoài lệnh; ","")&amp;IF(N(J263)&gt;0,"Quá tốc độ; ","")&amp;IF(N(K263)&gt;0,"Lái quá 4h; ","")&amp;IF(N(L263)&gt;0,"Không tắt máy; ","")&amp;IF(OR(P263&lt;&gt;"Đủ",Q263&lt;&gt;"Đủ",R263&lt;&gt;"Đủ"),"Thiếu ảnh; ","")&amp;IF(S263&lt;&gt;"Đạt","Lốp chưa đạt; ","")&amp;IF(N(W263)&gt;'THAM SỐ'!$B$27,"Có mặt quá giờ; ","")&amp;IF(N(X263)&gt;'THAM SỐ'!$B$25,"Lái quá giờ ngày; ","")&amp;IF(ISNUMBER(V263),IF(ABS(V263)&gt;'THAM SỐ'!$B$28,"Lệch km; ",""),"")))</f>
        <v/>
      </c>
      <c r="AM263" s="29"/>
      <c r="AN263" s="30"/>
      <c r="AO263" s="28" t="str">
        <f t="shared" si="49"/>
        <v/>
      </c>
      <c r="AP263" s="21" t="str">
        <f>IF(OR($A263="",AO263=""),"",IF(AG263=0,0,ROUND((AC263*'THAM SỐ'!$B$18+AD263*'THAM SỐ'!$B$19+AE263*'THAM SỐ'!$B$20+AF263*'THAM SỐ'!$B$21)*MIN(1,AO263/AG263),0)))</f>
        <v/>
      </c>
      <c r="AQ263" s="18"/>
    </row>
    <row r="264" spans="1:43" x14ac:dyDescent="0.45">
      <c r="A264" s="17"/>
      <c r="B264" s="18"/>
      <c r="C264" s="18"/>
      <c r="D264" s="25"/>
      <c r="E264" s="26"/>
      <c r="F264" s="26"/>
      <c r="G264" s="20"/>
      <c r="H264" s="20"/>
      <c r="I264" s="18"/>
      <c r="J264" s="18"/>
      <c r="K264" s="18"/>
      <c r="L264" s="18"/>
      <c r="M264" s="18"/>
      <c r="N264" s="18"/>
      <c r="O264" s="18"/>
      <c r="P264" s="18"/>
      <c r="Q264" s="18"/>
      <c r="R264" s="18"/>
      <c r="S264" s="18"/>
      <c r="T264" s="16" t="str">
        <f>IF($A264="","",COUNTIFS('LỆNH ĐIỀU XE'!$B$5:$B$604,$A264,'LỆNH ĐIỀU XE'!$C$5:$C$604,$B264))</f>
        <v/>
      </c>
      <c r="U264" s="27" t="str">
        <f>IF($A264="","",SUMIFS('LỆNH ĐIỀU XE'!$J$5:$J$604,'LỆNH ĐIỀU XE'!$B$5:$B$604,$A264,'LỆNH ĐIỀU XE'!$C$5:$C$604,$B264))</f>
        <v/>
      </c>
      <c r="V264" s="22" t="str">
        <f t="shared" si="40"/>
        <v/>
      </c>
      <c r="W264" s="28" t="str">
        <f t="shared" si="41"/>
        <v/>
      </c>
      <c r="X264" s="28" t="str">
        <f t="shared" si="42"/>
        <v/>
      </c>
      <c r="Y264" s="28" t="str">
        <f t="shared" si="43"/>
        <v/>
      </c>
      <c r="Z264" s="22" t="str">
        <f t="shared" si="44"/>
        <v/>
      </c>
      <c r="AA264" s="28" t="str">
        <f t="shared" si="45"/>
        <v/>
      </c>
      <c r="AB264" s="28" t="str">
        <f t="shared" si="46"/>
        <v/>
      </c>
      <c r="AC264" s="28" t="str">
        <f>IF($A264="","",SUMIFS('CHẶNG TĂNG CA'!$E$5:$E$304,'CHẶNG TĂNG CA'!$A$5:$A$304,$A264,'CHẶNG TĂNG CA'!$B$5:$B$304,$B264))</f>
        <v/>
      </c>
      <c r="AD264" s="28" t="str">
        <f>IF($A264="","",SUMIFS('CHẶNG TĂNG CA'!$F$5:$F$304,'CHẶNG TĂNG CA'!$A$5:$A$304,$A264,'CHẶNG TĂNG CA'!$B$5:$B$304,$B264))</f>
        <v/>
      </c>
      <c r="AE264" s="28" t="str">
        <f>IF($A264="","",SUMIFS('CHẶNG TĂNG CA'!$G$5:$G$304,'CHẶNG TĂNG CA'!$A$5:$A$304,$A264,'CHẶNG TĂNG CA'!$B$5:$B$304,$B264))</f>
        <v/>
      </c>
      <c r="AF264" s="28" t="str">
        <f>IF($A264="","",SUMIFS('CHẶNG TĂNG CA'!$H$5:$H$304,'CHẶNG TĂNG CA'!$A$5:$A$304,$A264,'CHẶNG TĂNG CA'!$B$5:$B$304,$B264))</f>
        <v/>
      </c>
      <c r="AG264" s="28" t="str">
        <f t="shared" si="47"/>
        <v/>
      </c>
      <c r="AH264" s="16" t="str">
        <f>IF($A264="","",IF(COUNTIFS('LỆNH ĐIỀU XE'!$B$5:$B$604,$A264,'LỆNH ĐIỀU XE'!$C$5:$C$604,$B264,'LỆNH ĐIỀU XE'!$N$5:$N$604,"Có")&gt;0,"Có","Không"))</f>
        <v/>
      </c>
      <c r="AI264" s="16" t="str">
        <f>IF(OR($A264="",H264="",N(T264)=0),"",IF(_xlfn.MAXIFS('LỆNH ĐIỀU XE'!$U$5:$U$604,'LỆNH ĐIỀU XE'!$B$5:$B$604,$A264,'LỆNH ĐIỀU XE'!$C$5:$C$604,$B264)=0,"",ROUND((H264+(H264&lt;4/24)-_xlfn.MAXIFS('LỆNH ĐIỀU XE'!$U$5:$U$604,'LỆNH ĐIỀU XE'!$B$5:$B$604,$A264,'LỆNH ĐIỀU XE'!$C$5:$C$604,$B264))*1440,0)))</f>
        <v/>
      </c>
      <c r="AJ264" s="16" t="str">
        <f>IF($A264="","",IF(OR(AI264="",V264=""),"Thiếu dữ liệu",IF(AND(AI264&lt;='THAM SỐ'!$B$29,ABS(V264)&lt;='THAM SỐ'!$B$28),"Đạt","Không đạt")))</f>
        <v/>
      </c>
      <c r="AK264" s="16" t="str">
        <f t="shared" si="48"/>
        <v/>
      </c>
      <c r="AL264" s="16" t="str">
        <f>IF($A264="","",TRIM(IF(T264=0,"Không có lệnh; ","")&amp;IF(N(N264)&gt;0,"Dừng ngoài lệnh; ","")&amp;IF(N(J264)&gt;0,"Quá tốc độ; ","")&amp;IF(N(K264)&gt;0,"Lái quá 4h; ","")&amp;IF(N(L264)&gt;0,"Không tắt máy; ","")&amp;IF(OR(P264&lt;&gt;"Đủ",Q264&lt;&gt;"Đủ",R264&lt;&gt;"Đủ"),"Thiếu ảnh; ","")&amp;IF(S264&lt;&gt;"Đạt","Lốp chưa đạt; ","")&amp;IF(N(W264)&gt;'THAM SỐ'!$B$27,"Có mặt quá giờ; ","")&amp;IF(N(X264)&gt;'THAM SỐ'!$B$25,"Lái quá giờ ngày; ","")&amp;IF(ISNUMBER(V264),IF(ABS(V264)&gt;'THAM SỐ'!$B$28,"Lệch km; ",""),"")))</f>
        <v/>
      </c>
      <c r="AM264" s="29"/>
      <c r="AN264" s="30"/>
      <c r="AO264" s="28" t="str">
        <f t="shared" si="49"/>
        <v/>
      </c>
      <c r="AP264" s="21" t="str">
        <f>IF(OR($A264="",AO264=""),"",IF(AG264=0,0,ROUND((AC264*'THAM SỐ'!$B$18+AD264*'THAM SỐ'!$B$19+AE264*'THAM SỐ'!$B$20+AF264*'THAM SỐ'!$B$21)*MIN(1,AO264/AG264),0)))</f>
        <v/>
      </c>
      <c r="AQ264" s="18"/>
    </row>
    <row r="265" spans="1:43" x14ac:dyDescent="0.45">
      <c r="A265" s="17"/>
      <c r="B265" s="18"/>
      <c r="C265" s="18"/>
      <c r="D265" s="25"/>
      <c r="E265" s="26"/>
      <c r="F265" s="26"/>
      <c r="G265" s="20"/>
      <c r="H265" s="20"/>
      <c r="I265" s="18"/>
      <c r="J265" s="18"/>
      <c r="K265" s="18"/>
      <c r="L265" s="18"/>
      <c r="M265" s="18"/>
      <c r="N265" s="18"/>
      <c r="O265" s="18"/>
      <c r="P265" s="18"/>
      <c r="Q265" s="18"/>
      <c r="R265" s="18"/>
      <c r="S265" s="18"/>
      <c r="T265" s="16" t="str">
        <f>IF($A265="","",COUNTIFS('LỆNH ĐIỀU XE'!$B$5:$B$604,$A265,'LỆNH ĐIỀU XE'!$C$5:$C$604,$B265))</f>
        <v/>
      </c>
      <c r="U265" s="27" t="str">
        <f>IF($A265="","",SUMIFS('LỆNH ĐIỀU XE'!$J$5:$J$604,'LỆNH ĐIỀU XE'!$B$5:$B$604,$A265,'LỆNH ĐIỀU XE'!$C$5:$C$604,$B265))</f>
        <v/>
      </c>
      <c r="V265" s="22" t="str">
        <f t="shared" si="40"/>
        <v/>
      </c>
      <c r="W265" s="28" t="str">
        <f t="shared" si="41"/>
        <v/>
      </c>
      <c r="X265" s="28" t="str">
        <f t="shared" si="42"/>
        <v/>
      </c>
      <c r="Y265" s="28" t="str">
        <f t="shared" si="43"/>
        <v/>
      </c>
      <c r="Z265" s="22" t="str">
        <f t="shared" si="44"/>
        <v/>
      </c>
      <c r="AA265" s="28" t="str">
        <f t="shared" si="45"/>
        <v/>
      </c>
      <c r="AB265" s="28" t="str">
        <f t="shared" si="46"/>
        <v/>
      </c>
      <c r="AC265" s="28" t="str">
        <f>IF($A265="","",SUMIFS('CHẶNG TĂNG CA'!$E$5:$E$304,'CHẶNG TĂNG CA'!$A$5:$A$304,$A265,'CHẶNG TĂNG CA'!$B$5:$B$304,$B265))</f>
        <v/>
      </c>
      <c r="AD265" s="28" t="str">
        <f>IF($A265="","",SUMIFS('CHẶNG TĂNG CA'!$F$5:$F$304,'CHẶNG TĂNG CA'!$A$5:$A$304,$A265,'CHẶNG TĂNG CA'!$B$5:$B$304,$B265))</f>
        <v/>
      </c>
      <c r="AE265" s="28" t="str">
        <f>IF($A265="","",SUMIFS('CHẶNG TĂNG CA'!$G$5:$G$304,'CHẶNG TĂNG CA'!$A$5:$A$304,$A265,'CHẶNG TĂNG CA'!$B$5:$B$304,$B265))</f>
        <v/>
      </c>
      <c r="AF265" s="28" t="str">
        <f>IF($A265="","",SUMIFS('CHẶNG TĂNG CA'!$H$5:$H$304,'CHẶNG TĂNG CA'!$A$5:$A$304,$A265,'CHẶNG TĂNG CA'!$B$5:$B$304,$B265))</f>
        <v/>
      </c>
      <c r="AG265" s="28" t="str">
        <f t="shared" si="47"/>
        <v/>
      </c>
      <c r="AH265" s="16" t="str">
        <f>IF($A265="","",IF(COUNTIFS('LỆNH ĐIỀU XE'!$B$5:$B$604,$A265,'LỆNH ĐIỀU XE'!$C$5:$C$604,$B265,'LỆNH ĐIỀU XE'!$N$5:$N$604,"Có")&gt;0,"Có","Không"))</f>
        <v/>
      </c>
      <c r="AI265" s="16" t="str">
        <f>IF(OR($A265="",H265="",N(T265)=0),"",IF(_xlfn.MAXIFS('LỆNH ĐIỀU XE'!$U$5:$U$604,'LỆNH ĐIỀU XE'!$B$5:$B$604,$A265,'LỆNH ĐIỀU XE'!$C$5:$C$604,$B265)=0,"",ROUND((H265+(H265&lt;4/24)-_xlfn.MAXIFS('LỆNH ĐIỀU XE'!$U$5:$U$604,'LỆNH ĐIỀU XE'!$B$5:$B$604,$A265,'LỆNH ĐIỀU XE'!$C$5:$C$604,$B265))*1440,0)))</f>
        <v/>
      </c>
      <c r="AJ265" s="16" t="str">
        <f>IF($A265="","",IF(OR(AI265="",V265=""),"Thiếu dữ liệu",IF(AND(AI265&lt;='THAM SỐ'!$B$29,ABS(V265)&lt;='THAM SỐ'!$B$28),"Đạt","Không đạt")))</f>
        <v/>
      </c>
      <c r="AK265" s="16" t="str">
        <f t="shared" si="48"/>
        <v/>
      </c>
      <c r="AL265" s="16" t="str">
        <f>IF($A265="","",TRIM(IF(T265=0,"Không có lệnh; ","")&amp;IF(N(N265)&gt;0,"Dừng ngoài lệnh; ","")&amp;IF(N(J265)&gt;0,"Quá tốc độ; ","")&amp;IF(N(K265)&gt;0,"Lái quá 4h; ","")&amp;IF(N(L265)&gt;0,"Không tắt máy; ","")&amp;IF(OR(P265&lt;&gt;"Đủ",Q265&lt;&gt;"Đủ",R265&lt;&gt;"Đủ"),"Thiếu ảnh; ","")&amp;IF(S265&lt;&gt;"Đạt","Lốp chưa đạt; ","")&amp;IF(N(W265)&gt;'THAM SỐ'!$B$27,"Có mặt quá giờ; ","")&amp;IF(N(X265)&gt;'THAM SỐ'!$B$25,"Lái quá giờ ngày; ","")&amp;IF(ISNUMBER(V265),IF(ABS(V265)&gt;'THAM SỐ'!$B$28,"Lệch km; ",""),"")))</f>
        <v/>
      </c>
      <c r="AM265" s="29"/>
      <c r="AN265" s="30"/>
      <c r="AO265" s="28" t="str">
        <f t="shared" si="49"/>
        <v/>
      </c>
      <c r="AP265" s="21" t="str">
        <f>IF(OR($A265="",AO265=""),"",IF(AG265=0,0,ROUND((AC265*'THAM SỐ'!$B$18+AD265*'THAM SỐ'!$B$19+AE265*'THAM SỐ'!$B$20+AF265*'THAM SỐ'!$B$21)*MIN(1,AO265/AG265),0)))</f>
        <v/>
      </c>
      <c r="AQ265" s="18"/>
    </row>
    <row r="266" spans="1:43" x14ac:dyDescent="0.45">
      <c r="A266" s="17"/>
      <c r="B266" s="18"/>
      <c r="C266" s="18"/>
      <c r="D266" s="25"/>
      <c r="E266" s="26"/>
      <c r="F266" s="26"/>
      <c r="G266" s="20"/>
      <c r="H266" s="20"/>
      <c r="I266" s="18"/>
      <c r="J266" s="18"/>
      <c r="K266" s="18"/>
      <c r="L266" s="18"/>
      <c r="M266" s="18"/>
      <c r="N266" s="18"/>
      <c r="O266" s="18"/>
      <c r="P266" s="18"/>
      <c r="Q266" s="18"/>
      <c r="R266" s="18"/>
      <c r="S266" s="18"/>
      <c r="T266" s="16" t="str">
        <f>IF($A266="","",COUNTIFS('LỆNH ĐIỀU XE'!$B$5:$B$604,$A266,'LỆNH ĐIỀU XE'!$C$5:$C$604,$B266))</f>
        <v/>
      </c>
      <c r="U266" s="27" t="str">
        <f>IF($A266="","",SUMIFS('LỆNH ĐIỀU XE'!$J$5:$J$604,'LỆNH ĐIỀU XE'!$B$5:$B$604,$A266,'LỆNH ĐIỀU XE'!$C$5:$C$604,$B266))</f>
        <v/>
      </c>
      <c r="V266" s="22" t="str">
        <f t="shared" si="40"/>
        <v/>
      </c>
      <c r="W266" s="28" t="str">
        <f t="shared" si="41"/>
        <v/>
      </c>
      <c r="X266" s="28" t="str">
        <f t="shared" si="42"/>
        <v/>
      </c>
      <c r="Y266" s="28" t="str">
        <f t="shared" si="43"/>
        <v/>
      </c>
      <c r="Z266" s="22" t="str">
        <f t="shared" si="44"/>
        <v/>
      </c>
      <c r="AA266" s="28" t="str">
        <f t="shared" si="45"/>
        <v/>
      </c>
      <c r="AB266" s="28" t="str">
        <f t="shared" si="46"/>
        <v/>
      </c>
      <c r="AC266" s="28" t="str">
        <f>IF($A266="","",SUMIFS('CHẶNG TĂNG CA'!$E$5:$E$304,'CHẶNG TĂNG CA'!$A$5:$A$304,$A266,'CHẶNG TĂNG CA'!$B$5:$B$304,$B266))</f>
        <v/>
      </c>
      <c r="AD266" s="28" t="str">
        <f>IF($A266="","",SUMIFS('CHẶNG TĂNG CA'!$F$5:$F$304,'CHẶNG TĂNG CA'!$A$5:$A$304,$A266,'CHẶNG TĂNG CA'!$B$5:$B$304,$B266))</f>
        <v/>
      </c>
      <c r="AE266" s="28" t="str">
        <f>IF($A266="","",SUMIFS('CHẶNG TĂNG CA'!$G$5:$G$304,'CHẶNG TĂNG CA'!$A$5:$A$304,$A266,'CHẶNG TĂNG CA'!$B$5:$B$304,$B266))</f>
        <v/>
      </c>
      <c r="AF266" s="28" t="str">
        <f>IF($A266="","",SUMIFS('CHẶNG TĂNG CA'!$H$5:$H$304,'CHẶNG TĂNG CA'!$A$5:$A$304,$A266,'CHẶNG TĂNG CA'!$B$5:$B$304,$B266))</f>
        <v/>
      </c>
      <c r="AG266" s="28" t="str">
        <f t="shared" si="47"/>
        <v/>
      </c>
      <c r="AH266" s="16" t="str">
        <f>IF($A266="","",IF(COUNTIFS('LỆNH ĐIỀU XE'!$B$5:$B$604,$A266,'LỆNH ĐIỀU XE'!$C$5:$C$604,$B266,'LỆNH ĐIỀU XE'!$N$5:$N$604,"Có")&gt;0,"Có","Không"))</f>
        <v/>
      </c>
      <c r="AI266" s="16" t="str">
        <f>IF(OR($A266="",H266="",N(T266)=0),"",IF(_xlfn.MAXIFS('LỆNH ĐIỀU XE'!$U$5:$U$604,'LỆNH ĐIỀU XE'!$B$5:$B$604,$A266,'LỆNH ĐIỀU XE'!$C$5:$C$604,$B266)=0,"",ROUND((H266+(H266&lt;4/24)-_xlfn.MAXIFS('LỆNH ĐIỀU XE'!$U$5:$U$604,'LỆNH ĐIỀU XE'!$B$5:$B$604,$A266,'LỆNH ĐIỀU XE'!$C$5:$C$604,$B266))*1440,0)))</f>
        <v/>
      </c>
      <c r="AJ266" s="16" t="str">
        <f>IF($A266="","",IF(OR(AI266="",V266=""),"Thiếu dữ liệu",IF(AND(AI266&lt;='THAM SỐ'!$B$29,ABS(V266)&lt;='THAM SỐ'!$B$28),"Đạt","Không đạt")))</f>
        <v/>
      </c>
      <c r="AK266" s="16" t="str">
        <f t="shared" si="48"/>
        <v/>
      </c>
      <c r="AL266" s="16" t="str">
        <f>IF($A266="","",TRIM(IF(T266=0,"Không có lệnh; ","")&amp;IF(N(N266)&gt;0,"Dừng ngoài lệnh; ","")&amp;IF(N(J266)&gt;0,"Quá tốc độ; ","")&amp;IF(N(K266)&gt;0,"Lái quá 4h; ","")&amp;IF(N(L266)&gt;0,"Không tắt máy; ","")&amp;IF(OR(P266&lt;&gt;"Đủ",Q266&lt;&gt;"Đủ",R266&lt;&gt;"Đủ"),"Thiếu ảnh; ","")&amp;IF(S266&lt;&gt;"Đạt","Lốp chưa đạt; ","")&amp;IF(N(W266)&gt;'THAM SỐ'!$B$27,"Có mặt quá giờ; ","")&amp;IF(N(X266)&gt;'THAM SỐ'!$B$25,"Lái quá giờ ngày; ","")&amp;IF(ISNUMBER(V266),IF(ABS(V266)&gt;'THAM SỐ'!$B$28,"Lệch km; ",""),"")))</f>
        <v/>
      </c>
      <c r="AM266" s="29"/>
      <c r="AN266" s="30"/>
      <c r="AO266" s="28" t="str">
        <f t="shared" si="49"/>
        <v/>
      </c>
      <c r="AP266" s="21" t="str">
        <f>IF(OR($A266="",AO266=""),"",IF(AG266=0,0,ROUND((AC266*'THAM SỐ'!$B$18+AD266*'THAM SỐ'!$B$19+AE266*'THAM SỐ'!$B$20+AF266*'THAM SỐ'!$B$21)*MIN(1,AO266/AG266),0)))</f>
        <v/>
      </c>
      <c r="AQ266" s="18"/>
    </row>
    <row r="267" spans="1:43" x14ac:dyDescent="0.45">
      <c r="A267" s="17"/>
      <c r="B267" s="18"/>
      <c r="C267" s="18"/>
      <c r="D267" s="25"/>
      <c r="E267" s="26"/>
      <c r="F267" s="26"/>
      <c r="G267" s="20"/>
      <c r="H267" s="20"/>
      <c r="I267" s="18"/>
      <c r="J267" s="18"/>
      <c r="K267" s="18"/>
      <c r="L267" s="18"/>
      <c r="M267" s="18"/>
      <c r="N267" s="18"/>
      <c r="O267" s="18"/>
      <c r="P267" s="18"/>
      <c r="Q267" s="18"/>
      <c r="R267" s="18"/>
      <c r="S267" s="18"/>
      <c r="T267" s="16" t="str">
        <f>IF($A267="","",COUNTIFS('LỆNH ĐIỀU XE'!$B$5:$B$604,$A267,'LỆNH ĐIỀU XE'!$C$5:$C$604,$B267))</f>
        <v/>
      </c>
      <c r="U267" s="27" t="str">
        <f>IF($A267="","",SUMIFS('LỆNH ĐIỀU XE'!$J$5:$J$604,'LỆNH ĐIỀU XE'!$B$5:$B$604,$A267,'LỆNH ĐIỀU XE'!$C$5:$C$604,$B267))</f>
        <v/>
      </c>
      <c r="V267" s="22" t="str">
        <f t="shared" si="40"/>
        <v/>
      </c>
      <c r="W267" s="28" t="str">
        <f t="shared" si="41"/>
        <v/>
      </c>
      <c r="X267" s="28" t="str">
        <f t="shared" si="42"/>
        <v/>
      </c>
      <c r="Y267" s="28" t="str">
        <f t="shared" si="43"/>
        <v/>
      </c>
      <c r="Z267" s="22" t="str">
        <f t="shared" si="44"/>
        <v/>
      </c>
      <c r="AA267" s="28" t="str">
        <f t="shared" si="45"/>
        <v/>
      </c>
      <c r="AB267" s="28" t="str">
        <f t="shared" si="46"/>
        <v/>
      </c>
      <c r="AC267" s="28" t="str">
        <f>IF($A267="","",SUMIFS('CHẶNG TĂNG CA'!$E$5:$E$304,'CHẶNG TĂNG CA'!$A$5:$A$304,$A267,'CHẶNG TĂNG CA'!$B$5:$B$304,$B267))</f>
        <v/>
      </c>
      <c r="AD267" s="28" t="str">
        <f>IF($A267="","",SUMIFS('CHẶNG TĂNG CA'!$F$5:$F$304,'CHẶNG TĂNG CA'!$A$5:$A$304,$A267,'CHẶNG TĂNG CA'!$B$5:$B$304,$B267))</f>
        <v/>
      </c>
      <c r="AE267" s="28" t="str">
        <f>IF($A267="","",SUMIFS('CHẶNG TĂNG CA'!$G$5:$G$304,'CHẶNG TĂNG CA'!$A$5:$A$304,$A267,'CHẶNG TĂNG CA'!$B$5:$B$304,$B267))</f>
        <v/>
      </c>
      <c r="AF267" s="28" t="str">
        <f>IF($A267="","",SUMIFS('CHẶNG TĂNG CA'!$H$5:$H$304,'CHẶNG TĂNG CA'!$A$5:$A$304,$A267,'CHẶNG TĂNG CA'!$B$5:$B$304,$B267))</f>
        <v/>
      </c>
      <c r="AG267" s="28" t="str">
        <f t="shared" si="47"/>
        <v/>
      </c>
      <c r="AH267" s="16" t="str">
        <f>IF($A267="","",IF(COUNTIFS('LỆNH ĐIỀU XE'!$B$5:$B$604,$A267,'LỆNH ĐIỀU XE'!$C$5:$C$604,$B267,'LỆNH ĐIỀU XE'!$N$5:$N$604,"Có")&gt;0,"Có","Không"))</f>
        <v/>
      </c>
      <c r="AI267" s="16" t="str">
        <f>IF(OR($A267="",H267="",N(T267)=0),"",IF(_xlfn.MAXIFS('LỆNH ĐIỀU XE'!$U$5:$U$604,'LỆNH ĐIỀU XE'!$B$5:$B$604,$A267,'LỆNH ĐIỀU XE'!$C$5:$C$604,$B267)=0,"",ROUND((H267+(H267&lt;4/24)-_xlfn.MAXIFS('LỆNH ĐIỀU XE'!$U$5:$U$604,'LỆNH ĐIỀU XE'!$B$5:$B$604,$A267,'LỆNH ĐIỀU XE'!$C$5:$C$604,$B267))*1440,0)))</f>
        <v/>
      </c>
      <c r="AJ267" s="16" t="str">
        <f>IF($A267="","",IF(OR(AI267="",V267=""),"Thiếu dữ liệu",IF(AND(AI267&lt;='THAM SỐ'!$B$29,ABS(V267)&lt;='THAM SỐ'!$B$28),"Đạt","Không đạt")))</f>
        <v/>
      </c>
      <c r="AK267" s="16" t="str">
        <f t="shared" si="48"/>
        <v/>
      </c>
      <c r="AL267" s="16" t="str">
        <f>IF($A267="","",TRIM(IF(T267=0,"Không có lệnh; ","")&amp;IF(N(N267)&gt;0,"Dừng ngoài lệnh; ","")&amp;IF(N(J267)&gt;0,"Quá tốc độ; ","")&amp;IF(N(K267)&gt;0,"Lái quá 4h; ","")&amp;IF(N(L267)&gt;0,"Không tắt máy; ","")&amp;IF(OR(P267&lt;&gt;"Đủ",Q267&lt;&gt;"Đủ",R267&lt;&gt;"Đủ"),"Thiếu ảnh; ","")&amp;IF(S267&lt;&gt;"Đạt","Lốp chưa đạt; ","")&amp;IF(N(W267)&gt;'THAM SỐ'!$B$27,"Có mặt quá giờ; ","")&amp;IF(N(X267)&gt;'THAM SỐ'!$B$25,"Lái quá giờ ngày; ","")&amp;IF(ISNUMBER(V267),IF(ABS(V267)&gt;'THAM SỐ'!$B$28,"Lệch km; ",""),"")))</f>
        <v/>
      </c>
      <c r="AM267" s="29"/>
      <c r="AN267" s="30"/>
      <c r="AO267" s="28" t="str">
        <f t="shared" si="49"/>
        <v/>
      </c>
      <c r="AP267" s="21" t="str">
        <f>IF(OR($A267="",AO267=""),"",IF(AG267=0,0,ROUND((AC267*'THAM SỐ'!$B$18+AD267*'THAM SỐ'!$B$19+AE267*'THAM SỐ'!$B$20+AF267*'THAM SỐ'!$B$21)*MIN(1,AO267/AG267),0)))</f>
        <v/>
      </c>
      <c r="AQ267" s="18"/>
    </row>
    <row r="268" spans="1:43" x14ac:dyDescent="0.45">
      <c r="A268" s="17"/>
      <c r="B268" s="18"/>
      <c r="C268" s="18"/>
      <c r="D268" s="25"/>
      <c r="E268" s="26"/>
      <c r="F268" s="26"/>
      <c r="G268" s="20"/>
      <c r="H268" s="20"/>
      <c r="I268" s="18"/>
      <c r="J268" s="18"/>
      <c r="K268" s="18"/>
      <c r="L268" s="18"/>
      <c r="M268" s="18"/>
      <c r="N268" s="18"/>
      <c r="O268" s="18"/>
      <c r="P268" s="18"/>
      <c r="Q268" s="18"/>
      <c r="R268" s="18"/>
      <c r="S268" s="18"/>
      <c r="T268" s="16" t="str">
        <f>IF($A268="","",COUNTIFS('LỆNH ĐIỀU XE'!$B$5:$B$604,$A268,'LỆNH ĐIỀU XE'!$C$5:$C$604,$B268))</f>
        <v/>
      </c>
      <c r="U268" s="27" t="str">
        <f>IF($A268="","",SUMIFS('LỆNH ĐIỀU XE'!$J$5:$J$604,'LỆNH ĐIỀU XE'!$B$5:$B$604,$A268,'LỆNH ĐIỀU XE'!$C$5:$C$604,$B268))</f>
        <v/>
      </c>
      <c r="V268" s="22" t="str">
        <f t="shared" si="40"/>
        <v/>
      </c>
      <c r="W268" s="28" t="str">
        <f t="shared" si="41"/>
        <v/>
      </c>
      <c r="X268" s="28" t="str">
        <f t="shared" si="42"/>
        <v/>
      </c>
      <c r="Y268" s="28" t="str">
        <f t="shared" si="43"/>
        <v/>
      </c>
      <c r="Z268" s="22" t="str">
        <f t="shared" si="44"/>
        <v/>
      </c>
      <c r="AA268" s="28" t="str">
        <f t="shared" si="45"/>
        <v/>
      </c>
      <c r="AB268" s="28" t="str">
        <f t="shared" si="46"/>
        <v/>
      </c>
      <c r="AC268" s="28" t="str">
        <f>IF($A268="","",SUMIFS('CHẶNG TĂNG CA'!$E$5:$E$304,'CHẶNG TĂNG CA'!$A$5:$A$304,$A268,'CHẶNG TĂNG CA'!$B$5:$B$304,$B268))</f>
        <v/>
      </c>
      <c r="AD268" s="28" t="str">
        <f>IF($A268="","",SUMIFS('CHẶNG TĂNG CA'!$F$5:$F$304,'CHẶNG TĂNG CA'!$A$5:$A$304,$A268,'CHẶNG TĂNG CA'!$B$5:$B$304,$B268))</f>
        <v/>
      </c>
      <c r="AE268" s="28" t="str">
        <f>IF($A268="","",SUMIFS('CHẶNG TĂNG CA'!$G$5:$G$304,'CHẶNG TĂNG CA'!$A$5:$A$304,$A268,'CHẶNG TĂNG CA'!$B$5:$B$304,$B268))</f>
        <v/>
      </c>
      <c r="AF268" s="28" t="str">
        <f>IF($A268="","",SUMIFS('CHẶNG TĂNG CA'!$H$5:$H$304,'CHẶNG TĂNG CA'!$A$5:$A$304,$A268,'CHẶNG TĂNG CA'!$B$5:$B$304,$B268))</f>
        <v/>
      </c>
      <c r="AG268" s="28" t="str">
        <f t="shared" si="47"/>
        <v/>
      </c>
      <c r="AH268" s="16" t="str">
        <f>IF($A268="","",IF(COUNTIFS('LỆNH ĐIỀU XE'!$B$5:$B$604,$A268,'LỆNH ĐIỀU XE'!$C$5:$C$604,$B268,'LỆNH ĐIỀU XE'!$N$5:$N$604,"Có")&gt;0,"Có","Không"))</f>
        <v/>
      </c>
      <c r="AI268" s="16" t="str">
        <f>IF(OR($A268="",H268="",N(T268)=0),"",IF(_xlfn.MAXIFS('LỆNH ĐIỀU XE'!$U$5:$U$604,'LỆNH ĐIỀU XE'!$B$5:$B$604,$A268,'LỆNH ĐIỀU XE'!$C$5:$C$604,$B268)=0,"",ROUND((H268+(H268&lt;4/24)-_xlfn.MAXIFS('LỆNH ĐIỀU XE'!$U$5:$U$604,'LỆNH ĐIỀU XE'!$B$5:$B$604,$A268,'LỆNH ĐIỀU XE'!$C$5:$C$604,$B268))*1440,0)))</f>
        <v/>
      </c>
      <c r="AJ268" s="16" t="str">
        <f>IF($A268="","",IF(OR(AI268="",V268=""),"Thiếu dữ liệu",IF(AND(AI268&lt;='THAM SỐ'!$B$29,ABS(V268)&lt;='THAM SỐ'!$B$28),"Đạt","Không đạt")))</f>
        <v/>
      </c>
      <c r="AK268" s="16" t="str">
        <f t="shared" si="48"/>
        <v/>
      </c>
      <c r="AL268" s="16" t="str">
        <f>IF($A268="","",TRIM(IF(T268=0,"Không có lệnh; ","")&amp;IF(N(N268)&gt;0,"Dừng ngoài lệnh; ","")&amp;IF(N(J268)&gt;0,"Quá tốc độ; ","")&amp;IF(N(K268)&gt;0,"Lái quá 4h; ","")&amp;IF(N(L268)&gt;0,"Không tắt máy; ","")&amp;IF(OR(P268&lt;&gt;"Đủ",Q268&lt;&gt;"Đủ",R268&lt;&gt;"Đủ"),"Thiếu ảnh; ","")&amp;IF(S268&lt;&gt;"Đạt","Lốp chưa đạt; ","")&amp;IF(N(W268)&gt;'THAM SỐ'!$B$27,"Có mặt quá giờ; ","")&amp;IF(N(X268)&gt;'THAM SỐ'!$B$25,"Lái quá giờ ngày; ","")&amp;IF(ISNUMBER(V268),IF(ABS(V268)&gt;'THAM SỐ'!$B$28,"Lệch km; ",""),"")))</f>
        <v/>
      </c>
      <c r="AM268" s="29"/>
      <c r="AN268" s="30"/>
      <c r="AO268" s="28" t="str">
        <f t="shared" si="49"/>
        <v/>
      </c>
      <c r="AP268" s="21" t="str">
        <f>IF(OR($A268="",AO268=""),"",IF(AG268=0,0,ROUND((AC268*'THAM SỐ'!$B$18+AD268*'THAM SỐ'!$B$19+AE268*'THAM SỐ'!$B$20+AF268*'THAM SỐ'!$B$21)*MIN(1,AO268/AG268),0)))</f>
        <v/>
      </c>
      <c r="AQ268" s="18"/>
    </row>
    <row r="269" spans="1:43" x14ac:dyDescent="0.45">
      <c r="A269" s="17"/>
      <c r="B269" s="18"/>
      <c r="C269" s="18"/>
      <c r="D269" s="25"/>
      <c r="E269" s="26"/>
      <c r="F269" s="26"/>
      <c r="G269" s="20"/>
      <c r="H269" s="20"/>
      <c r="I269" s="18"/>
      <c r="J269" s="18"/>
      <c r="K269" s="18"/>
      <c r="L269" s="18"/>
      <c r="M269" s="18"/>
      <c r="N269" s="18"/>
      <c r="O269" s="18"/>
      <c r="P269" s="18"/>
      <c r="Q269" s="18"/>
      <c r="R269" s="18"/>
      <c r="S269" s="18"/>
      <c r="T269" s="16" t="str">
        <f>IF($A269="","",COUNTIFS('LỆNH ĐIỀU XE'!$B$5:$B$604,$A269,'LỆNH ĐIỀU XE'!$C$5:$C$604,$B269))</f>
        <v/>
      </c>
      <c r="U269" s="27" t="str">
        <f>IF($A269="","",SUMIFS('LỆNH ĐIỀU XE'!$J$5:$J$604,'LỆNH ĐIỀU XE'!$B$5:$B$604,$A269,'LỆNH ĐIỀU XE'!$C$5:$C$604,$B269))</f>
        <v/>
      </c>
      <c r="V269" s="22" t="str">
        <f t="shared" si="40"/>
        <v/>
      </c>
      <c r="W269" s="28" t="str">
        <f t="shared" si="41"/>
        <v/>
      </c>
      <c r="X269" s="28" t="str">
        <f t="shared" si="42"/>
        <v/>
      </c>
      <c r="Y269" s="28" t="str">
        <f t="shared" si="43"/>
        <v/>
      </c>
      <c r="Z269" s="22" t="str">
        <f t="shared" si="44"/>
        <v/>
      </c>
      <c r="AA269" s="28" t="str">
        <f t="shared" si="45"/>
        <v/>
      </c>
      <c r="AB269" s="28" t="str">
        <f t="shared" si="46"/>
        <v/>
      </c>
      <c r="AC269" s="28" t="str">
        <f>IF($A269="","",SUMIFS('CHẶNG TĂNG CA'!$E$5:$E$304,'CHẶNG TĂNG CA'!$A$5:$A$304,$A269,'CHẶNG TĂNG CA'!$B$5:$B$304,$B269))</f>
        <v/>
      </c>
      <c r="AD269" s="28" t="str">
        <f>IF($A269="","",SUMIFS('CHẶNG TĂNG CA'!$F$5:$F$304,'CHẶNG TĂNG CA'!$A$5:$A$304,$A269,'CHẶNG TĂNG CA'!$B$5:$B$304,$B269))</f>
        <v/>
      </c>
      <c r="AE269" s="28" t="str">
        <f>IF($A269="","",SUMIFS('CHẶNG TĂNG CA'!$G$5:$G$304,'CHẶNG TĂNG CA'!$A$5:$A$304,$A269,'CHẶNG TĂNG CA'!$B$5:$B$304,$B269))</f>
        <v/>
      </c>
      <c r="AF269" s="28" t="str">
        <f>IF($A269="","",SUMIFS('CHẶNG TĂNG CA'!$H$5:$H$304,'CHẶNG TĂNG CA'!$A$5:$A$304,$A269,'CHẶNG TĂNG CA'!$B$5:$B$304,$B269))</f>
        <v/>
      </c>
      <c r="AG269" s="28" t="str">
        <f t="shared" si="47"/>
        <v/>
      </c>
      <c r="AH269" s="16" t="str">
        <f>IF($A269="","",IF(COUNTIFS('LỆNH ĐIỀU XE'!$B$5:$B$604,$A269,'LỆNH ĐIỀU XE'!$C$5:$C$604,$B269,'LỆNH ĐIỀU XE'!$N$5:$N$604,"Có")&gt;0,"Có","Không"))</f>
        <v/>
      </c>
      <c r="AI269" s="16" t="str">
        <f>IF(OR($A269="",H269="",N(T269)=0),"",IF(_xlfn.MAXIFS('LỆNH ĐIỀU XE'!$U$5:$U$604,'LỆNH ĐIỀU XE'!$B$5:$B$604,$A269,'LỆNH ĐIỀU XE'!$C$5:$C$604,$B269)=0,"",ROUND((H269+(H269&lt;4/24)-_xlfn.MAXIFS('LỆNH ĐIỀU XE'!$U$5:$U$604,'LỆNH ĐIỀU XE'!$B$5:$B$604,$A269,'LỆNH ĐIỀU XE'!$C$5:$C$604,$B269))*1440,0)))</f>
        <v/>
      </c>
      <c r="AJ269" s="16" t="str">
        <f>IF($A269="","",IF(OR(AI269="",V269=""),"Thiếu dữ liệu",IF(AND(AI269&lt;='THAM SỐ'!$B$29,ABS(V269)&lt;='THAM SỐ'!$B$28),"Đạt","Không đạt")))</f>
        <v/>
      </c>
      <c r="AK269" s="16" t="str">
        <f t="shared" si="48"/>
        <v/>
      </c>
      <c r="AL269" s="16" t="str">
        <f>IF($A269="","",TRIM(IF(T269=0,"Không có lệnh; ","")&amp;IF(N(N269)&gt;0,"Dừng ngoài lệnh; ","")&amp;IF(N(J269)&gt;0,"Quá tốc độ; ","")&amp;IF(N(K269)&gt;0,"Lái quá 4h; ","")&amp;IF(N(L269)&gt;0,"Không tắt máy; ","")&amp;IF(OR(P269&lt;&gt;"Đủ",Q269&lt;&gt;"Đủ",R269&lt;&gt;"Đủ"),"Thiếu ảnh; ","")&amp;IF(S269&lt;&gt;"Đạt","Lốp chưa đạt; ","")&amp;IF(N(W269)&gt;'THAM SỐ'!$B$27,"Có mặt quá giờ; ","")&amp;IF(N(X269)&gt;'THAM SỐ'!$B$25,"Lái quá giờ ngày; ","")&amp;IF(ISNUMBER(V269),IF(ABS(V269)&gt;'THAM SỐ'!$B$28,"Lệch km; ",""),"")))</f>
        <v/>
      </c>
      <c r="AM269" s="29"/>
      <c r="AN269" s="30"/>
      <c r="AO269" s="28" t="str">
        <f t="shared" si="49"/>
        <v/>
      </c>
      <c r="AP269" s="21" t="str">
        <f>IF(OR($A269="",AO269=""),"",IF(AG269=0,0,ROUND((AC269*'THAM SỐ'!$B$18+AD269*'THAM SỐ'!$B$19+AE269*'THAM SỐ'!$B$20+AF269*'THAM SỐ'!$B$21)*MIN(1,AO269/AG269),0)))</f>
        <v/>
      </c>
      <c r="AQ269" s="18"/>
    </row>
    <row r="270" spans="1:43" x14ac:dyDescent="0.45">
      <c r="A270" s="17"/>
      <c r="B270" s="18"/>
      <c r="C270" s="18"/>
      <c r="D270" s="25"/>
      <c r="E270" s="26"/>
      <c r="F270" s="26"/>
      <c r="G270" s="20"/>
      <c r="H270" s="20"/>
      <c r="I270" s="18"/>
      <c r="J270" s="18"/>
      <c r="K270" s="18"/>
      <c r="L270" s="18"/>
      <c r="M270" s="18"/>
      <c r="N270" s="18"/>
      <c r="O270" s="18"/>
      <c r="P270" s="18"/>
      <c r="Q270" s="18"/>
      <c r="R270" s="18"/>
      <c r="S270" s="18"/>
      <c r="T270" s="16" t="str">
        <f>IF($A270="","",COUNTIFS('LỆNH ĐIỀU XE'!$B$5:$B$604,$A270,'LỆNH ĐIỀU XE'!$C$5:$C$604,$B270))</f>
        <v/>
      </c>
      <c r="U270" s="27" t="str">
        <f>IF($A270="","",SUMIFS('LỆNH ĐIỀU XE'!$J$5:$J$604,'LỆNH ĐIỀU XE'!$B$5:$B$604,$A270,'LỆNH ĐIỀU XE'!$C$5:$C$604,$B270))</f>
        <v/>
      </c>
      <c r="V270" s="22" t="str">
        <f t="shared" si="40"/>
        <v/>
      </c>
      <c r="W270" s="28" t="str">
        <f t="shared" si="41"/>
        <v/>
      </c>
      <c r="X270" s="28" t="str">
        <f t="shared" si="42"/>
        <v/>
      </c>
      <c r="Y270" s="28" t="str">
        <f t="shared" si="43"/>
        <v/>
      </c>
      <c r="Z270" s="22" t="str">
        <f t="shared" si="44"/>
        <v/>
      </c>
      <c r="AA270" s="28" t="str">
        <f t="shared" si="45"/>
        <v/>
      </c>
      <c r="AB270" s="28" t="str">
        <f t="shared" si="46"/>
        <v/>
      </c>
      <c r="AC270" s="28" t="str">
        <f>IF($A270="","",SUMIFS('CHẶNG TĂNG CA'!$E$5:$E$304,'CHẶNG TĂNG CA'!$A$5:$A$304,$A270,'CHẶNG TĂNG CA'!$B$5:$B$304,$B270))</f>
        <v/>
      </c>
      <c r="AD270" s="28" t="str">
        <f>IF($A270="","",SUMIFS('CHẶNG TĂNG CA'!$F$5:$F$304,'CHẶNG TĂNG CA'!$A$5:$A$304,$A270,'CHẶNG TĂNG CA'!$B$5:$B$304,$B270))</f>
        <v/>
      </c>
      <c r="AE270" s="28" t="str">
        <f>IF($A270="","",SUMIFS('CHẶNG TĂNG CA'!$G$5:$G$304,'CHẶNG TĂNG CA'!$A$5:$A$304,$A270,'CHẶNG TĂNG CA'!$B$5:$B$304,$B270))</f>
        <v/>
      </c>
      <c r="AF270" s="28" t="str">
        <f>IF($A270="","",SUMIFS('CHẶNG TĂNG CA'!$H$5:$H$304,'CHẶNG TĂNG CA'!$A$5:$A$304,$A270,'CHẶNG TĂNG CA'!$B$5:$B$304,$B270))</f>
        <v/>
      </c>
      <c r="AG270" s="28" t="str">
        <f t="shared" si="47"/>
        <v/>
      </c>
      <c r="AH270" s="16" t="str">
        <f>IF($A270="","",IF(COUNTIFS('LỆNH ĐIỀU XE'!$B$5:$B$604,$A270,'LỆNH ĐIỀU XE'!$C$5:$C$604,$B270,'LỆNH ĐIỀU XE'!$N$5:$N$604,"Có")&gt;0,"Có","Không"))</f>
        <v/>
      </c>
      <c r="AI270" s="16" t="str">
        <f>IF(OR($A270="",H270="",N(T270)=0),"",IF(_xlfn.MAXIFS('LỆNH ĐIỀU XE'!$U$5:$U$604,'LỆNH ĐIỀU XE'!$B$5:$B$604,$A270,'LỆNH ĐIỀU XE'!$C$5:$C$604,$B270)=0,"",ROUND((H270+(H270&lt;4/24)-_xlfn.MAXIFS('LỆNH ĐIỀU XE'!$U$5:$U$604,'LỆNH ĐIỀU XE'!$B$5:$B$604,$A270,'LỆNH ĐIỀU XE'!$C$5:$C$604,$B270))*1440,0)))</f>
        <v/>
      </c>
      <c r="AJ270" s="16" t="str">
        <f>IF($A270="","",IF(OR(AI270="",V270=""),"Thiếu dữ liệu",IF(AND(AI270&lt;='THAM SỐ'!$B$29,ABS(V270)&lt;='THAM SỐ'!$B$28),"Đạt","Không đạt")))</f>
        <v/>
      </c>
      <c r="AK270" s="16" t="str">
        <f t="shared" si="48"/>
        <v/>
      </c>
      <c r="AL270" s="16" t="str">
        <f>IF($A270="","",TRIM(IF(T270=0,"Không có lệnh; ","")&amp;IF(N(N270)&gt;0,"Dừng ngoài lệnh; ","")&amp;IF(N(J270)&gt;0,"Quá tốc độ; ","")&amp;IF(N(K270)&gt;0,"Lái quá 4h; ","")&amp;IF(N(L270)&gt;0,"Không tắt máy; ","")&amp;IF(OR(P270&lt;&gt;"Đủ",Q270&lt;&gt;"Đủ",R270&lt;&gt;"Đủ"),"Thiếu ảnh; ","")&amp;IF(S270&lt;&gt;"Đạt","Lốp chưa đạt; ","")&amp;IF(N(W270)&gt;'THAM SỐ'!$B$27,"Có mặt quá giờ; ","")&amp;IF(N(X270)&gt;'THAM SỐ'!$B$25,"Lái quá giờ ngày; ","")&amp;IF(ISNUMBER(V270),IF(ABS(V270)&gt;'THAM SỐ'!$B$28,"Lệch km; ",""),"")))</f>
        <v/>
      </c>
      <c r="AM270" s="29"/>
      <c r="AN270" s="30"/>
      <c r="AO270" s="28" t="str">
        <f t="shared" si="49"/>
        <v/>
      </c>
      <c r="AP270" s="21" t="str">
        <f>IF(OR($A270="",AO270=""),"",IF(AG270=0,0,ROUND((AC270*'THAM SỐ'!$B$18+AD270*'THAM SỐ'!$B$19+AE270*'THAM SỐ'!$B$20+AF270*'THAM SỐ'!$B$21)*MIN(1,AO270/AG270),0)))</f>
        <v/>
      </c>
      <c r="AQ270" s="18"/>
    </row>
    <row r="271" spans="1:43" x14ac:dyDescent="0.45">
      <c r="A271" s="17"/>
      <c r="B271" s="18"/>
      <c r="C271" s="18"/>
      <c r="D271" s="25"/>
      <c r="E271" s="26"/>
      <c r="F271" s="26"/>
      <c r="G271" s="20"/>
      <c r="H271" s="20"/>
      <c r="I271" s="18"/>
      <c r="J271" s="18"/>
      <c r="K271" s="18"/>
      <c r="L271" s="18"/>
      <c r="M271" s="18"/>
      <c r="N271" s="18"/>
      <c r="O271" s="18"/>
      <c r="P271" s="18"/>
      <c r="Q271" s="18"/>
      <c r="R271" s="18"/>
      <c r="S271" s="18"/>
      <c r="T271" s="16" t="str">
        <f>IF($A271="","",COUNTIFS('LỆNH ĐIỀU XE'!$B$5:$B$604,$A271,'LỆNH ĐIỀU XE'!$C$5:$C$604,$B271))</f>
        <v/>
      </c>
      <c r="U271" s="27" t="str">
        <f>IF($A271="","",SUMIFS('LỆNH ĐIỀU XE'!$J$5:$J$604,'LỆNH ĐIỀU XE'!$B$5:$B$604,$A271,'LỆNH ĐIỀU XE'!$C$5:$C$604,$B271))</f>
        <v/>
      </c>
      <c r="V271" s="22" t="str">
        <f t="shared" si="40"/>
        <v/>
      </c>
      <c r="W271" s="28" t="str">
        <f t="shared" si="41"/>
        <v/>
      </c>
      <c r="X271" s="28" t="str">
        <f t="shared" si="42"/>
        <v/>
      </c>
      <c r="Y271" s="28" t="str">
        <f t="shared" si="43"/>
        <v/>
      </c>
      <c r="Z271" s="22" t="str">
        <f t="shared" si="44"/>
        <v/>
      </c>
      <c r="AA271" s="28" t="str">
        <f t="shared" si="45"/>
        <v/>
      </c>
      <c r="AB271" s="28" t="str">
        <f t="shared" si="46"/>
        <v/>
      </c>
      <c r="AC271" s="28" t="str">
        <f>IF($A271="","",SUMIFS('CHẶNG TĂNG CA'!$E$5:$E$304,'CHẶNG TĂNG CA'!$A$5:$A$304,$A271,'CHẶNG TĂNG CA'!$B$5:$B$304,$B271))</f>
        <v/>
      </c>
      <c r="AD271" s="28" t="str">
        <f>IF($A271="","",SUMIFS('CHẶNG TĂNG CA'!$F$5:$F$304,'CHẶNG TĂNG CA'!$A$5:$A$304,$A271,'CHẶNG TĂNG CA'!$B$5:$B$304,$B271))</f>
        <v/>
      </c>
      <c r="AE271" s="28" t="str">
        <f>IF($A271="","",SUMIFS('CHẶNG TĂNG CA'!$G$5:$G$304,'CHẶNG TĂNG CA'!$A$5:$A$304,$A271,'CHẶNG TĂNG CA'!$B$5:$B$304,$B271))</f>
        <v/>
      </c>
      <c r="AF271" s="28" t="str">
        <f>IF($A271="","",SUMIFS('CHẶNG TĂNG CA'!$H$5:$H$304,'CHẶNG TĂNG CA'!$A$5:$A$304,$A271,'CHẶNG TĂNG CA'!$B$5:$B$304,$B271))</f>
        <v/>
      </c>
      <c r="AG271" s="28" t="str">
        <f t="shared" si="47"/>
        <v/>
      </c>
      <c r="AH271" s="16" t="str">
        <f>IF($A271="","",IF(COUNTIFS('LỆNH ĐIỀU XE'!$B$5:$B$604,$A271,'LỆNH ĐIỀU XE'!$C$5:$C$604,$B271,'LỆNH ĐIỀU XE'!$N$5:$N$604,"Có")&gt;0,"Có","Không"))</f>
        <v/>
      </c>
      <c r="AI271" s="16" t="str">
        <f>IF(OR($A271="",H271="",N(T271)=0),"",IF(_xlfn.MAXIFS('LỆNH ĐIỀU XE'!$U$5:$U$604,'LỆNH ĐIỀU XE'!$B$5:$B$604,$A271,'LỆNH ĐIỀU XE'!$C$5:$C$604,$B271)=0,"",ROUND((H271+(H271&lt;4/24)-_xlfn.MAXIFS('LỆNH ĐIỀU XE'!$U$5:$U$604,'LỆNH ĐIỀU XE'!$B$5:$B$604,$A271,'LỆNH ĐIỀU XE'!$C$5:$C$604,$B271))*1440,0)))</f>
        <v/>
      </c>
      <c r="AJ271" s="16" t="str">
        <f>IF($A271="","",IF(OR(AI271="",V271=""),"Thiếu dữ liệu",IF(AND(AI271&lt;='THAM SỐ'!$B$29,ABS(V271)&lt;='THAM SỐ'!$B$28),"Đạt","Không đạt")))</f>
        <v/>
      </c>
      <c r="AK271" s="16" t="str">
        <f t="shared" si="48"/>
        <v/>
      </c>
      <c r="AL271" s="16" t="str">
        <f>IF($A271="","",TRIM(IF(T271=0,"Không có lệnh; ","")&amp;IF(N(N271)&gt;0,"Dừng ngoài lệnh; ","")&amp;IF(N(J271)&gt;0,"Quá tốc độ; ","")&amp;IF(N(K271)&gt;0,"Lái quá 4h; ","")&amp;IF(N(L271)&gt;0,"Không tắt máy; ","")&amp;IF(OR(P271&lt;&gt;"Đủ",Q271&lt;&gt;"Đủ",R271&lt;&gt;"Đủ"),"Thiếu ảnh; ","")&amp;IF(S271&lt;&gt;"Đạt","Lốp chưa đạt; ","")&amp;IF(N(W271)&gt;'THAM SỐ'!$B$27,"Có mặt quá giờ; ","")&amp;IF(N(X271)&gt;'THAM SỐ'!$B$25,"Lái quá giờ ngày; ","")&amp;IF(ISNUMBER(V271),IF(ABS(V271)&gt;'THAM SỐ'!$B$28,"Lệch km; ",""),"")))</f>
        <v/>
      </c>
      <c r="AM271" s="29"/>
      <c r="AN271" s="30"/>
      <c r="AO271" s="28" t="str">
        <f t="shared" si="49"/>
        <v/>
      </c>
      <c r="AP271" s="21" t="str">
        <f>IF(OR($A271="",AO271=""),"",IF(AG271=0,0,ROUND((AC271*'THAM SỐ'!$B$18+AD271*'THAM SỐ'!$B$19+AE271*'THAM SỐ'!$B$20+AF271*'THAM SỐ'!$B$21)*MIN(1,AO271/AG271),0)))</f>
        <v/>
      </c>
      <c r="AQ271" s="18"/>
    </row>
    <row r="272" spans="1:43" x14ac:dyDescent="0.45">
      <c r="A272" s="17"/>
      <c r="B272" s="18"/>
      <c r="C272" s="18"/>
      <c r="D272" s="25"/>
      <c r="E272" s="26"/>
      <c r="F272" s="26"/>
      <c r="G272" s="20"/>
      <c r="H272" s="20"/>
      <c r="I272" s="18"/>
      <c r="J272" s="18"/>
      <c r="K272" s="18"/>
      <c r="L272" s="18"/>
      <c r="M272" s="18"/>
      <c r="N272" s="18"/>
      <c r="O272" s="18"/>
      <c r="P272" s="18"/>
      <c r="Q272" s="18"/>
      <c r="R272" s="18"/>
      <c r="S272" s="18"/>
      <c r="T272" s="16" t="str">
        <f>IF($A272="","",COUNTIFS('LỆNH ĐIỀU XE'!$B$5:$B$604,$A272,'LỆNH ĐIỀU XE'!$C$5:$C$604,$B272))</f>
        <v/>
      </c>
      <c r="U272" s="27" t="str">
        <f>IF($A272="","",SUMIFS('LỆNH ĐIỀU XE'!$J$5:$J$604,'LỆNH ĐIỀU XE'!$B$5:$B$604,$A272,'LỆNH ĐIỀU XE'!$C$5:$C$604,$B272))</f>
        <v/>
      </c>
      <c r="V272" s="22" t="str">
        <f t="shared" si="40"/>
        <v/>
      </c>
      <c r="W272" s="28" t="str">
        <f t="shared" si="41"/>
        <v/>
      </c>
      <c r="X272" s="28" t="str">
        <f t="shared" si="42"/>
        <v/>
      </c>
      <c r="Y272" s="28" t="str">
        <f t="shared" si="43"/>
        <v/>
      </c>
      <c r="Z272" s="22" t="str">
        <f t="shared" si="44"/>
        <v/>
      </c>
      <c r="AA272" s="28" t="str">
        <f t="shared" si="45"/>
        <v/>
      </c>
      <c r="AB272" s="28" t="str">
        <f t="shared" si="46"/>
        <v/>
      </c>
      <c r="AC272" s="28" t="str">
        <f>IF($A272="","",SUMIFS('CHẶNG TĂNG CA'!$E$5:$E$304,'CHẶNG TĂNG CA'!$A$5:$A$304,$A272,'CHẶNG TĂNG CA'!$B$5:$B$304,$B272))</f>
        <v/>
      </c>
      <c r="AD272" s="28" t="str">
        <f>IF($A272="","",SUMIFS('CHẶNG TĂNG CA'!$F$5:$F$304,'CHẶNG TĂNG CA'!$A$5:$A$304,$A272,'CHẶNG TĂNG CA'!$B$5:$B$304,$B272))</f>
        <v/>
      </c>
      <c r="AE272" s="28" t="str">
        <f>IF($A272="","",SUMIFS('CHẶNG TĂNG CA'!$G$5:$G$304,'CHẶNG TĂNG CA'!$A$5:$A$304,$A272,'CHẶNG TĂNG CA'!$B$5:$B$304,$B272))</f>
        <v/>
      </c>
      <c r="AF272" s="28" t="str">
        <f>IF($A272="","",SUMIFS('CHẶNG TĂNG CA'!$H$5:$H$304,'CHẶNG TĂNG CA'!$A$5:$A$304,$A272,'CHẶNG TĂNG CA'!$B$5:$B$304,$B272))</f>
        <v/>
      </c>
      <c r="AG272" s="28" t="str">
        <f t="shared" si="47"/>
        <v/>
      </c>
      <c r="AH272" s="16" t="str">
        <f>IF($A272="","",IF(COUNTIFS('LỆNH ĐIỀU XE'!$B$5:$B$604,$A272,'LỆNH ĐIỀU XE'!$C$5:$C$604,$B272,'LỆNH ĐIỀU XE'!$N$5:$N$604,"Có")&gt;0,"Có","Không"))</f>
        <v/>
      </c>
      <c r="AI272" s="16" t="str">
        <f>IF(OR($A272="",H272="",N(T272)=0),"",IF(_xlfn.MAXIFS('LỆNH ĐIỀU XE'!$U$5:$U$604,'LỆNH ĐIỀU XE'!$B$5:$B$604,$A272,'LỆNH ĐIỀU XE'!$C$5:$C$604,$B272)=0,"",ROUND((H272+(H272&lt;4/24)-_xlfn.MAXIFS('LỆNH ĐIỀU XE'!$U$5:$U$604,'LỆNH ĐIỀU XE'!$B$5:$B$604,$A272,'LỆNH ĐIỀU XE'!$C$5:$C$604,$B272))*1440,0)))</f>
        <v/>
      </c>
      <c r="AJ272" s="16" t="str">
        <f>IF($A272="","",IF(OR(AI272="",V272=""),"Thiếu dữ liệu",IF(AND(AI272&lt;='THAM SỐ'!$B$29,ABS(V272)&lt;='THAM SỐ'!$B$28),"Đạt","Không đạt")))</f>
        <v/>
      </c>
      <c r="AK272" s="16" t="str">
        <f t="shared" si="48"/>
        <v/>
      </c>
      <c r="AL272" s="16" t="str">
        <f>IF($A272="","",TRIM(IF(T272=0,"Không có lệnh; ","")&amp;IF(N(N272)&gt;0,"Dừng ngoài lệnh; ","")&amp;IF(N(J272)&gt;0,"Quá tốc độ; ","")&amp;IF(N(K272)&gt;0,"Lái quá 4h; ","")&amp;IF(N(L272)&gt;0,"Không tắt máy; ","")&amp;IF(OR(P272&lt;&gt;"Đủ",Q272&lt;&gt;"Đủ",R272&lt;&gt;"Đủ"),"Thiếu ảnh; ","")&amp;IF(S272&lt;&gt;"Đạt","Lốp chưa đạt; ","")&amp;IF(N(W272)&gt;'THAM SỐ'!$B$27,"Có mặt quá giờ; ","")&amp;IF(N(X272)&gt;'THAM SỐ'!$B$25,"Lái quá giờ ngày; ","")&amp;IF(ISNUMBER(V272),IF(ABS(V272)&gt;'THAM SỐ'!$B$28,"Lệch km; ",""),"")))</f>
        <v/>
      </c>
      <c r="AM272" s="29"/>
      <c r="AN272" s="30"/>
      <c r="AO272" s="28" t="str">
        <f t="shared" si="49"/>
        <v/>
      </c>
      <c r="AP272" s="21" t="str">
        <f>IF(OR($A272="",AO272=""),"",IF(AG272=0,0,ROUND((AC272*'THAM SỐ'!$B$18+AD272*'THAM SỐ'!$B$19+AE272*'THAM SỐ'!$B$20+AF272*'THAM SỐ'!$B$21)*MIN(1,AO272/AG272),0)))</f>
        <v/>
      </c>
      <c r="AQ272" s="18"/>
    </row>
    <row r="273" spans="1:43" x14ac:dyDescent="0.45">
      <c r="A273" s="17"/>
      <c r="B273" s="18"/>
      <c r="C273" s="18"/>
      <c r="D273" s="25"/>
      <c r="E273" s="26"/>
      <c r="F273" s="26"/>
      <c r="G273" s="20"/>
      <c r="H273" s="20"/>
      <c r="I273" s="18"/>
      <c r="J273" s="18"/>
      <c r="K273" s="18"/>
      <c r="L273" s="18"/>
      <c r="M273" s="18"/>
      <c r="N273" s="18"/>
      <c r="O273" s="18"/>
      <c r="P273" s="18"/>
      <c r="Q273" s="18"/>
      <c r="R273" s="18"/>
      <c r="S273" s="18"/>
      <c r="T273" s="16" t="str">
        <f>IF($A273="","",COUNTIFS('LỆNH ĐIỀU XE'!$B$5:$B$604,$A273,'LỆNH ĐIỀU XE'!$C$5:$C$604,$B273))</f>
        <v/>
      </c>
      <c r="U273" s="27" t="str">
        <f>IF($A273="","",SUMIFS('LỆNH ĐIỀU XE'!$J$5:$J$604,'LỆNH ĐIỀU XE'!$B$5:$B$604,$A273,'LỆNH ĐIỀU XE'!$C$5:$C$604,$B273))</f>
        <v/>
      </c>
      <c r="V273" s="22" t="str">
        <f t="shared" si="40"/>
        <v/>
      </c>
      <c r="W273" s="28" t="str">
        <f t="shared" si="41"/>
        <v/>
      </c>
      <c r="X273" s="28" t="str">
        <f t="shared" si="42"/>
        <v/>
      </c>
      <c r="Y273" s="28" t="str">
        <f t="shared" si="43"/>
        <v/>
      </c>
      <c r="Z273" s="22" t="str">
        <f t="shared" si="44"/>
        <v/>
      </c>
      <c r="AA273" s="28" t="str">
        <f t="shared" si="45"/>
        <v/>
      </c>
      <c r="AB273" s="28" t="str">
        <f t="shared" si="46"/>
        <v/>
      </c>
      <c r="AC273" s="28" t="str">
        <f>IF($A273="","",SUMIFS('CHẶNG TĂNG CA'!$E$5:$E$304,'CHẶNG TĂNG CA'!$A$5:$A$304,$A273,'CHẶNG TĂNG CA'!$B$5:$B$304,$B273))</f>
        <v/>
      </c>
      <c r="AD273" s="28" t="str">
        <f>IF($A273="","",SUMIFS('CHẶNG TĂNG CA'!$F$5:$F$304,'CHẶNG TĂNG CA'!$A$5:$A$304,$A273,'CHẶNG TĂNG CA'!$B$5:$B$304,$B273))</f>
        <v/>
      </c>
      <c r="AE273" s="28" t="str">
        <f>IF($A273="","",SUMIFS('CHẶNG TĂNG CA'!$G$5:$G$304,'CHẶNG TĂNG CA'!$A$5:$A$304,$A273,'CHẶNG TĂNG CA'!$B$5:$B$304,$B273))</f>
        <v/>
      </c>
      <c r="AF273" s="28" t="str">
        <f>IF($A273="","",SUMIFS('CHẶNG TĂNG CA'!$H$5:$H$304,'CHẶNG TĂNG CA'!$A$5:$A$304,$A273,'CHẶNG TĂNG CA'!$B$5:$B$304,$B273))</f>
        <v/>
      </c>
      <c r="AG273" s="28" t="str">
        <f t="shared" si="47"/>
        <v/>
      </c>
      <c r="AH273" s="16" t="str">
        <f>IF($A273="","",IF(COUNTIFS('LỆNH ĐIỀU XE'!$B$5:$B$604,$A273,'LỆNH ĐIỀU XE'!$C$5:$C$604,$B273,'LỆNH ĐIỀU XE'!$N$5:$N$604,"Có")&gt;0,"Có","Không"))</f>
        <v/>
      </c>
      <c r="AI273" s="16" t="str">
        <f>IF(OR($A273="",H273="",N(T273)=0),"",IF(_xlfn.MAXIFS('LỆNH ĐIỀU XE'!$U$5:$U$604,'LỆNH ĐIỀU XE'!$B$5:$B$604,$A273,'LỆNH ĐIỀU XE'!$C$5:$C$604,$B273)=0,"",ROUND((H273+(H273&lt;4/24)-_xlfn.MAXIFS('LỆNH ĐIỀU XE'!$U$5:$U$604,'LỆNH ĐIỀU XE'!$B$5:$B$604,$A273,'LỆNH ĐIỀU XE'!$C$5:$C$604,$B273))*1440,0)))</f>
        <v/>
      </c>
      <c r="AJ273" s="16" t="str">
        <f>IF($A273="","",IF(OR(AI273="",V273=""),"Thiếu dữ liệu",IF(AND(AI273&lt;='THAM SỐ'!$B$29,ABS(V273)&lt;='THAM SỐ'!$B$28),"Đạt","Không đạt")))</f>
        <v/>
      </c>
      <c r="AK273" s="16" t="str">
        <f t="shared" si="48"/>
        <v/>
      </c>
      <c r="AL273" s="16" t="str">
        <f>IF($A273="","",TRIM(IF(T273=0,"Không có lệnh; ","")&amp;IF(N(N273)&gt;0,"Dừng ngoài lệnh; ","")&amp;IF(N(J273)&gt;0,"Quá tốc độ; ","")&amp;IF(N(K273)&gt;0,"Lái quá 4h; ","")&amp;IF(N(L273)&gt;0,"Không tắt máy; ","")&amp;IF(OR(P273&lt;&gt;"Đủ",Q273&lt;&gt;"Đủ",R273&lt;&gt;"Đủ"),"Thiếu ảnh; ","")&amp;IF(S273&lt;&gt;"Đạt","Lốp chưa đạt; ","")&amp;IF(N(W273)&gt;'THAM SỐ'!$B$27,"Có mặt quá giờ; ","")&amp;IF(N(X273)&gt;'THAM SỐ'!$B$25,"Lái quá giờ ngày; ","")&amp;IF(ISNUMBER(V273),IF(ABS(V273)&gt;'THAM SỐ'!$B$28,"Lệch km; ",""),"")))</f>
        <v/>
      </c>
      <c r="AM273" s="29"/>
      <c r="AN273" s="30"/>
      <c r="AO273" s="28" t="str">
        <f t="shared" si="49"/>
        <v/>
      </c>
      <c r="AP273" s="21" t="str">
        <f>IF(OR($A273="",AO273=""),"",IF(AG273=0,0,ROUND((AC273*'THAM SỐ'!$B$18+AD273*'THAM SỐ'!$B$19+AE273*'THAM SỐ'!$B$20+AF273*'THAM SỐ'!$B$21)*MIN(1,AO273/AG273),0)))</f>
        <v/>
      </c>
      <c r="AQ273" s="18"/>
    </row>
    <row r="274" spans="1:43" x14ac:dyDescent="0.45">
      <c r="A274" s="17"/>
      <c r="B274" s="18"/>
      <c r="C274" s="18"/>
      <c r="D274" s="25"/>
      <c r="E274" s="26"/>
      <c r="F274" s="26"/>
      <c r="G274" s="20"/>
      <c r="H274" s="20"/>
      <c r="I274" s="18"/>
      <c r="J274" s="18"/>
      <c r="K274" s="18"/>
      <c r="L274" s="18"/>
      <c r="M274" s="18"/>
      <c r="N274" s="18"/>
      <c r="O274" s="18"/>
      <c r="P274" s="18"/>
      <c r="Q274" s="18"/>
      <c r="R274" s="18"/>
      <c r="S274" s="18"/>
      <c r="T274" s="16" t="str">
        <f>IF($A274="","",COUNTIFS('LỆNH ĐIỀU XE'!$B$5:$B$604,$A274,'LỆNH ĐIỀU XE'!$C$5:$C$604,$B274))</f>
        <v/>
      </c>
      <c r="U274" s="27" t="str">
        <f>IF($A274="","",SUMIFS('LỆNH ĐIỀU XE'!$J$5:$J$604,'LỆNH ĐIỀU XE'!$B$5:$B$604,$A274,'LỆNH ĐIỀU XE'!$C$5:$C$604,$B274))</f>
        <v/>
      </c>
      <c r="V274" s="22" t="str">
        <f t="shared" si="40"/>
        <v/>
      </c>
      <c r="W274" s="28" t="str">
        <f t="shared" si="41"/>
        <v/>
      </c>
      <c r="X274" s="28" t="str">
        <f t="shared" si="42"/>
        <v/>
      </c>
      <c r="Y274" s="28" t="str">
        <f t="shared" si="43"/>
        <v/>
      </c>
      <c r="Z274" s="22" t="str">
        <f t="shared" si="44"/>
        <v/>
      </c>
      <c r="AA274" s="28" t="str">
        <f t="shared" si="45"/>
        <v/>
      </c>
      <c r="AB274" s="28" t="str">
        <f t="shared" si="46"/>
        <v/>
      </c>
      <c r="AC274" s="28" t="str">
        <f>IF($A274="","",SUMIFS('CHẶNG TĂNG CA'!$E$5:$E$304,'CHẶNG TĂNG CA'!$A$5:$A$304,$A274,'CHẶNG TĂNG CA'!$B$5:$B$304,$B274))</f>
        <v/>
      </c>
      <c r="AD274" s="28" t="str">
        <f>IF($A274="","",SUMIFS('CHẶNG TĂNG CA'!$F$5:$F$304,'CHẶNG TĂNG CA'!$A$5:$A$304,$A274,'CHẶNG TĂNG CA'!$B$5:$B$304,$B274))</f>
        <v/>
      </c>
      <c r="AE274" s="28" t="str">
        <f>IF($A274="","",SUMIFS('CHẶNG TĂNG CA'!$G$5:$G$304,'CHẶNG TĂNG CA'!$A$5:$A$304,$A274,'CHẶNG TĂNG CA'!$B$5:$B$304,$B274))</f>
        <v/>
      </c>
      <c r="AF274" s="28" t="str">
        <f>IF($A274="","",SUMIFS('CHẶNG TĂNG CA'!$H$5:$H$304,'CHẶNG TĂNG CA'!$A$5:$A$304,$A274,'CHẶNG TĂNG CA'!$B$5:$B$304,$B274))</f>
        <v/>
      </c>
      <c r="AG274" s="28" t="str">
        <f t="shared" si="47"/>
        <v/>
      </c>
      <c r="AH274" s="16" t="str">
        <f>IF($A274="","",IF(COUNTIFS('LỆNH ĐIỀU XE'!$B$5:$B$604,$A274,'LỆNH ĐIỀU XE'!$C$5:$C$604,$B274,'LỆNH ĐIỀU XE'!$N$5:$N$604,"Có")&gt;0,"Có","Không"))</f>
        <v/>
      </c>
      <c r="AI274" s="16" t="str">
        <f>IF(OR($A274="",H274="",N(T274)=0),"",IF(_xlfn.MAXIFS('LỆNH ĐIỀU XE'!$U$5:$U$604,'LỆNH ĐIỀU XE'!$B$5:$B$604,$A274,'LỆNH ĐIỀU XE'!$C$5:$C$604,$B274)=0,"",ROUND((H274+(H274&lt;4/24)-_xlfn.MAXIFS('LỆNH ĐIỀU XE'!$U$5:$U$604,'LỆNH ĐIỀU XE'!$B$5:$B$604,$A274,'LỆNH ĐIỀU XE'!$C$5:$C$604,$B274))*1440,0)))</f>
        <v/>
      </c>
      <c r="AJ274" s="16" t="str">
        <f>IF($A274="","",IF(OR(AI274="",V274=""),"Thiếu dữ liệu",IF(AND(AI274&lt;='THAM SỐ'!$B$29,ABS(V274)&lt;='THAM SỐ'!$B$28),"Đạt","Không đạt")))</f>
        <v/>
      </c>
      <c r="AK274" s="16" t="str">
        <f t="shared" si="48"/>
        <v/>
      </c>
      <c r="AL274" s="16" t="str">
        <f>IF($A274="","",TRIM(IF(T274=0,"Không có lệnh; ","")&amp;IF(N(N274)&gt;0,"Dừng ngoài lệnh; ","")&amp;IF(N(J274)&gt;0,"Quá tốc độ; ","")&amp;IF(N(K274)&gt;0,"Lái quá 4h; ","")&amp;IF(N(L274)&gt;0,"Không tắt máy; ","")&amp;IF(OR(P274&lt;&gt;"Đủ",Q274&lt;&gt;"Đủ",R274&lt;&gt;"Đủ"),"Thiếu ảnh; ","")&amp;IF(S274&lt;&gt;"Đạt","Lốp chưa đạt; ","")&amp;IF(N(W274)&gt;'THAM SỐ'!$B$27,"Có mặt quá giờ; ","")&amp;IF(N(X274)&gt;'THAM SỐ'!$B$25,"Lái quá giờ ngày; ","")&amp;IF(ISNUMBER(V274),IF(ABS(V274)&gt;'THAM SỐ'!$B$28,"Lệch km; ",""),"")))</f>
        <v/>
      </c>
      <c r="AM274" s="29"/>
      <c r="AN274" s="30"/>
      <c r="AO274" s="28" t="str">
        <f t="shared" si="49"/>
        <v/>
      </c>
      <c r="AP274" s="21" t="str">
        <f>IF(OR($A274="",AO274=""),"",IF(AG274=0,0,ROUND((AC274*'THAM SỐ'!$B$18+AD274*'THAM SỐ'!$B$19+AE274*'THAM SỐ'!$B$20+AF274*'THAM SỐ'!$B$21)*MIN(1,AO274/AG274),0)))</f>
        <v/>
      </c>
      <c r="AQ274" s="18"/>
    </row>
    <row r="275" spans="1:43" x14ac:dyDescent="0.45">
      <c r="A275" s="17"/>
      <c r="B275" s="18"/>
      <c r="C275" s="18"/>
      <c r="D275" s="25"/>
      <c r="E275" s="26"/>
      <c r="F275" s="26"/>
      <c r="G275" s="20"/>
      <c r="H275" s="20"/>
      <c r="I275" s="18"/>
      <c r="J275" s="18"/>
      <c r="K275" s="18"/>
      <c r="L275" s="18"/>
      <c r="M275" s="18"/>
      <c r="N275" s="18"/>
      <c r="O275" s="18"/>
      <c r="P275" s="18"/>
      <c r="Q275" s="18"/>
      <c r="R275" s="18"/>
      <c r="S275" s="18"/>
      <c r="T275" s="16" t="str">
        <f>IF($A275="","",COUNTIFS('LỆNH ĐIỀU XE'!$B$5:$B$604,$A275,'LỆNH ĐIỀU XE'!$C$5:$C$604,$B275))</f>
        <v/>
      </c>
      <c r="U275" s="27" t="str">
        <f>IF($A275="","",SUMIFS('LỆNH ĐIỀU XE'!$J$5:$J$604,'LỆNH ĐIỀU XE'!$B$5:$B$604,$A275,'LỆNH ĐIỀU XE'!$C$5:$C$604,$B275))</f>
        <v/>
      </c>
      <c r="V275" s="22" t="str">
        <f t="shared" si="40"/>
        <v/>
      </c>
      <c r="W275" s="28" t="str">
        <f t="shared" si="41"/>
        <v/>
      </c>
      <c r="X275" s="28" t="str">
        <f t="shared" si="42"/>
        <v/>
      </c>
      <c r="Y275" s="28" t="str">
        <f t="shared" si="43"/>
        <v/>
      </c>
      <c r="Z275" s="22" t="str">
        <f t="shared" si="44"/>
        <v/>
      </c>
      <c r="AA275" s="28" t="str">
        <f t="shared" si="45"/>
        <v/>
      </c>
      <c r="AB275" s="28" t="str">
        <f t="shared" si="46"/>
        <v/>
      </c>
      <c r="AC275" s="28" t="str">
        <f>IF($A275="","",SUMIFS('CHẶNG TĂNG CA'!$E$5:$E$304,'CHẶNG TĂNG CA'!$A$5:$A$304,$A275,'CHẶNG TĂNG CA'!$B$5:$B$304,$B275))</f>
        <v/>
      </c>
      <c r="AD275" s="28" t="str">
        <f>IF($A275="","",SUMIFS('CHẶNG TĂNG CA'!$F$5:$F$304,'CHẶNG TĂNG CA'!$A$5:$A$304,$A275,'CHẶNG TĂNG CA'!$B$5:$B$304,$B275))</f>
        <v/>
      </c>
      <c r="AE275" s="28" t="str">
        <f>IF($A275="","",SUMIFS('CHẶNG TĂNG CA'!$G$5:$G$304,'CHẶNG TĂNG CA'!$A$5:$A$304,$A275,'CHẶNG TĂNG CA'!$B$5:$B$304,$B275))</f>
        <v/>
      </c>
      <c r="AF275" s="28" t="str">
        <f>IF($A275="","",SUMIFS('CHẶNG TĂNG CA'!$H$5:$H$304,'CHẶNG TĂNG CA'!$A$5:$A$304,$A275,'CHẶNG TĂNG CA'!$B$5:$B$304,$B275))</f>
        <v/>
      </c>
      <c r="AG275" s="28" t="str">
        <f t="shared" si="47"/>
        <v/>
      </c>
      <c r="AH275" s="16" t="str">
        <f>IF($A275="","",IF(COUNTIFS('LỆNH ĐIỀU XE'!$B$5:$B$604,$A275,'LỆNH ĐIỀU XE'!$C$5:$C$604,$B275,'LỆNH ĐIỀU XE'!$N$5:$N$604,"Có")&gt;0,"Có","Không"))</f>
        <v/>
      </c>
      <c r="AI275" s="16" t="str">
        <f>IF(OR($A275="",H275="",N(T275)=0),"",IF(_xlfn.MAXIFS('LỆNH ĐIỀU XE'!$U$5:$U$604,'LỆNH ĐIỀU XE'!$B$5:$B$604,$A275,'LỆNH ĐIỀU XE'!$C$5:$C$604,$B275)=0,"",ROUND((H275+(H275&lt;4/24)-_xlfn.MAXIFS('LỆNH ĐIỀU XE'!$U$5:$U$604,'LỆNH ĐIỀU XE'!$B$5:$B$604,$A275,'LỆNH ĐIỀU XE'!$C$5:$C$604,$B275))*1440,0)))</f>
        <v/>
      </c>
      <c r="AJ275" s="16" t="str">
        <f>IF($A275="","",IF(OR(AI275="",V275=""),"Thiếu dữ liệu",IF(AND(AI275&lt;='THAM SỐ'!$B$29,ABS(V275)&lt;='THAM SỐ'!$B$28),"Đạt","Không đạt")))</f>
        <v/>
      </c>
      <c r="AK275" s="16" t="str">
        <f t="shared" si="48"/>
        <v/>
      </c>
      <c r="AL275" s="16" t="str">
        <f>IF($A275="","",TRIM(IF(T275=0,"Không có lệnh; ","")&amp;IF(N(N275)&gt;0,"Dừng ngoài lệnh; ","")&amp;IF(N(J275)&gt;0,"Quá tốc độ; ","")&amp;IF(N(K275)&gt;0,"Lái quá 4h; ","")&amp;IF(N(L275)&gt;0,"Không tắt máy; ","")&amp;IF(OR(P275&lt;&gt;"Đủ",Q275&lt;&gt;"Đủ",R275&lt;&gt;"Đủ"),"Thiếu ảnh; ","")&amp;IF(S275&lt;&gt;"Đạt","Lốp chưa đạt; ","")&amp;IF(N(W275)&gt;'THAM SỐ'!$B$27,"Có mặt quá giờ; ","")&amp;IF(N(X275)&gt;'THAM SỐ'!$B$25,"Lái quá giờ ngày; ","")&amp;IF(ISNUMBER(V275),IF(ABS(V275)&gt;'THAM SỐ'!$B$28,"Lệch km; ",""),"")))</f>
        <v/>
      </c>
      <c r="AM275" s="29"/>
      <c r="AN275" s="30"/>
      <c r="AO275" s="28" t="str">
        <f t="shared" si="49"/>
        <v/>
      </c>
      <c r="AP275" s="21" t="str">
        <f>IF(OR($A275="",AO275=""),"",IF(AG275=0,0,ROUND((AC275*'THAM SỐ'!$B$18+AD275*'THAM SỐ'!$B$19+AE275*'THAM SỐ'!$B$20+AF275*'THAM SỐ'!$B$21)*MIN(1,AO275/AG275),0)))</f>
        <v/>
      </c>
      <c r="AQ275" s="18"/>
    </row>
    <row r="276" spans="1:43" x14ac:dyDescent="0.45">
      <c r="A276" s="17"/>
      <c r="B276" s="18"/>
      <c r="C276" s="18"/>
      <c r="D276" s="25"/>
      <c r="E276" s="26"/>
      <c r="F276" s="26"/>
      <c r="G276" s="20"/>
      <c r="H276" s="20"/>
      <c r="I276" s="18"/>
      <c r="J276" s="18"/>
      <c r="K276" s="18"/>
      <c r="L276" s="18"/>
      <c r="M276" s="18"/>
      <c r="N276" s="18"/>
      <c r="O276" s="18"/>
      <c r="P276" s="18"/>
      <c r="Q276" s="18"/>
      <c r="R276" s="18"/>
      <c r="S276" s="18"/>
      <c r="T276" s="16" t="str">
        <f>IF($A276="","",COUNTIFS('LỆNH ĐIỀU XE'!$B$5:$B$604,$A276,'LỆNH ĐIỀU XE'!$C$5:$C$604,$B276))</f>
        <v/>
      </c>
      <c r="U276" s="27" t="str">
        <f>IF($A276="","",SUMIFS('LỆNH ĐIỀU XE'!$J$5:$J$604,'LỆNH ĐIỀU XE'!$B$5:$B$604,$A276,'LỆNH ĐIỀU XE'!$C$5:$C$604,$B276))</f>
        <v/>
      </c>
      <c r="V276" s="22" t="str">
        <f t="shared" si="40"/>
        <v/>
      </c>
      <c r="W276" s="28" t="str">
        <f t="shared" si="41"/>
        <v/>
      </c>
      <c r="X276" s="28" t="str">
        <f t="shared" si="42"/>
        <v/>
      </c>
      <c r="Y276" s="28" t="str">
        <f t="shared" si="43"/>
        <v/>
      </c>
      <c r="Z276" s="22" t="str">
        <f t="shared" si="44"/>
        <v/>
      </c>
      <c r="AA276" s="28" t="str">
        <f t="shared" si="45"/>
        <v/>
      </c>
      <c r="AB276" s="28" t="str">
        <f t="shared" si="46"/>
        <v/>
      </c>
      <c r="AC276" s="28" t="str">
        <f>IF($A276="","",SUMIFS('CHẶNG TĂNG CA'!$E$5:$E$304,'CHẶNG TĂNG CA'!$A$5:$A$304,$A276,'CHẶNG TĂNG CA'!$B$5:$B$304,$B276))</f>
        <v/>
      </c>
      <c r="AD276" s="28" t="str">
        <f>IF($A276="","",SUMIFS('CHẶNG TĂNG CA'!$F$5:$F$304,'CHẶNG TĂNG CA'!$A$5:$A$304,$A276,'CHẶNG TĂNG CA'!$B$5:$B$304,$B276))</f>
        <v/>
      </c>
      <c r="AE276" s="28" t="str">
        <f>IF($A276="","",SUMIFS('CHẶNG TĂNG CA'!$G$5:$G$304,'CHẶNG TĂNG CA'!$A$5:$A$304,$A276,'CHẶNG TĂNG CA'!$B$5:$B$304,$B276))</f>
        <v/>
      </c>
      <c r="AF276" s="28" t="str">
        <f>IF($A276="","",SUMIFS('CHẶNG TĂNG CA'!$H$5:$H$304,'CHẶNG TĂNG CA'!$A$5:$A$304,$A276,'CHẶNG TĂNG CA'!$B$5:$B$304,$B276))</f>
        <v/>
      </c>
      <c r="AG276" s="28" t="str">
        <f t="shared" si="47"/>
        <v/>
      </c>
      <c r="AH276" s="16" t="str">
        <f>IF($A276="","",IF(COUNTIFS('LỆNH ĐIỀU XE'!$B$5:$B$604,$A276,'LỆNH ĐIỀU XE'!$C$5:$C$604,$B276,'LỆNH ĐIỀU XE'!$N$5:$N$604,"Có")&gt;0,"Có","Không"))</f>
        <v/>
      </c>
      <c r="AI276" s="16" t="str">
        <f>IF(OR($A276="",H276="",N(T276)=0),"",IF(_xlfn.MAXIFS('LỆNH ĐIỀU XE'!$U$5:$U$604,'LỆNH ĐIỀU XE'!$B$5:$B$604,$A276,'LỆNH ĐIỀU XE'!$C$5:$C$604,$B276)=0,"",ROUND((H276+(H276&lt;4/24)-_xlfn.MAXIFS('LỆNH ĐIỀU XE'!$U$5:$U$604,'LỆNH ĐIỀU XE'!$B$5:$B$604,$A276,'LỆNH ĐIỀU XE'!$C$5:$C$604,$B276))*1440,0)))</f>
        <v/>
      </c>
      <c r="AJ276" s="16" t="str">
        <f>IF($A276="","",IF(OR(AI276="",V276=""),"Thiếu dữ liệu",IF(AND(AI276&lt;='THAM SỐ'!$B$29,ABS(V276)&lt;='THAM SỐ'!$B$28),"Đạt","Không đạt")))</f>
        <v/>
      </c>
      <c r="AK276" s="16" t="str">
        <f t="shared" si="48"/>
        <v/>
      </c>
      <c r="AL276" s="16" t="str">
        <f>IF($A276="","",TRIM(IF(T276=0,"Không có lệnh; ","")&amp;IF(N(N276)&gt;0,"Dừng ngoài lệnh; ","")&amp;IF(N(J276)&gt;0,"Quá tốc độ; ","")&amp;IF(N(K276)&gt;0,"Lái quá 4h; ","")&amp;IF(N(L276)&gt;0,"Không tắt máy; ","")&amp;IF(OR(P276&lt;&gt;"Đủ",Q276&lt;&gt;"Đủ",R276&lt;&gt;"Đủ"),"Thiếu ảnh; ","")&amp;IF(S276&lt;&gt;"Đạt","Lốp chưa đạt; ","")&amp;IF(N(W276)&gt;'THAM SỐ'!$B$27,"Có mặt quá giờ; ","")&amp;IF(N(X276)&gt;'THAM SỐ'!$B$25,"Lái quá giờ ngày; ","")&amp;IF(ISNUMBER(V276),IF(ABS(V276)&gt;'THAM SỐ'!$B$28,"Lệch km; ",""),"")))</f>
        <v/>
      </c>
      <c r="AM276" s="29"/>
      <c r="AN276" s="30"/>
      <c r="AO276" s="28" t="str">
        <f t="shared" si="49"/>
        <v/>
      </c>
      <c r="AP276" s="21" t="str">
        <f>IF(OR($A276="",AO276=""),"",IF(AG276=0,0,ROUND((AC276*'THAM SỐ'!$B$18+AD276*'THAM SỐ'!$B$19+AE276*'THAM SỐ'!$B$20+AF276*'THAM SỐ'!$B$21)*MIN(1,AO276/AG276),0)))</f>
        <v/>
      </c>
      <c r="AQ276" s="18"/>
    </row>
    <row r="277" spans="1:43" x14ac:dyDescent="0.45">
      <c r="A277" s="17"/>
      <c r="B277" s="18"/>
      <c r="C277" s="18"/>
      <c r="D277" s="25"/>
      <c r="E277" s="26"/>
      <c r="F277" s="26"/>
      <c r="G277" s="20"/>
      <c r="H277" s="20"/>
      <c r="I277" s="18"/>
      <c r="J277" s="18"/>
      <c r="K277" s="18"/>
      <c r="L277" s="18"/>
      <c r="M277" s="18"/>
      <c r="N277" s="18"/>
      <c r="O277" s="18"/>
      <c r="P277" s="18"/>
      <c r="Q277" s="18"/>
      <c r="R277" s="18"/>
      <c r="S277" s="18"/>
      <c r="T277" s="16" t="str">
        <f>IF($A277="","",COUNTIFS('LỆNH ĐIỀU XE'!$B$5:$B$604,$A277,'LỆNH ĐIỀU XE'!$C$5:$C$604,$B277))</f>
        <v/>
      </c>
      <c r="U277" s="27" t="str">
        <f>IF($A277="","",SUMIFS('LỆNH ĐIỀU XE'!$J$5:$J$604,'LỆNH ĐIỀU XE'!$B$5:$B$604,$A277,'LỆNH ĐIỀU XE'!$C$5:$C$604,$B277))</f>
        <v/>
      </c>
      <c r="V277" s="22" t="str">
        <f t="shared" si="40"/>
        <v/>
      </c>
      <c r="W277" s="28" t="str">
        <f t="shared" si="41"/>
        <v/>
      </c>
      <c r="X277" s="28" t="str">
        <f t="shared" si="42"/>
        <v/>
      </c>
      <c r="Y277" s="28" t="str">
        <f t="shared" si="43"/>
        <v/>
      </c>
      <c r="Z277" s="22" t="str">
        <f t="shared" si="44"/>
        <v/>
      </c>
      <c r="AA277" s="28" t="str">
        <f t="shared" si="45"/>
        <v/>
      </c>
      <c r="AB277" s="28" t="str">
        <f t="shared" si="46"/>
        <v/>
      </c>
      <c r="AC277" s="28" t="str">
        <f>IF($A277="","",SUMIFS('CHẶNG TĂNG CA'!$E$5:$E$304,'CHẶNG TĂNG CA'!$A$5:$A$304,$A277,'CHẶNG TĂNG CA'!$B$5:$B$304,$B277))</f>
        <v/>
      </c>
      <c r="AD277" s="28" t="str">
        <f>IF($A277="","",SUMIFS('CHẶNG TĂNG CA'!$F$5:$F$304,'CHẶNG TĂNG CA'!$A$5:$A$304,$A277,'CHẶNG TĂNG CA'!$B$5:$B$304,$B277))</f>
        <v/>
      </c>
      <c r="AE277" s="28" t="str">
        <f>IF($A277="","",SUMIFS('CHẶNG TĂNG CA'!$G$5:$G$304,'CHẶNG TĂNG CA'!$A$5:$A$304,$A277,'CHẶNG TĂNG CA'!$B$5:$B$304,$B277))</f>
        <v/>
      </c>
      <c r="AF277" s="28" t="str">
        <f>IF($A277="","",SUMIFS('CHẶNG TĂNG CA'!$H$5:$H$304,'CHẶNG TĂNG CA'!$A$5:$A$304,$A277,'CHẶNG TĂNG CA'!$B$5:$B$304,$B277))</f>
        <v/>
      </c>
      <c r="AG277" s="28" t="str">
        <f t="shared" si="47"/>
        <v/>
      </c>
      <c r="AH277" s="16" t="str">
        <f>IF($A277="","",IF(COUNTIFS('LỆNH ĐIỀU XE'!$B$5:$B$604,$A277,'LỆNH ĐIỀU XE'!$C$5:$C$604,$B277,'LỆNH ĐIỀU XE'!$N$5:$N$604,"Có")&gt;0,"Có","Không"))</f>
        <v/>
      </c>
      <c r="AI277" s="16" t="str">
        <f>IF(OR($A277="",H277="",N(T277)=0),"",IF(_xlfn.MAXIFS('LỆNH ĐIỀU XE'!$U$5:$U$604,'LỆNH ĐIỀU XE'!$B$5:$B$604,$A277,'LỆNH ĐIỀU XE'!$C$5:$C$604,$B277)=0,"",ROUND((H277+(H277&lt;4/24)-_xlfn.MAXIFS('LỆNH ĐIỀU XE'!$U$5:$U$604,'LỆNH ĐIỀU XE'!$B$5:$B$604,$A277,'LỆNH ĐIỀU XE'!$C$5:$C$604,$B277))*1440,0)))</f>
        <v/>
      </c>
      <c r="AJ277" s="16" t="str">
        <f>IF($A277="","",IF(OR(AI277="",V277=""),"Thiếu dữ liệu",IF(AND(AI277&lt;='THAM SỐ'!$B$29,ABS(V277)&lt;='THAM SỐ'!$B$28),"Đạt","Không đạt")))</f>
        <v/>
      </c>
      <c r="AK277" s="16" t="str">
        <f t="shared" si="48"/>
        <v/>
      </c>
      <c r="AL277" s="16" t="str">
        <f>IF($A277="","",TRIM(IF(T277=0,"Không có lệnh; ","")&amp;IF(N(N277)&gt;0,"Dừng ngoài lệnh; ","")&amp;IF(N(J277)&gt;0,"Quá tốc độ; ","")&amp;IF(N(K277)&gt;0,"Lái quá 4h; ","")&amp;IF(N(L277)&gt;0,"Không tắt máy; ","")&amp;IF(OR(P277&lt;&gt;"Đủ",Q277&lt;&gt;"Đủ",R277&lt;&gt;"Đủ"),"Thiếu ảnh; ","")&amp;IF(S277&lt;&gt;"Đạt","Lốp chưa đạt; ","")&amp;IF(N(W277)&gt;'THAM SỐ'!$B$27,"Có mặt quá giờ; ","")&amp;IF(N(X277)&gt;'THAM SỐ'!$B$25,"Lái quá giờ ngày; ","")&amp;IF(ISNUMBER(V277),IF(ABS(V277)&gt;'THAM SỐ'!$B$28,"Lệch km; ",""),"")))</f>
        <v/>
      </c>
      <c r="AM277" s="29"/>
      <c r="AN277" s="30"/>
      <c r="AO277" s="28" t="str">
        <f t="shared" si="49"/>
        <v/>
      </c>
      <c r="AP277" s="21" t="str">
        <f>IF(OR($A277="",AO277=""),"",IF(AG277=0,0,ROUND((AC277*'THAM SỐ'!$B$18+AD277*'THAM SỐ'!$B$19+AE277*'THAM SỐ'!$B$20+AF277*'THAM SỐ'!$B$21)*MIN(1,AO277/AG277),0)))</f>
        <v/>
      </c>
      <c r="AQ277" s="18"/>
    </row>
    <row r="278" spans="1:43" x14ac:dyDescent="0.45">
      <c r="A278" s="17"/>
      <c r="B278" s="18"/>
      <c r="C278" s="18"/>
      <c r="D278" s="25"/>
      <c r="E278" s="26"/>
      <c r="F278" s="26"/>
      <c r="G278" s="20"/>
      <c r="H278" s="20"/>
      <c r="I278" s="18"/>
      <c r="J278" s="18"/>
      <c r="K278" s="18"/>
      <c r="L278" s="18"/>
      <c r="M278" s="18"/>
      <c r="N278" s="18"/>
      <c r="O278" s="18"/>
      <c r="P278" s="18"/>
      <c r="Q278" s="18"/>
      <c r="R278" s="18"/>
      <c r="S278" s="18"/>
      <c r="T278" s="16" t="str">
        <f>IF($A278="","",COUNTIFS('LỆNH ĐIỀU XE'!$B$5:$B$604,$A278,'LỆNH ĐIỀU XE'!$C$5:$C$604,$B278))</f>
        <v/>
      </c>
      <c r="U278" s="27" t="str">
        <f>IF($A278="","",SUMIFS('LỆNH ĐIỀU XE'!$J$5:$J$604,'LỆNH ĐIỀU XE'!$B$5:$B$604,$A278,'LỆNH ĐIỀU XE'!$C$5:$C$604,$B278))</f>
        <v/>
      </c>
      <c r="V278" s="22" t="str">
        <f t="shared" si="40"/>
        <v/>
      </c>
      <c r="W278" s="28" t="str">
        <f t="shared" si="41"/>
        <v/>
      </c>
      <c r="X278" s="28" t="str">
        <f t="shared" si="42"/>
        <v/>
      </c>
      <c r="Y278" s="28" t="str">
        <f t="shared" si="43"/>
        <v/>
      </c>
      <c r="Z278" s="22" t="str">
        <f t="shared" si="44"/>
        <v/>
      </c>
      <c r="AA278" s="28" t="str">
        <f t="shared" si="45"/>
        <v/>
      </c>
      <c r="AB278" s="28" t="str">
        <f t="shared" si="46"/>
        <v/>
      </c>
      <c r="AC278" s="28" t="str">
        <f>IF($A278="","",SUMIFS('CHẶNG TĂNG CA'!$E$5:$E$304,'CHẶNG TĂNG CA'!$A$5:$A$304,$A278,'CHẶNG TĂNG CA'!$B$5:$B$304,$B278))</f>
        <v/>
      </c>
      <c r="AD278" s="28" t="str">
        <f>IF($A278="","",SUMIFS('CHẶNG TĂNG CA'!$F$5:$F$304,'CHẶNG TĂNG CA'!$A$5:$A$304,$A278,'CHẶNG TĂNG CA'!$B$5:$B$304,$B278))</f>
        <v/>
      </c>
      <c r="AE278" s="28" t="str">
        <f>IF($A278="","",SUMIFS('CHẶNG TĂNG CA'!$G$5:$G$304,'CHẶNG TĂNG CA'!$A$5:$A$304,$A278,'CHẶNG TĂNG CA'!$B$5:$B$304,$B278))</f>
        <v/>
      </c>
      <c r="AF278" s="28" t="str">
        <f>IF($A278="","",SUMIFS('CHẶNG TĂNG CA'!$H$5:$H$304,'CHẶNG TĂNG CA'!$A$5:$A$304,$A278,'CHẶNG TĂNG CA'!$B$5:$B$304,$B278))</f>
        <v/>
      </c>
      <c r="AG278" s="28" t="str">
        <f t="shared" si="47"/>
        <v/>
      </c>
      <c r="AH278" s="16" t="str">
        <f>IF($A278="","",IF(COUNTIFS('LỆNH ĐIỀU XE'!$B$5:$B$604,$A278,'LỆNH ĐIỀU XE'!$C$5:$C$604,$B278,'LỆNH ĐIỀU XE'!$N$5:$N$604,"Có")&gt;0,"Có","Không"))</f>
        <v/>
      </c>
      <c r="AI278" s="16" t="str">
        <f>IF(OR($A278="",H278="",N(T278)=0),"",IF(_xlfn.MAXIFS('LỆNH ĐIỀU XE'!$U$5:$U$604,'LỆNH ĐIỀU XE'!$B$5:$B$604,$A278,'LỆNH ĐIỀU XE'!$C$5:$C$604,$B278)=0,"",ROUND((H278+(H278&lt;4/24)-_xlfn.MAXIFS('LỆNH ĐIỀU XE'!$U$5:$U$604,'LỆNH ĐIỀU XE'!$B$5:$B$604,$A278,'LỆNH ĐIỀU XE'!$C$5:$C$604,$B278))*1440,0)))</f>
        <v/>
      </c>
      <c r="AJ278" s="16" t="str">
        <f>IF($A278="","",IF(OR(AI278="",V278=""),"Thiếu dữ liệu",IF(AND(AI278&lt;='THAM SỐ'!$B$29,ABS(V278)&lt;='THAM SỐ'!$B$28),"Đạt","Không đạt")))</f>
        <v/>
      </c>
      <c r="AK278" s="16" t="str">
        <f t="shared" si="48"/>
        <v/>
      </c>
      <c r="AL278" s="16" t="str">
        <f>IF($A278="","",TRIM(IF(T278=0,"Không có lệnh; ","")&amp;IF(N(N278)&gt;0,"Dừng ngoài lệnh; ","")&amp;IF(N(J278)&gt;0,"Quá tốc độ; ","")&amp;IF(N(K278)&gt;0,"Lái quá 4h; ","")&amp;IF(N(L278)&gt;0,"Không tắt máy; ","")&amp;IF(OR(P278&lt;&gt;"Đủ",Q278&lt;&gt;"Đủ",R278&lt;&gt;"Đủ"),"Thiếu ảnh; ","")&amp;IF(S278&lt;&gt;"Đạt","Lốp chưa đạt; ","")&amp;IF(N(W278)&gt;'THAM SỐ'!$B$27,"Có mặt quá giờ; ","")&amp;IF(N(X278)&gt;'THAM SỐ'!$B$25,"Lái quá giờ ngày; ","")&amp;IF(ISNUMBER(V278),IF(ABS(V278)&gt;'THAM SỐ'!$B$28,"Lệch km; ",""),"")))</f>
        <v/>
      </c>
      <c r="AM278" s="29"/>
      <c r="AN278" s="30"/>
      <c r="AO278" s="28" t="str">
        <f t="shared" si="49"/>
        <v/>
      </c>
      <c r="AP278" s="21" t="str">
        <f>IF(OR($A278="",AO278=""),"",IF(AG278=0,0,ROUND((AC278*'THAM SỐ'!$B$18+AD278*'THAM SỐ'!$B$19+AE278*'THAM SỐ'!$B$20+AF278*'THAM SỐ'!$B$21)*MIN(1,AO278/AG278),0)))</f>
        <v/>
      </c>
      <c r="AQ278" s="18"/>
    </row>
    <row r="279" spans="1:43" x14ac:dyDescent="0.45">
      <c r="A279" s="17"/>
      <c r="B279" s="18"/>
      <c r="C279" s="18"/>
      <c r="D279" s="25"/>
      <c r="E279" s="26"/>
      <c r="F279" s="26"/>
      <c r="G279" s="20"/>
      <c r="H279" s="20"/>
      <c r="I279" s="18"/>
      <c r="J279" s="18"/>
      <c r="K279" s="18"/>
      <c r="L279" s="18"/>
      <c r="M279" s="18"/>
      <c r="N279" s="18"/>
      <c r="O279" s="18"/>
      <c r="P279" s="18"/>
      <c r="Q279" s="18"/>
      <c r="R279" s="18"/>
      <c r="S279" s="18"/>
      <c r="T279" s="16" t="str">
        <f>IF($A279="","",COUNTIFS('LỆNH ĐIỀU XE'!$B$5:$B$604,$A279,'LỆNH ĐIỀU XE'!$C$5:$C$604,$B279))</f>
        <v/>
      </c>
      <c r="U279" s="27" t="str">
        <f>IF($A279="","",SUMIFS('LỆNH ĐIỀU XE'!$J$5:$J$604,'LỆNH ĐIỀU XE'!$B$5:$B$604,$A279,'LỆNH ĐIỀU XE'!$C$5:$C$604,$B279))</f>
        <v/>
      </c>
      <c r="V279" s="22" t="str">
        <f t="shared" si="40"/>
        <v/>
      </c>
      <c r="W279" s="28" t="str">
        <f t="shared" si="41"/>
        <v/>
      </c>
      <c r="X279" s="28" t="str">
        <f t="shared" si="42"/>
        <v/>
      </c>
      <c r="Y279" s="28" t="str">
        <f t="shared" si="43"/>
        <v/>
      </c>
      <c r="Z279" s="22" t="str">
        <f t="shared" si="44"/>
        <v/>
      </c>
      <c r="AA279" s="28" t="str">
        <f t="shared" si="45"/>
        <v/>
      </c>
      <c r="AB279" s="28" t="str">
        <f t="shared" si="46"/>
        <v/>
      </c>
      <c r="AC279" s="28" t="str">
        <f>IF($A279="","",SUMIFS('CHẶNG TĂNG CA'!$E$5:$E$304,'CHẶNG TĂNG CA'!$A$5:$A$304,$A279,'CHẶNG TĂNG CA'!$B$5:$B$304,$B279))</f>
        <v/>
      </c>
      <c r="AD279" s="28" t="str">
        <f>IF($A279="","",SUMIFS('CHẶNG TĂNG CA'!$F$5:$F$304,'CHẶNG TĂNG CA'!$A$5:$A$304,$A279,'CHẶNG TĂNG CA'!$B$5:$B$304,$B279))</f>
        <v/>
      </c>
      <c r="AE279" s="28" t="str">
        <f>IF($A279="","",SUMIFS('CHẶNG TĂNG CA'!$G$5:$G$304,'CHẶNG TĂNG CA'!$A$5:$A$304,$A279,'CHẶNG TĂNG CA'!$B$5:$B$304,$B279))</f>
        <v/>
      </c>
      <c r="AF279" s="28" t="str">
        <f>IF($A279="","",SUMIFS('CHẶNG TĂNG CA'!$H$5:$H$304,'CHẶNG TĂNG CA'!$A$5:$A$304,$A279,'CHẶNG TĂNG CA'!$B$5:$B$304,$B279))</f>
        <v/>
      </c>
      <c r="AG279" s="28" t="str">
        <f t="shared" si="47"/>
        <v/>
      </c>
      <c r="AH279" s="16" t="str">
        <f>IF($A279="","",IF(COUNTIFS('LỆNH ĐIỀU XE'!$B$5:$B$604,$A279,'LỆNH ĐIỀU XE'!$C$5:$C$604,$B279,'LỆNH ĐIỀU XE'!$N$5:$N$604,"Có")&gt;0,"Có","Không"))</f>
        <v/>
      </c>
      <c r="AI279" s="16" t="str">
        <f>IF(OR($A279="",H279="",N(T279)=0),"",IF(_xlfn.MAXIFS('LỆNH ĐIỀU XE'!$U$5:$U$604,'LỆNH ĐIỀU XE'!$B$5:$B$604,$A279,'LỆNH ĐIỀU XE'!$C$5:$C$604,$B279)=0,"",ROUND((H279+(H279&lt;4/24)-_xlfn.MAXIFS('LỆNH ĐIỀU XE'!$U$5:$U$604,'LỆNH ĐIỀU XE'!$B$5:$B$604,$A279,'LỆNH ĐIỀU XE'!$C$5:$C$604,$B279))*1440,0)))</f>
        <v/>
      </c>
      <c r="AJ279" s="16" t="str">
        <f>IF($A279="","",IF(OR(AI279="",V279=""),"Thiếu dữ liệu",IF(AND(AI279&lt;='THAM SỐ'!$B$29,ABS(V279)&lt;='THAM SỐ'!$B$28),"Đạt","Không đạt")))</f>
        <v/>
      </c>
      <c r="AK279" s="16" t="str">
        <f t="shared" si="48"/>
        <v/>
      </c>
      <c r="AL279" s="16" t="str">
        <f>IF($A279="","",TRIM(IF(T279=0,"Không có lệnh; ","")&amp;IF(N(N279)&gt;0,"Dừng ngoài lệnh; ","")&amp;IF(N(J279)&gt;0,"Quá tốc độ; ","")&amp;IF(N(K279)&gt;0,"Lái quá 4h; ","")&amp;IF(N(L279)&gt;0,"Không tắt máy; ","")&amp;IF(OR(P279&lt;&gt;"Đủ",Q279&lt;&gt;"Đủ",R279&lt;&gt;"Đủ"),"Thiếu ảnh; ","")&amp;IF(S279&lt;&gt;"Đạt","Lốp chưa đạt; ","")&amp;IF(N(W279)&gt;'THAM SỐ'!$B$27,"Có mặt quá giờ; ","")&amp;IF(N(X279)&gt;'THAM SỐ'!$B$25,"Lái quá giờ ngày; ","")&amp;IF(ISNUMBER(V279),IF(ABS(V279)&gt;'THAM SỐ'!$B$28,"Lệch km; ",""),"")))</f>
        <v/>
      </c>
      <c r="AM279" s="29"/>
      <c r="AN279" s="30"/>
      <c r="AO279" s="28" t="str">
        <f t="shared" si="49"/>
        <v/>
      </c>
      <c r="AP279" s="21" t="str">
        <f>IF(OR($A279="",AO279=""),"",IF(AG279=0,0,ROUND((AC279*'THAM SỐ'!$B$18+AD279*'THAM SỐ'!$B$19+AE279*'THAM SỐ'!$B$20+AF279*'THAM SỐ'!$B$21)*MIN(1,AO279/AG279),0)))</f>
        <v/>
      </c>
      <c r="AQ279" s="18"/>
    </row>
    <row r="280" spans="1:43" x14ac:dyDescent="0.45">
      <c r="A280" s="17"/>
      <c r="B280" s="18"/>
      <c r="C280" s="18"/>
      <c r="D280" s="25"/>
      <c r="E280" s="26"/>
      <c r="F280" s="26"/>
      <c r="G280" s="20"/>
      <c r="H280" s="20"/>
      <c r="I280" s="18"/>
      <c r="J280" s="18"/>
      <c r="K280" s="18"/>
      <c r="L280" s="18"/>
      <c r="M280" s="18"/>
      <c r="N280" s="18"/>
      <c r="O280" s="18"/>
      <c r="P280" s="18"/>
      <c r="Q280" s="18"/>
      <c r="R280" s="18"/>
      <c r="S280" s="18"/>
      <c r="T280" s="16" t="str">
        <f>IF($A280="","",COUNTIFS('LỆNH ĐIỀU XE'!$B$5:$B$604,$A280,'LỆNH ĐIỀU XE'!$C$5:$C$604,$B280))</f>
        <v/>
      </c>
      <c r="U280" s="27" t="str">
        <f>IF($A280="","",SUMIFS('LỆNH ĐIỀU XE'!$J$5:$J$604,'LỆNH ĐIỀU XE'!$B$5:$B$604,$A280,'LỆNH ĐIỀU XE'!$C$5:$C$604,$B280))</f>
        <v/>
      </c>
      <c r="V280" s="22" t="str">
        <f t="shared" si="40"/>
        <v/>
      </c>
      <c r="W280" s="28" t="str">
        <f t="shared" si="41"/>
        <v/>
      </c>
      <c r="X280" s="28" t="str">
        <f t="shared" si="42"/>
        <v/>
      </c>
      <c r="Y280" s="28" t="str">
        <f t="shared" si="43"/>
        <v/>
      </c>
      <c r="Z280" s="22" t="str">
        <f t="shared" si="44"/>
        <v/>
      </c>
      <c r="AA280" s="28" t="str">
        <f t="shared" si="45"/>
        <v/>
      </c>
      <c r="AB280" s="28" t="str">
        <f t="shared" si="46"/>
        <v/>
      </c>
      <c r="AC280" s="28" t="str">
        <f>IF($A280="","",SUMIFS('CHẶNG TĂNG CA'!$E$5:$E$304,'CHẶNG TĂNG CA'!$A$5:$A$304,$A280,'CHẶNG TĂNG CA'!$B$5:$B$304,$B280))</f>
        <v/>
      </c>
      <c r="AD280" s="28" t="str">
        <f>IF($A280="","",SUMIFS('CHẶNG TĂNG CA'!$F$5:$F$304,'CHẶNG TĂNG CA'!$A$5:$A$304,$A280,'CHẶNG TĂNG CA'!$B$5:$B$304,$B280))</f>
        <v/>
      </c>
      <c r="AE280" s="28" t="str">
        <f>IF($A280="","",SUMIFS('CHẶNG TĂNG CA'!$G$5:$G$304,'CHẶNG TĂNG CA'!$A$5:$A$304,$A280,'CHẶNG TĂNG CA'!$B$5:$B$304,$B280))</f>
        <v/>
      </c>
      <c r="AF280" s="28" t="str">
        <f>IF($A280="","",SUMIFS('CHẶNG TĂNG CA'!$H$5:$H$304,'CHẶNG TĂNG CA'!$A$5:$A$304,$A280,'CHẶNG TĂNG CA'!$B$5:$B$304,$B280))</f>
        <v/>
      </c>
      <c r="AG280" s="28" t="str">
        <f t="shared" si="47"/>
        <v/>
      </c>
      <c r="AH280" s="16" t="str">
        <f>IF($A280="","",IF(COUNTIFS('LỆNH ĐIỀU XE'!$B$5:$B$604,$A280,'LỆNH ĐIỀU XE'!$C$5:$C$604,$B280,'LỆNH ĐIỀU XE'!$N$5:$N$604,"Có")&gt;0,"Có","Không"))</f>
        <v/>
      </c>
      <c r="AI280" s="16" t="str">
        <f>IF(OR($A280="",H280="",N(T280)=0),"",IF(_xlfn.MAXIFS('LỆNH ĐIỀU XE'!$U$5:$U$604,'LỆNH ĐIỀU XE'!$B$5:$B$604,$A280,'LỆNH ĐIỀU XE'!$C$5:$C$604,$B280)=0,"",ROUND((H280+(H280&lt;4/24)-_xlfn.MAXIFS('LỆNH ĐIỀU XE'!$U$5:$U$604,'LỆNH ĐIỀU XE'!$B$5:$B$604,$A280,'LỆNH ĐIỀU XE'!$C$5:$C$604,$B280))*1440,0)))</f>
        <v/>
      </c>
      <c r="AJ280" s="16" t="str">
        <f>IF($A280="","",IF(OR(AI280="",V280=""),"Thiếu dữ liệu",IF(AND(AI280&lt;='THAM SỐ'!$B$29,ABS(V280)&lt;='THAM SỐ'!$B$28),"Đạt","Không đạt")))</f>
        <v/>
      </c>
      <c r="AK280" s="16" t="str">
        <f t="shared" si="48"/>
        <v/>
      </c>
      <c r="AL280" s="16" t="str">
        <f>IF($A280="","",TRIM(IF(T280=0,"Không có lệnh; ","")&amp;IF(N(N280)&gt;0,"Dừng ngoài lệnh; ","")&amp;IF(N(J280)&gt;0,"Quá tốc độ; ","")&amp;IF(N(K280)&gt;0,"Lái quá 4h; ","")&amp;IF(N(L280)&gt;0,"Không tắt máy; ","")&amp;IF(OR(P280&lt;&gt;"Đủ",Q280&lt;&gt;"Đủ",R280&lt;&gt;"Đủ"),"Thiếu ảnh; ","")&amp;IF(S280&lt;&gt;"Đạt","Lốp chưa đạt; ","")&amp;IF(N(W280)&gt;'THAM SỐ'!$B$27,"Có mặt quá giờ; ","")&amp;IF(N(X280)&gt;'THAM SỐ'!$B$25,"Lái quá giờ ngày; ","")&amp;IF(ISNUMBER(V280),IF(ABS(V280)&gt;'THAM SỐ'!$B$28,"Lệch km; ",""),"")))</f>
        <v/>
      </c>
      <c r="AM280" s="29"/>
      <c r="AN280" s="30"/>
      <c r="AO280" s="28" t="str">
        <f t="shared" si="49"/>
        <v/>
      </c>
      <c r="AP280" s="21" t="str">
        <f>IF(OR($A280="",AO280=""),"",IF(AG280=0,0,ROUND((AC280*'THAM SỐ'!$B$18+AD280*'THAM SỐ'!$B$19+AE280*'THAM SỐ'!$B$20+AF280*'THAM SỐ'!$B$21)*MIN(1,AO280/AG280),0)))</f>
        <v/>
      </c>
      <c r="AQ280" s="18"/>
    </row>
    <row r="281" spans="1:43" x14ac:dyDescent="0.45">
      <c r="A281" s="17"/>
      <c r="B281" s="18"/>
      <c r="C281" s="18"/>
      <c r="D281" s="25"/>
      <c r="E281" s="26"/>
      <c r="F281" s="26"/>
      <c r="G281" s="20"/>
      <c r="H281" s="20"/>
      <c r="I281" s="18"/>
      <c r="J281" s="18"/>
      <c r="K281" s="18"/>
      <c r="L281" s="18"/>
      <c r="M281" s="18"/>
      <c r="N281" s="18"/>
      <c r="O281" s="18"/>
      <c r="P281" s="18"/>
      <c r="Q281" s="18"/>
      <c r="R281" s="18"/>
      <c r="S281" s="18"/>
      <c r="T281" s="16" t="str">
        <f>IF($A281="","",COUNTIFS('LỆNH ĐIỀU XE'!$B$5:$B$604,$A281,'LỆNH ĐIỀU XE'!$C$5:$C$604,$B281))</f>
        <v/>
      </c>
      <c r="U281" s="27" t="str">
        <f>IF($A281="","",SUMIFS('LỆNH ĐIỀU XE'!$J$5:$J$604,'LỆNH ĐIỀU XE'!$B$5:$B$604,$A281,'LỆNH ĐIỀU XE'!$C$5:$C$604,$B281))</f>
        <v/>
      </c>
      <c r="V281" s="22" t="str">
        <f t="shared" si="40"/>
        <v/>
      </c>
      <c r="W281" s="28" t="str">
        <f t="shared" si="41"/>
        <v/>
      </c>
      <c r="X281" s="28" t="str">
        <f t="shared" si="42"/>
        <v/>
      </c>
      <c r="Y281" s="28" t="str">
        <f t="shared" si="43"/>
        <v/>
      </c>
      <c r="Z281" s="22" t="str">
        <f t="shared" si="44"/>
        <v/>
      </c>
      <c r="AA281" s="28" t="str">
        <f t="shared" si="45"/>
        <v/>
      </c>
      <c r="AB281" s="28" t="str">
        <f t="shared" si="46"/>
        <v/>
      </c>
      <c r="AC281" s="28" t="str">
        <f>IF($A281="","",SUMIFS('CHẶNG TĂNG CA'!$E$5:$E$304,'CHẶNG TĂNG CA'!$A$5:$A$304,$A281,'CHẶNG TĂNG CA'!$B$5:$B$304,$B281))</f>
        <v/>
      </c>
      <c r="AD281" s="28" t="str">
        <f>IF($A281="","",SUMIFS('CHẶNG TĂNG CA'!$F$5:$F$304,'CHẶNG TĂNG CA'!$A$5:$A$304,$A281,'CHẶNG TĂNG CA'!$B$5:$B$304,$B281))</f>
        <v/>
      </c>
      <c r="AE281" s="28" t="str">
        <f>IF($A281="","",SUMIFS('CHẶNG TĂNG CA'!$G$5:$G$304,'CHẶNG TĂNG CA'!$A$5:$A$304,$A281,'CHẶNG TĂNG CA'!$B$5:$B$304,$B281))</f>
        <v/>
      </c>
      <c r="AF281" s="28" t="str">
        <f>IF($A281="","",SUMIFS('CHẶNG TĂNG CA'!$H$5:$H$304,'CHẶNG TĂNG CA'!$A$5:$A$304,$A281,'CHẶNG TĂNG CA'!$B$5:$B$304,$B281))</f>
        <v/>
      </c>
      <c r="AG281" s="28" t="str">
        <f t="shared" si="47"/>
        <v/>
      </c>
      <c r="AH281" s="16" t="str">
        <f>IF($A281="","",IF(COUNTIFS('LỆNH ĐIỀU XE'!$B$5:$B$604,$A281,'LỆNH ĐIỀU XE'!$C$5:$C$604,$B281,'LỆNH ĐIỀU XE'!$N$5:$N$604,"Có")&gt;0,"Có","Không"))</f>
        <v/>
      </c>
      <c r="AI281" s="16" t="str">
        <f>IF(OR($A281="",H281="",N(T281)=0),"",IF(_xlfn.MAXIFS('LỆNH ĐIỀU XE'!$U$5:$U$604,'LỆNH ĐIỀU XE'!$B$5:$B$604,$A281,'LỆNH ĐIỀU XE'!$C$5:$C$604,$B281)=0,"",ROUND((H281+(H281&lt;4/24)-_xlfn.MAXIFS('LỆNH ĐIỀU XE'!$U$5:$U$604,'LỆNH ĐIỀU XE'!$B$5:$B$604,$A281,'LỆNH ĐIỀU XE'!$C$5:$C$604,$B281))*1440,0)))</f>
        <v/>
      </c>
      <c r="AJ281" s="16" t="str">
        <f>IF($A281="","",IF(OR(AI281="",V281=""),"Thiếu dữ liệu",IF(AND(AI281&lt;='THAM SỐ'!$B$29,ABS(V281)&lt;='THAM SỐ'!$B$28),"Đạt","Không đạt")))</f>
        <v/>
      </c>
      <c r="AK281" s="16" t="str">
        <f t="shared" si="48"/>
        <v/>
      </c>
      <c r="AL281" s="16" t="str">
        <f>IF($A281="","",TRIM(IF(T281=0,"Không có lệnh; ","")&amp;IF(N(N281)&gt;0,"Dừng ngoài lệnh; ","")&amp;IF(N(J281)&gt;0,"Quá tốc độ; ","")&amp;IF(N(K281)&gt;0,"Lái quá 4h; ","")&amp;IF(N(L281)&gt;0,"Không tắt máy; ","")&amp;IF(OR(P281&lt;&gt;"Đủ",Q281&lt;&gt;"Đủ",R281&lt;&gt;"Đủ"),"Thiếu ảnh; ","")&amp;IF(S281&lt;&gt;"Đạt","Lốp chưa đạt; ","")&amp;IF(N(W281)&gt;'THAM SỐ'!$B$27,"Có mặt quá giờ; ","")&amp;IF(N(X281)&gt;'THAM SỐ'!$B$25,"Lái quá giờ ngày; ","")&amp;IF(ISNUMBER(V281),IF(ABS(V281)&gt;'THAM SỐ'!$B$28,"Lệch km; ",""),"")))</f>
        <v/>
      </c>
      <c r="AM281" s="29"/>
      <c r="AN281" s="30"/>
      <c r="AO281" s="28" t="str">
        <f t="shared" si="49"/>
        <v/>
      </c>
      <c r="AP281" s="21" t="str">
        <f>IF(OR($A281="",AO281=""),"",IF(AG281=0,0,ROUND((AC281*'THAM SỐ'!$B$18+AD281*'THAM SỐ'!$B$19+AE281*'THAM SỐ'!$B$20+AF281*'THAM SỐ'!$B$21)*MIN(1,AO281/AG281),0)))</f>
        <v/>
      </c>
      <c r="AQ281" s="18"/>
    </row>
    <row r="282" spans="1:43" x14ac:dyDescent="0.45">
      <c r="A282" s="17"/>
      <c r="B282" s="18"/>
      <c r="C282" s="18"/>
      <c r="D282" s="25"/>
      <c r="E282" s="26"/>
      <c r="F282" s="26"/>
      <c r="G282" s="20"/>
      <c r="H282" s="20"/>
      <c r="I282" s="18"/>
      <c r="J282" s="18"/>
      <c r="K282" s="18"/>
      <c r="L282" s="18"/>
      <c r="M282" s="18"/>
      <c r="N282" s="18"/>
      <c r="O282" s="18"/>
      <c r="P282" s="18"/>
      <c r="Q282" s="18"/>
      <c r="R282" s="18"/>
      <c r="S282" s="18"/>
      <c r="T282" s="16" t="str">
        <f>IF($A282="","",COUNTIFS('LỆNH ĐIỀU XE'!$B$5:$B$604,$A282,'LỆNH ĐIỀU XE'!$C$5:$C$604,$B282))</f>
        <v/>
      </c>
      <c r="U282" s="27" t="str">
        <f>IF($A282="","",SUMIFS('LỆNH ĐIỀU XE'!$J$5:$J$604,'LỆNH ĐIỀU XE'!$B$5:$B$604,$A282,'LỆNH ĐIỀU XE'!$C$5:$C$604,$B282))</f>
        <v/>
      </c>
      <c r="V282" s="22" t="str">
        <f t="shared" si="40"/>
        <v/>
      </c>
      <c r="W282" s="28" t="str">
        <f t="shared" si="41"/>
        <v/>
      </c>
      <c r="X282" s="28" t="str">
        <f t="shared" si="42"/>
        <v/>
      </c>
      <c r="Y282" s="28" t="str">
        <f t="shared" si="43"/>
        <v/>
      </c>
      <c r="Z282" s="22" t="str">
        <f t="shared" si="44"/>
        <v/>
      </c>
      <c r="AA282" s="28" t="str">
        <f t="shared" si="45"/>
        <v/>
      </c>
      <c r="AB282" s="28" t="str">
        <f t="shared" si="46"/>
        <v/>
      </c>
      <c r="AC282" s="28" t="str">
        <f>IF($A282="","",SUMIFS('CHẶNG TĂNG CA'!$E$5:$E$304,'CHẶNG TĂNG CA'!$A$5:$A$304,$A282,'CHẶNG TĂNG CA'!$B$5:$B$304,$B282))</f>
        <v/>
      </c>
      <c r="AD282" s="28" t="str">
        <f>IF($A282="","",SUMIFS('CHẶNG TĂNG CA'!$F$5:$F$304,'CHẶNG TĂNG CA'!$A$5:$A$304,$A282,'CHẶNG TĂNG CA'!$B$5:$B$304,$B282))</f>
        <v/>
      </c>
      <c r="AE282" s="28" t="str">
        <f>IF($A282="","",SUMIFS('CHẶNG TĂNG CA'!$G$5:$G$304,'CHẶNG TĂNG CA'!$A$5:$A$304,$A282,'CHẶNG TĂNG CA'!$B$5:$B$304,$B282))</f>
        <v/>
      </c>
      <c r="AF282" s="28" t="str">
        <f>IF($A282="","",SUMIFS('CHẶNG TĂNG CA'!$H$5:$H$304,'CHẶNG TĂNG CA'!$A$5:$A$304,$A282,'CHẶNG TĂNG CA'!$B$5:$B$304,$B282))</f>
        <v/>
      </c>
      <c r="AG282" s="28" t="str">
        <f t="shared" si="47"/>
        <v/>
      </c>
      <c r="AH282" s="16" t="str">
        <f>IF($A282="","",IF(COUNTIFS('LỆNH ĐIỀU XE'!$B$5:$B$604,$A282,'LỆNH ĐIỀU XE'!$C$5:$C$604,$B282,'LỆNH ĐIỀU XE'!$N$5:$N$604,"Có")&gt;0,"Có","Không"))</f>
        <v/>
      </c>
      <c r="AI282" s="16" t="str">
        <f>IF(OR($A282="",H282="",N(T282)=0),"",IF(_xlfn.MAXIFS('LỆNH ĐIỀU XE'!$U$5:$U$604,'LỆNH ĐIỀU XE'!$B$5:$B$604,$A282,'LỆNH ĐIỀU XE'!$C$5:$C$604,$B282)=0,"",ROUND((H282+(H282&lt;4/24)-_xlfn.MAXIFS('LỆNH ĐIỀU XE'!$U$5:$U$604,'LỆNH ĐIỀU XE'!$B$5:$B$604,$A282,'LỆNH ĐIỀU XE'!$C$5:$C$604,$B282))*1440,0)))</f>
        <v/>
      </c>
      <c r="AJ282" s="16" t="str">
        <f>IF($A282="","",IF(OR(AI282="",V282=""),"Thiếu dữ liệu",IF(AND(AI282&lt;='THAM SỐ'!$B$29,ABS(V282)&lt;='THAM SỐ'!$B$28),"Đạt","Không đạt")))</f>
        <v/>
      </c>
      <c r="AK282" s="16" t="str">
        <f t="shared" si="48"/>
        <v/>
      </c>
      <c r="AL282" s="16" t="str">
        <f>IF($A282="","",TRIM(IF(T282=0,"Không có lệnh; ","")&amp;IF(N(N282)&gt;0,"Dừng ngoài lệnh; ","")&amp;IF(N(J282)&gt;0,"Quá tốc độ; ","")&amp;IF(N(K282)&gt;0,"Lái quá 4h; ","")&amp;IF(N(L282)&gt;0,"Không tắt máy; ","")&amp;IF(OR(P282&lt;&gt;"Đủ",Q282&lt;&gt;"Đủ",R282&lt;&gt;"Đủ"),"Thiếu ảnh; ","")&amp;IF(S282&lt;&gt;"Đạt","Lốp chưa đạt; ","")&amp;IF(N(W282)&gt;'THAM SỐ'!$B$27,"Có mặt quá giờ; ","")&amp;IF(N(X282)&gt;'THAM SỐ'!$B$25,"Lái quá giờ ngày; ","")&amp;IF(ISNUMBER(V282),IF(ABS(V282)&gt;'THAM SỐ'!$B$28,"Lệch km; ",""),"")))</f>
        <v/>
      </c>
      <c r="AM282" s="29"/>
      <c r="AN282" s="30"/>
      <c r="AO282" s="28" t="str">
        <f t="shared" si="49"/>
        <v/>
      </c>
      <c r="AP282" s="21" t="str">
        <f>IF(OR($A282="",AO282=""),"",IF(AG282=0,0,ROUND((AC282*'THAM SỐ'!$B$18+AD282*'THAM SỐ'!$B$19+AE282*'THAM SỐ'!$B$20+AF282*'THAM SỐ'!$B$21)*MIN(1,AO282/AG282),0)))</f>
        <v/>
      </c>
      <c r="AQ282" s="18"/>
    </row>
    <row r="283" spans="1:43" x14ac:dyDescent="0.45">
      <c r="A283" s="17"/>
      <c r="B283" s="18"/>
      <c r="C283" s="18"/>
      <c r="D283" s="25"/>
      <c r="E283" s="26"/>
      <c r="F283" s="26"/>
      <c r="G283" s="20"/>
      <c r="H283" s="20"/>
      <c r="I283" s="18"/>
      <c r="J283" s="18"/>
      <c r="K283" s="18"/>
      <c r="L283" s="18"/>
      <c r="M283" s="18"/>
      <c r="N283" s="18"/>
      <c r="O283" s="18"/>
      <c r="P283" s="18"/>
      <c r="Q283" s="18"/>
      <c r="R283" s="18"/>
      <c r="S283" s="18"/>
      <c r="T283" s="16" t="str">
        <f>IF($A283="","",COUNTIFS('LỆNH ĐIỀU XE'!$B$5:$B$604,$A283,'LỆNH ĐIỀU XE'!$C$5:$C$604,$B283))</f>
        <v/>
      </c>
      <c r="U283" s="27" t="str">
        <f>IF($A283="","",SUMIFS('LỆNH ĐIỀU XE'!$J$5:$J$604,'LỆNH ĐIỀU XE'!$B$5:$B$604,$A283,'LỆNH ĐIỀU XE'!$C$5:$C$604,$B283))</f>
        <v/>
      </c>
      <c r="V283" s="22" t="str">
        <f t="shared" si="40"/>
        <v/>
      </c>
      <c r="W283" s="28" t="str">
        <f t="shared" si="41"/>
        <v/>
      </c>
      <c r="X283" s="28" t="str">
        <f t="shared" si="42"/>
        <v/>
      </c>
      <c r="Y283" s="28" t="str">
        <f t="shared" si="43"/>
        <v/>
      </c>
      <c r="Z283" s="22" t="str">
        <f t="shared" si="44"/>
        <v/>
      </c>
      <c r="AA283" s="28" t="str">
        <f t="shared" si="45"/>
        <v/>
      </c>
      <c r="AB283" s="28" t="str">
        <f t="shared" si="46"/>
        <v/>
      </c>
      <c r="AC283" s="28" t="str">
        <f>IF($A283="","",SUMIFS('CHẶNG TĂNG CA'!$E$5:$E$304,'CHẶNG TĂNG CA'!$A$5:$A$304,$A283,'CHẶNG TĂNG CA'!$B$5:$B$304,$B283))</f>
        <v/>
      </c>
      <c r="AD283" s="28" t="str">
        <f>IF($A283="","",SUMIFS('CHẶNG TĂNG CA'!$F$5:$F$304,'CHẶNG TĂNG CA'!$A$5:$A$304,$A283,'CHẶNG TĂNG CA'!$B$5:$B$304,$B283))</f>
        <v/>
      </c>
      <c r="AE283" s="28" t="str">
        <f>IF($A283="","",SUMIFS('CHẶNG TĂNG CA'!$G$5:$G$304,'CHẶNG TĂNG CA'!$A$5:$A$304,$A283,'CHẶNG TĂNG CA'!$B$5:$B$304,$B283))</f>
        <v/>
      </c>
      <c r="AF283" s="28" t="str">
        <f>IF($A283="","",SUMIFS('CHẶNG TĂNG CA'!$H$5:$H$304,'CHẶNG TĂNG CA'!$A$5:$A$304,$A283,'CHẶNG TĂNG CA'!$B$5:$B$304,$B283))</f>
        <v/>
      </c>
      <c r="AG283" s="28" t="str">
        <f t="shared" si="47"/>
        <v/>
      </c>
      <c r="AH283" s="16" t="str">
        <f>IF($A283="","",IF(COUNTIFS('LỆNH ĐIỀU XE'!$B$5:$B$604,$A283,'LỆNH ĐIỀU XE'!$C$5:$C$604,$B283,'LỆNH ĐIỀU XE'!$N$5:$N$604,"Có")&gt;0,"Có","Không"))</f>
        <v/>
      </c>
      <c r="AI283" s="16" t="str">
        <f>IF(OR($A283="",H283="",N(T283)=0),"",IF(_xlfn.MAXIFS('LỆNH ĐIỀU XE'!$U$5:$U$604,'LỆNH ĐIỀU XE'!$B$5:$B$604,$A283,'LỆNH ĐIỀU XE'!$C$5:$C$604,$B283)=0,"",ROUND((H283+(H283&lt;4/24)-_xlfn.MAXIFS('LỆNH ĐIỀU XE'!$U$5:$U$604,'LỆNH ĐIỀU XE'!$B$5:$B$604,$A283,'LỆNH ĐIỀU XE'!$C$5:$C$604,$B283))*1440,0)))</f>
        <v/>
      </c>
      <c r="AJ283" s="16" t="str">
        <f>IF($A283="","",IF(OR(AI283="",V283=""),"Thiếu dữ liệu",IF(AND(AI283&lt;='THAM SỐ'!$B$29,ABS(V283)&lt;='THAM SỐ'!$B$28),"Đạt","Không đạt")))</f>
        <v/>
      </c>
      <c r="AK283" s="16" t="str">
        <f t="shared" si="48"/>
        <v/>
      </c>
      <c r="AL283" s="16" t="str">
        <f>IF($A283="","",TRIM(IF(T283=0,"Không có lệnh; ","")&amp;IF(N(N283)&gt;0,"Dừng ngoài lệnh; ","")&amp;IF(N(J283)&gt;0,"Quá tốc độ; ","")&amp;IF(N(K283)&gt;0,"Lái quá 4h; ","")&amp;IF(N(L283)&gt;0,"Không tắt máy; ","")&amp;IF(OR(P283&lt;&gt;"Đủ",Q283&lt;&gt;"Đủ",R283&lt;&gt;"Đủ"),"Thiếu ảnh; ","")&amp;IF(S283&lt;&gt;"Đạt","Lốp chưa đạt; ","")&amp;IF(N(W283)&gt;'THAM SỐ'!$B$27,"Có mặt quá giờ; ","")&amp;IF(N(X283)&gt;'THAM SỐ'!$B$25,"Lái quá giờ ngày; ","")&amp;IF(ISNUMBER(V283),IF(ABS(V283)&gt;'THAM SỐ'!$B$28,"Lệch km; ",""),"")))</f>
        <v/>
      </c>
      <c r="AM283" s="29"/>
      <c r="AN283" s="30"/>
      <c r="AO283" s="28" t="str">
        <f t="shared" si="49"/>
        <v/>
      </c>
      <c r="AP283" s="21" t="str">
        <f>IF(OR($A283="",AO283=""),"",IF(AG283=0,0,ROUND((AC283*'THAM SỐ'!$B$18+AD283*'THAM SỐ'!$B$19+AE283*'THAM SỐ'!$B$20+AF283*'THAM SỐ'!$B$21)*MIN(1,AO283/AG283),0)))</f>
        <v/>
      </c>
      <c r="AQ283" s="18"/>
    </row>
    <row r="284" spans="1:43" x14ac:dyDescent="0.45">
      <c r="A284" s="17"/>
      <c r="B284" s="18"/>
      <c r="C284" s="18"/>
      <c r="D284" s="25"/>
      <c r="E284" s="26"/>
      <c r="F284" s="26"/>
      <c r="G284" s="20"/>
      <c r="H284" s="20"/>
      <c r="I284" s="18"/>
      <c r="J284" s="18"/>
      <c r="K284" s="18"/>
      <c r="L284" s="18"/>
      <c r="M284" s="18"/>
      <c r="N284" s="18"/>
      <c r="O284" s="18"/>
      <c r="P284" s="18"/>
      <c r="Q284" s="18"/>
      <c r="R284" s="18"/>
      <c r="S284" s="18"/>
      <c r="T284" s="16" t="str">
        <f>IF($A284="","",COUNTIFS('LỆNH ĐIỀU XE'!$B$5:$B$604,$A284,'LỆNH ĐIỀU XE'!$C$5:$C$604,$B284))</f>
        <v/>
      </c>
      <c r="U284" s="27" t="str">
        <f>IF($A284="","",SUMIFS('LỆNH ĐIỀU XE'!$J$5:$J$604,'LỆNH ĐIỀU XE'!$B$5:$B$604,$A284,'LỆNH ĐIỀU XE'!$C$5:$C$604,$B284))</f>
        <v/>
      </c>
      <c r="V284" s="22" t="str">
        <f t="shared" si="40"/>
        <v/>
      </c>
      <c r="W284" s="28" t="str">
        <f t="shared" si="41"/>
        <v/>
      </c>
      <c r="X284" s="28" t="str">
        <f t="shared" si="42"/>
        <v/>
      </c>
      <c r="Y284" s="28" t="str">
        <f t="shared" si="43"/>
        <v/>
      </c>
      <c r="Z284" s="22" t="str">
        <f t="shared" si="44"/>
        <v/>
      </c>
      <c r="AA284" s="28" t="str">
        <f t="shared" si="45"/>
        <v/>
      </c>
      <c r="AB284" s="28" t="str">
        <f t="shared" si="46"/>
        <v/>
      </c>
      <c r="AC284" s="28" t="str">
        <f>IF($A284="","",SUMIFS('CHẶNG TĂNG CA'!$E$5:$E$304,'CHẶNG TĂNG CA'!$A$5:$A$304,$A284,'CHẶNG TĂNG CA'!$B$5:$B$304,$B284))</f>
        <v/>
      </c>
      <c r="AD284" s="28" t="str">
        <f>IF($A284="","",SUMIFS('CHẶNG TĂNG CA'!$F$5:$F$304,'CHẶNG TĂNG CA'!$A$5:$A$304,$A284,'CHẶNG TĂNG CA'!$B$5:$B$304,$B284))</f>
        <v/>
      </c>
      <c r="AE284" s="28" t="str">
        <f>IF($A284="","",SUMIFS('CHẶNG TĂNG CA'!$G$5:$G$304,'CHẶNG TĂNG CA'!$A$5:$A$304,$A284,'CHẶNG TĂNG CA'!$B$5:$B$304,$B284))</f>
        <v/>
      </c>
      <c r="AF284" s="28" t="str">
        <f>IF($A284="","",SUMIFS('CHẶNG TĂNG CA'!$H$5:$H$304,'CHẶNG TĂNG CA'!$A$5:$A$304,$A284,'CHẶNG TĂNG CA'!$B$5:$B$304,$B284))</f>
        <v/>
      </c>
      <c r="AG284" s="28" t="str">
        <f t="shared" si="47"/>
        <v/>
      </c>
      <c r="AH284" s="16" t="str">
        <f>IF($A284="","",IF(COUNTIFS('LỆNH ĐIỀU XE'!$B$5:$B$604,$A284,'LỆNH ĐIỀU XE'!$C$5:$C$604,$B284,'LỆNH ĐIỀU XE'!$N$5:$N$604,"Có")&gt;0,"Có","Không"))</f>
        <v/>
      </c>
      <c r="AI284" s="16" t="str">
        <f>IF(OR($A284="",H284="",N(T284)=0),"",IF(_xlfn.MAXIFS('LỆNH ĐIỀU XE'!$U$5:$U$604,'LỆNH ĐIỀU XE'!$B$5:$B$604,$A284,'LỆNH ĐIỀU XE'!$C$5:$C$604,$B284)=0,"",ROUND((H284+(H284&lt;4/24)-_xlfn.MAXIFS('LỆNH ĐIỀU XE'!$U$5:$U$604,'LỆNH ĐIỀU XE'!$B$5:$B$604,$A284,'LỆNH ĐIỀU XE'!$C$5:$C$604,$B284))*1440,0)))</f>
        <v/>
      </c>
      <c r="AJ284" s="16" t="str">
        <f>IF($A284="","",IF(OR(AI284="",V284=""),"Thiếu dữ liệu",IF(AND(AI284&lt;='THAM SỐ'!$B$29,ABS(V284)&lt;='THAM SỐ'!$B$28),"Đạt","Không đạt")))</f>
        <v/>
      </c>
      <c r="AK284" s="16" t="str">
        <f t="shared" si="48"/>
        <v/>
      </c>
      <c r="AL284" s="16" t="str">
        <f>IF($A284="","",TRIM(IF(T284=0,"Không có lệnh; ","")&amp;IF(N(N284)&gt;0,"Dừng ngoài lệnh; ","")&amp;IF(N(J284)&gt;0,"Quá tốc độ; ","")&amp;IF(N(K284)&gt;0,"Lái quá 4h; ","")&amp;IF(N(L284)&gt;0,"Không tắt máy; ","")&amp;IF(OR(P284&lt;&gt;"Đủ",Q284&lt;&gt;"Đủ",R284&lt;&gt;"Đủ"),"Thiếu ảnh; ","")&amp;IF(S284&lt;&gt;"Đạt","Lốp chưa đạt; ","")&amp;IF(N(W284)&gt;'THAM SỐ'!$B$27,"Có mặt quá giờ; ","")&amp;IF(N(X284)&gt;'THAM SỐ'!$B$25,"Lái quá giờ ngày; ","")&amp;IF(ISNUMBER(V284),IF(ABS(V284)&gt;'THAM SỐ'!$B$28,"Lệch km; ",""),"")))</f>
        <v/>
      </c>
      <c r="AM284" s="29"/>
      <c r="AN284" s="30"/>
      <c r="AO284" s="28" t="str">
        <f t="shared" si="49"/>
        <v/>
      </c>
      <c r="AP284" s="21" t="str">
        <f>IF(OR($A284="",AO284=""),"",IF(AG284=0,0,ROUND((AC284*'THAM SỐ'!$B$18+AD284*'THAM SỐ'!$B$19+AE284*'THAM SỐ'!$B$20+AF284*'THAM SỐ'!$B$21)*MIN(1,AO284/AG284),0)))</f>
        <v/>
      </c>
      <c r="AQ284" s="18"/>
    </row>
    <row r="285" spans="1:43" x14ac:dyDescent="0.45">
      <c r="A285" s="17"/>
      <c r="B285" s="18"/>
      <c r="C285" s="18"/>
      <c r="D285" s="25"/>
      <c r="E285" s="26"/>
      <c r="F285" s="26"/>
      <c r="G285" s="20"/>
      <c r="H285" s="20"/>
      <c r="I285" s="18"/>
      <c r="J285" s="18"/>
      <c r="K285" s="18"/>
      <c r="L285" s="18"/>
      <c r="M285" s="18"/>
      <c r="N285" s="18"/>
      <c r="O285" s="18"/>
      <c r="P285" s="18"/>
      <c r="Q285" s="18"/>
      <c r="R285" s="18"/>
      <c r="S285" s="18"/>
      <c r="T285" s="16" t="str">
        <f>IF($A285="","",COUNTIFS('LỆNH ĐIỀU XE'!$B$5:$B$604,$A285,'LỆNH ĐIỀU XE'!$C$5:$C$604,$B285))</f>
        <v/>
      </c>
      <c r="U285" s="27" t="str">
        <f>IF($A285="","",SUMIFS('LỆNH ĐIỀU XE'!$J$5:$J$604,'LỆNH ĐIỀU XE'!$B$5:$B$604,$A285,'LỆNH ĐIỀU XE'!$C$5:$C$604,$B285))</f>
        <v/>
      </c>
      <c r="V285" s="22" t="str">
        <f t="shared" si="40"/>
        <v/>
      </c>
      <c r="W285" s="28" t="str">
        <f t="shared" si="41"/>
        <v/>
      </c>
      <c r="X285" s="28" t="str">
        <f t="shared" si="42"/>
        <v/>
      </c>
      <c r="Y285" s="28" t="str">
        <f t="shared" si="43"/>
        <v/>
      </c>
      <c r="Z285" s="22" t="str">
        <f t="shared" si="44"/>
        <v/>
      </c>
      <c r="AA285" s="28" t="str">
        <f t="shared" si="45"/>
        <v/>
      </c>
      <c r="AB285" s="28" t="str">
        <f t="shared" si="46"/>
        <v/>
      </c>
      <c r="AC285" s="28" t="str">
        <f>IF($A285="","",SUMIFS('CHẶNG TĂNG CA'!$E$5:$E$304,'CHẶNG TĂNG CA'!$A$5:$A$304,$A285,'CHẶNG TĂNG CA'!$B$5:$B$304,$B285))</f>
        <v/>
      </c>
      <c r="AD285" s="28" t="str">
        <f>IF($A285="","",SUMIFS('CHẶNG TĂNG CA'!$F$5:$F$304,'CHẶNG TĂNG CA'!$A$5:$A$304,$A285,'CHẶNG TĂNG CA'!$B$5:$B$304,$B285))</f>
        <v/>
      </c>
      <c r="AE285" s="28" t="str">
        <f>IF($A285="","",SUMIFS('CHẶNG TĂNG CA'!$G$5:$G$304,'CHẶNG TĂNG CA'!$A$5:$A$304,$A285,'CHẶNG TĂNG CA'!$B$5:$B$304,$B285))</f>
        <v/>
      </c>
      <c r="AF285" s="28" t="str">
        <f>IF($A285="","",SUMIFS('CHẶNG TĂNG CA'!$H$5:$H$304,'CHẶNG TĂNG CA'!$A$5:$A$304,$A285,'CHẶNG TĂNG CA'!$B$5:$B$304,$B285))</f>
        <v/>
      </c>
      <c r="AG285" s="28" t="str">
        <f t="shared" si="47"/>
        <v/>
      </c>
      <c r="AH285" s="16" t="str">
        <f>IF($A285="","",IF(COUNTIFS('LỆNH ĐIỀU XE'!$B$5:$B$604,$A285,'LỆNH ĐIỀU XE'!$C$5:$C$604,$B285,'LỆNH ĐIỀU XE'!$N$5:$N$604,"Có")&gt;0,"Có","Không"))</f>
        <v/>
      </c>
      <c r="AI285" s="16" t="str">
        <f>IF(OR($A285="",H285="",N(T285)=0),"",IF(_xlfn.MAXIFS('LỆNH ĐIỀU XE'!$U$5:$U$604,'LỆNH ĐIỀU XE'!$B$5:$B$604,$A285,'LỆNH ĐIỀU XE'!$C$5:$C$604,$B285)=0,"",ROUND((H285+(H285&lt;4/24)-_xlfn.MAXIFS('LỆNH ĐIỀU XE'!$U$5:$U$604,'LỆNH ĐIỀU XE'!$B$5:$B$604,$A285,'LỆNH ĐIỀU XE'!$C$5:$C$604,$B285))*1440,0)))</f>
        <v/>
      </c>
      <c r="AJ285" s="16" t="str">
        <f>IF($A285="","",IF(OR(AI285="",V285=""),"Thiếu dữ liệu",IF(AND(AI285&lt;='THAM SỐ'!$B$29,ABS(V285)&lt;='THAM SỐ'!$B$28),"Đạt","Không đạt")))</f>
        <v/>
      </c>
      <c r="AK285" s="16" t="str">
        <f t="shared" si="48"/>
        <v/>
      </c>
      <c r="AL285" s="16" t="str">
        <f>IF($A285="","",TRIM(IF(T285=0,"Không có lệnh; ","")&amp;IF(N(N285)&gt;0,"Dừng ngoài lệnh; ","")&amp;IF(N(J285)&gt;0,"Quá tốc độ; ","")&amp;IF(N(K285)&gt;0,"Lái quá 4h; ","")&amp;IF(N(L285)&gt;0,"Không tắt máy; ","")&amp;IF(OR(P285&lt;&gt;"Đủ",Q285&lt;&gt;"Đủ",R285&lt;&gt;"Đủ"),"Thiếu ảnh; ","")&amp;IF(S285&lt;&gt;"Đạt","Lốp chưa đạt; ","")&amp;IF(N(W285)&gt;'THAM SỐ'!$B$27,"Có mặt quá giờ; ","")&amp;IF(N(X285)&gt;'THAM SỐ'!$B$25,"Lái quá giờ ngày; ","")&amp;IF(ISNUMBER(V285),IF(ABS(V285)&gt;'THAM SỐ'!$B$28,"Lệch km; ",""),"")))</f>
        <v/>
      </c>
      <c r="AM285" s="29"/>
      <c r="AN285" s="30"/>
      <c r="AO285" s="28" t="str">
        <f t="shared" si="49"/>
        <v/>
      </c>
      <c r="AP285" s="21" t="str">
        <f>IF(OR($A285="",AO285=""),"",IF(AG285=0,0,ROUND((AC285*'THAM SỐ'!$B$18+AD285*'THAM SỐ'!$B$19+AE285*'THAM SỐ'!$B$20+AF285*'THAM SỐ'!$B$21)*MIN(1,AO285/AG285),0)))</f>
        <v/>
      </c>
      <c r="AQ285" s="18"/>
    </row>
    <row r="286" spans="1:43" x14ac:dyDescent="0.45">
      <c r="A286" s="17"/>
      <c r="B286" s="18"/>
      <c r="C286" s="18"/>
      <c r="D286" s="25"/>
      <c r="E286" s="26"/>
      <c r="F286" s="26"/>
      <c r="G286" s="20"/>
      <c r="H286" s="20"/>
      <c r="I286" s="18"/>
      <c r="J286" s="18"/>
      <c r="K286" s="18"/>
      <c r="L286" s="18"/>
      <c r="M286" s="18"/>
      <c r="N286" s="18"/>
      <c r="O286" s="18"/>
      <c r="P286" s="18"/>
      <c r="Q286" s="18"/>
      <c r="R286" s="18"/>
      <c r="S286" s="18"/>
      <c r="T286" s="16" t="str">
        <f>IF($A286="","",COUNTIFS('LỆNH ĐIỀU XE'!$B$5:$B$604,$A286,'LỆNH ĐIỀU XE'!$C$5:$C$604,$B286))</f>
        <v/>
      </c>
      <c r="U286" s="27" t="str">
        <f>IF($A286="","",SUMIFS('LỆNH ĐIỀU XE'!$J$5:$J$604,'LỆNH ĐIỀU XE'!$B$5:$B$604,$A286,'LỆNH ĐIỀU XE'!$C$5:$C$604,$B286))</f>
        <v/>
      </c>
      <c r="V286" s="22" t="str">
        <f t="shared" si="40"/>
        <v/>
      </c>
      <c r="W286" s="28" t="str">
        <f t="shared" si="41"/>
        <v/>
      </c>
      <c r="X286" s="28" t="str">
        <f t="shared" si="42"/>
        <v/>
      </c>
      <c r="Y286" s="28" t="str">
        <f t="shared" si="43"/>
        <v/>
      </c>
      <c r="Z286" s="22" t="str">
        <f t="shared" si="44"/>
        <v/>
      </c>
      <c r="AA286" s="28" t="str">
        <f t="shared" si="45"/>
        <v/>
      </c>
      <c r="AB286" s="28" t="str">
        <f t="shared" si="46"/>
        <v/>
      </c>
      <c r="AC286" s="28" t="str">
        <f>IF($A286="","",SUMIFS('CHẶNG TĂNG CA'!$E$5:$E$304,'CHẶNG TĂNG CA'!$A$5:$A$304,$A286,'CHẶNG TĂNG CA'!$B$5:$B$304,$B286))</f>
        <v/>
      </c>
      <c r="AD286" s="28" t="str">
        <f>IF($A286="","",SUMIFS('CHẶNG TĂNG CA'!$F$5:$F$304,'CHẶNG TĂNG CA'!$A$5:$A$304,$A286,'CHẶNG TĂNG CA'!$B$5:$B$304,$B286))</f>
        <v/>
      </c>
      <c r="AE286" s="28" t="str">
        <f>IF($A286="","",SUMIFS('CHẶNG TĂNG CA'!$G$5:$G$304,'CHẶNG TĂNG CA'!$A$5:$A$304,$A286,'CHẶNG TĂNG CA'!$B$5:$B$304,$B286))</f>
        <v/>
      </c>
      <c r="AF286" s="28" t="str">
        <f>IF($A286="","",SUMIFS('CHẶNG TĂNG CA'!$H$5:$H$304,'CHẶNG TĂNG CA'!$A$5:$A$304,$A286,'CHẶNG TĂNG CA'!$B$5:$B$304,$B286))</f>
        <v/>
      </c>
      <c r="AG286" s="28" t="str">
        <f t="shared" si="47"/>
        <v/>
      </c>
      <c r="AH286" s="16" t="str">
        <f>IF($A286="","",IF(COUNTIFS('LỆNH ĐIỀU XE'!$B$5:$B$604,$A286,'LỆNH ĐIỀU XE'!$C$5:$C$604,$B286,'LỆNH ĐIỀU XE'!$N$5:$N$604,"Có")&gt;0,"Có","Không"))</f>
        <v/>
      </c>
      <c r="AI286" s="16" t="str">
        <f>IF(OR($A286="",H286="",N(T286)=0),"",IF(_xlfn.MAXIFS('LỆNH ĐIỀU XE'!$U$5:$U$604,'LỆNH ĐIỀU XE'!$B$5:$B$604,$A286,'LỆNH ĐIỀU XE'!$C$5:$C$604,$B286)=0,"",ROUND((H286+(H286&lt;4/24)-_xlfn.MAXIFS('LỆNH ĐIỀU XE'!$U$5:$U$604,'LỆNH ĐIỀU XE'!$B$5:$B$604,$A286,'LỆNH ĐIỀU XE'!$C$5:$C$604,$B286))*1440,0)))</f>
        <v/>
      </c>
      <c r="AJ286" s="16" t="str">
        <f>IF($A286="","",IF(OR(AI286="",V286=""),"Thiếu dữ liệu",IF(AND(AI286&lt;='THAM SỐ'!$B$29,ABS(V286)&lt;='THAM SỐ'!$B$28),"Đạt","Không đạt")))</f>
        <v/>
      </c>
      <c r="AK286" s="16" t="str">
        <f t="shared" si="48"/>
        <v/>
      </c>
      <c r="AL286" s="16" t="str">
        <f>IF($A286="","",TRIM(IF(T286=0,"Không có lệnh; ","")&amp;IF(N(N286)&gt;0,"Dừng ngoài lệnh; ","")&amp;IF(N(J286)&gt;0,"Quá tốc độ; ","")&amp;IF(N(K286)&gt;0,"Lái quá 4h; ","")&amp;IF(N(L286)&gt;0,"Không tắt máy; ","")&amp;IF(OR(P286&lt;&gt;"Đủ",Q286&lt;&gt;"Đủ",R286&lt;&gt;"Đủ"),"Thiếu ảnh; ","")&amp;IF(S286&lt;&gt;"Đạt","Lốp chưa đạt; ","")&amp;IF(N(W286)&gt;'THAM SỐ'!$B$27,"Có mặt quá giờ; ","")&amp;IF(N(X286)&gt;'THAM SỐ'!$B$25,"Lái quá giờ ngày; ","")&amp;IF(ISNUMBER(V286),IF(ABS(V286)&gt;'THAM SỐ'!$B$28,"Lệch km; ",""),"")))</f>
        <v/>
      </c>
      <c r="AM286" s="29"/>
      <c r="AN286" s="30"/>
      <c r="AO286" s="28" t="str">
        <f t="shared" si="49"/>
        <v/>
      </c>
      <c r="AP286" s="21" t="str">
        <f>IF(OR($A286="",AO286=""),"",IF(AG286=0,0,ROUND((AC286*'THAM SỐ'!$B$18+AD286*'THAM SỐ'!$B$19+AE286*'THAM SỐ'!$B$20+AF286*'THAM SỐ'!$B$21)*MIN(1,AO286/AG286),0)))</f>
        <v/>
      </c>
      <c r="AQ286" s="18"/>
    </row>
    <row r="287" spans="1:43" x14ac:dyDescent="0.45">
      <c r="A287" s="17"/>
      <c r="B287" s="18"/>
      <c r="C287" s="18"/>
      <c r="D287" s="25"/>
      <c r="E287" s="26"/>
      <c r="F287" s="26"/>
      <c r="G287" s="20"/>
      <c r="H287" s="20"/>
      <c r="I287" s="18"/>
      <c r="J287" s="18"/>
      <c r="K287" s="18"/>
      <c r="L287" s="18"/>
      <c r="M287" s="18"/>
      <c r="N287" s="18"/>
      <c r="O287" s="18"/>
      <c r="P287" s="18"/>
      <c r="Q287" s="18"/>
      <c r="R287" s="18"/>
      <c r="S287" s="18"/>
      <c r="T287" s="16" t="str">
        <f>IF($A287="","",COUNTIFS('LỆNH ĐIỀU XE'!$B$5:$B$604,$A287,'LỆNH ĐIỀU XE'!$C$5:$C$604,$B287))</f>
        <v/>
      </c>
      <c r="U287" s="27" t="str">
        <f>IF($A287="","",SUMIFS('LỆNH ĐIỀU XE'!$J$5:$J$604,'LỆNH ĐIỀU XE'!$B$5:$B$604,$A287,'LỆNH ĐIỀU XE'!$C$5:$C$604,$B287))</f>
        <v/>
      </c>
      <c r="V287" s="22" t="str">
        <f t="shared" si="40"/>
        <v/>
      </c>
      <c r="W287" s="28" t="str">
        <f t="shared" si="41"/>
        <v/>
      </c>
      <c r="X287" s="28" t="str">
        <f t="shared" si="42"/>
        <v/>
      </c>
      <c r="Y287" s="28" t="str">
        <f t="shared" si="43"/>
        <v/>
      </c>
      <c r="Z287" s="22" t="str">
        <f t="shared" si="44"/>
        <v/>
      </c>
      <c r="AA287" s="28" t="str">
        <f t="shared" si="45"/>
        <v/>
      </c>
      <c r="AB287" s="28" t="str">
        <f t="shared" si="46"/>
        <v/>
      </c>
      <c r="AC287" s="28" t="str">
        <f>IF($A287="","",SUMIFS('CHẶNG TĂNG CA'!$E$5:$E$304,'CHẶNG TĂNG CA'!$A$5:$A$304,$A287,'CHẶNG TĂNG CA'!$B$5:$B$304,$B287))</f>
        <v/>
      </c>
      <c r="AD287" s="28" t="str">
        <f>IF($A287="","",SUMIFS('CHẶNG TĂNG CA'!$F$5:$F$304,'CHẶNG TĂNG CA'!$A$5:$A$304,$A287,'CHẶNG TĂNG CA'!$B$5:$B$304,$B287))</f>
        <v/>
      </c>
      <c r="AE287" s="28" t="str">
        <f>IF($A287="","",SUMIFS('CHẶNG TĂNG CA'!$G$5:$G$304,'CHẶNG TĂNG CA'!$A$5:$A$304,$A287,'CHẶNG TĂNG CA'!$B$5:$B$304,$B287))</f>
        <v/>
      </c>
      <c r="AF287" s="28" t="str">
        <f>IF($A287="","",SUMIFS('CHẶNG TĂNG CA'!$H$5:$H$304,'CHẶNG TĂNG CA'!$A$5:$A$304,$A287,'CHẶNG TĂNG CA'!$B$5:$B$304,$B287))</f>
        <v/>
      </c>
      <c r="AG287" s="28" t="str">
        <f t="shared" si="47"/>
        <v/>
      </c>
      <c r="AH287" s="16" t="str">
        <f>IF($A287="","",IF(COUNTIFS('LỆNH ĐIỀU XE'!$B$5:$B$604,$A287,'LỆNH ĐIỀU XE'!$C$5:$C$604,$B287,'LỆNH ĐIỀU XE'!$N$5:$N$604,"Có")&gt;0,"Có","Không"))</f>
        <v/>
      </c>
      <c r="AI287" s="16" t="str">
        <f>IF(OR($A287="",H287="",N(T287)=0),"",IF(_xlfn.MAXIFS('LỆNH ĐIỀU XE'!$U$5:$U$604,'LỆNH ĐIỀU XE'!$B$5:$B$604,$A287,'LỆNH ĐIỀU XE'!$C$5:$C$604,$B287)=0,"",ROUND((H287+(H287&lt;4/24)-_xlfn.MAXIFS('LỆNH ĐIỀU XE'!$U$5:$U$604,'LỆNH ĐIỀU XE'!$B$5:$B$604,$A287,'LỆNH ĐIỀU XE'!$C$5:$C$604,$B287))*1440,0)))</f>
        <v/>
      </c>
      <c r="AJ287" s="16" t="str">
        <f>IF($A287="","",IF(OR(AI287="",V287=""),"Thiếu dữ liệu",IF(AND(AI287&lt;='THAM SỐ'!$B$29,ABS(V287)&lt;='THAM SỐ'!$B$28),"Đạt","Không đạt")))</f>
        <v/>
      </c>
      <c r="AK287" s="16" t="str">
        <f t="shared" si="48"/>
        <v/>
      </c>
      <c r="AL287" s="16" t="str">
        <f>IF($A287="","",TRIM(IF(T287=0,"Không có lệnh; ","")&amp;IF(N(N287)&gt;0,"Dừng ngoài lệnh; ","")&amp;IF(N(J287)&gt;0,"Quá tốc độ; ","")&amp;IF(N(K287)&gt;0,"Lái quá 4h; ","")&amp;IF(N(L287)&gt;0,"Không tắt máy; ","")&amp;IF(OR(P287&lt;&gt;"Đủ",Q287&lt;&gt;"Đủ",R287&lt;&gt;"Đủ"),"Thiếu ảnh; ","")&amp;IF(S287&lt;&gt;"Đạt","Lốp chưa đạt; ","")&amp;IF(N(W287)&gt;'THAM SỐ'!$B$27,"Có mặt quá giờ; ","")&amp;IF(N(X287)&gt;'THAM SỐ'!$B$25,"Lái quá giờ ngày; ","")&amp;IF(ISNUMBER(V287),IF(ABS(V287)&gt;'THAM SỐ'!$B$28,"Lệch km; ",""),"")))</f>
        <v/>
      </c>
      <c r="AM287" s="29"/>
      <c r="AN287" s="30"/>
      <c r="AO287" s="28" t="str">
        <f t="shared" si="49"/>
        <v/>
      </c>
      <c r="AP287" s="21" t="str">
        <f>IF(OR($A287="",AO287=""),"",IF(AG287=0,0,ROUND((AC287*'THAM SỐ'!$B$18+AD287*'THAM SỐ'!$B$19+AE287*'THAM SỐ'!$B$20+AF287*'THAM SỐ'!$B$21)*MIN(1,AO287/AG287),0)))</f>
        <v/>
      </c>
      <c r="AQ287" s="18"/>
    </row>
    <row r="288" spans="1:43" x14ac:dyDescent="0.45">
      <c r="A288" s="17"/>
      <c r="B288" s="18"/>
      <c r="C288" s="18"/>
      <c r="D288" s="25"/>
      <c r="E288" s="26"/>
      <c r="F288" s="26"/>
      <c r="G288" s="20"/>
      <c r="H288" s="20"/>
      <c r="I288" s="18"/>
      <c r="J288" s="18"/>
      <c r="K288" s="18"/>
      <c r="L288" s="18"/>
      <c r="M288" s="18"/>
      <c r="N288" s="18"/>
      <c r="O288" s="18"/>
      <c r="P288" s="18"/>
      <c r="Q288" s="18"/>
      <c r="R288" s="18"/>
      <c r="S288" s="18"/>
      <c r="T288" s="16" t="str">
        <f>IF($A288="","",COUNTIFS('LỆNH ĐIỀU XE'!$B$5:$B$604,$A288,'LỆNH ĐIỀU XE'!$C$5:$C$604,$B288))</f>
        <v/>
      </c>
      <c r="U288" s="27" t="str">
        <f>IF($A288="","",SUMIFS('LỆNH ĐIỀU XE'!$J$5:$J$604,'LỆNH ĐIỀU XE'!$B$5:$B$604,$A288,'LỆNH ĐIỀU XE'!$C$5:$C$604,$B288))</f>
        <v/>
      </c>
      <c r="V288" s="22" t="str">
        <f t="shared" si="40"/>
        <v/>
      </c>
      <c r="W288" s="28" t="str">
        <f t="shared" si="41"/>
        <v/>
      </c>
      <c r="X288" s="28" t="str">
        <f t="shared" si="42"/>
        <v/>
      </c>
      <c r="Y288" s="28" t="str">
        <f t="shared" si="43"/>
        <v/>
      </c>
      <c r="Z288" s="22" t="str">
        <f t="shared" si="44"/>
        <v/>
      </c>
      <c r="AA288" s="28" t="str">
        <f t="shared" si="45"/>
        <v/>
      </c>
      <c r="AB288" s="28" t="str">
        <f t="shared" si="46"/>
        <v/>
      </c>
      <c r="AC288" s="28" t="str">
        <f>IF($A288="","",SUMIFS('CHẶNG TĂNG CA'!$E$5:$E$304,'CHẶNG TĂNG CA'!$A$5:$A$304,$A288,'CHẶNG TĂNG CA'!$B$5:$B$304,$B288))</f>
        <v/>
      </c>
      <c r="AD288" s="28" t="str">
        <f>IF($A288="","",SUMIFS('CHẶNG TĂNG CA'!$F$5:$F$304,'CHẶNG TĂNG CA'!$A$5:$A$304,$A288,'CHẶNG TĂNG CA'!$B$5:$B$304,$B288))</f>
        <v/>
      </c>
      <c r="AE288" s="28" t="str">
        <f>IF($A288="","",SUMIFS('CHẶNG TĂNG CA'!$G$5:$G$304,'CHẶNG TĂNG CA'!$A$5:$A$304,$A288,'CHẶNG TĂNG CA'!$B$5:$B$304,$B288))</f>
        <v/>
      </c>
      <c r="AF288" s="28" t="str">
        <f>IF($A288="","",SUMIFS('CHẶNG TĂNG CA'!$H$5:$H$304,'CHẶNG TĂNG CA'!$A$5:$A$304,$A288,'CHẶNG TĂNG CA'!$B$5:$B$304,$B288))</f>
        <v/>
      </c>
      <c r="AG288" s="28" t="str">
        <f t="shared" si="47"/>
        <v/>
      </c>
      <c r="AH288" s="16" t="str">
        <f>IF($A288="","",IF(COUNTIFS('LỆNH ĐIỀU XE'!$B$5:$B$604,$A288,'LỆNH ĐIỀU XE'!$C$5:$C$604,$B288,'LỆNH ĐIỀU XE'!$N$5:$N$604,"Có")&gt;0,"Có","Không"))</f>
        <v/>
      </c>
      <c r="AI288" s="16" t="str">
        <f>IF(OR($A288="",H288="",N(T288)=0),"",IF(_xlfn.MAXIFS('LỆNH ĐIỀU XE'!$U$5:$U$604,'LỆNH ĐIỀU XE'!$B$5:$B$604,$A288,'LỆNH ĐIỀU XE'!$C$5:$C$604,$B288)=0,"",ROUND((H288+(H288&lt;4/24)-_xlfn.MAXIFS('LỆNH ĐIỀU XE'!$U$5:$U$604,'LỆNH ĐIỀU XE'!$B$5:$B$604,$A288,'LỆNH ĐIỀU XE'!$C$5:$C$604,$B288))*1440,0)))</f>
        <v/>
      </c>
      <c r="AJ288" s="16" t="str">
        <f>IF($A288="","",IF(OR(AI288="",V288=""),"Thiếu dữ liệu",IF(AND(AI288&lt;='THAM SỐ'!$B$29,ABS(V288)&lt;='THAM SỐ'!$B$28),"Đạt","Không đạt")))</f>
        <v/>
      </c>
      <c r="AK288" s="16" t="str">
        <f t="shared" si="48"/>
        <v/>
      </c>
      <c r="AL288" s="16" t="str">
        <f>IF($A288="","",TRIM(IF(T288=0,"Không có lệnh; ","")&amp;IF(N(N288)&gt;0,"Dừng ngoài lệnh; ","")&amp;IF(N(J288)&gt;0,"Quá tốc độ; ","")&amp;IF(N(K288)&gt;0,"Lái quá 4h; ","")&amp;IF(N(L288)&gt;0,"Không tắt máy; ","")&amp;IF(OR(P288&lt;&gt;"Đủ",Q288&lt;&gt;"Đủ",R288&lt;&gt;"Đủ"),"Thiếu ảnh; ","")&amp;IF(S288&lt;&gt;"Đạt","Lốp chưa đạt; ","")&amp;IF(N(W288)&gt;'THAM SỐ'!$B$27,"Có mặt quá giờ; ","")&amp;IF(N(X288)&gt;'THAM SỐ'!$B$25,"Lái quá giờ ngày; ","")&amp;IF(ISNUMBER(V288),IF(ABS(V288)&gt;'THAM SỐ'!$B$28,"Lệch km; ",""),"")))</f>
        <v/>
      </c>
      <c r="AM288" s="29"/>
      <c r="AN288" s="30"/>
      <c r="AO288" s="28" t="str">
        <f t="shared" si="49"/>
        <v/>
      </c>
      <c r="AP288" s="21" t="str">
        <f>IF(OR($A288="",AO288=""),"",IF(AG288=0,0,ROUND((AC288*'THAM SỐ'!$B$18+AD288*'THAM SỐ'!$B$19+AE288*'THAM SỐ'!$B$20+AF288*'THAM SỐ'!$B$21)*MIN(1,AO288/AG288),0)))</f>
        <v/>
      </c>
      <c r="AQ288" s="18"/>
    </row>
    <row r="289" spans="1:43" x14ac:dyDescent="0.45">
      <c r="A289" s="17"/>
      <c r="B289" s="18"/>
      <c r="C289" s="18"/>
      <c r="D289" s="25"/>
      <c r="E289" s="26"/>
      <c r="F289" s="26"/>
      <c r="G289" s="20"/>
      <c r="H289" s="20"/>
      <c r="I289" s="18"/>
      <c r="J289" s="18"/>
      <c r="K289" s="18"/>
      <c r="L289" s="18"/>
      <c r="M289" s="18"/>
      <c r="N289" s="18"/>
      <c r="O289" s="18"/>
      <c r="P289" s="18"/>
      <c r="Q289" s="18"/>
      <c r="R289" s="18"/>
      <c r="S289" s="18"/>
      <c r="T289" s="16" t="str">
        <f>IF($A289="","",COUNTIFS('LỆNH ĐIỀU XE'!$B$5:$B$604,$A289,'LỆNH ĐIỀU XE'!$C$5:$C$604,$B289))</f>
        <v/>
      </c>
      <c r="U289" s="27" t="str">
        <f>IF($A289="","",SUMIFS('LỆNH ĐIỀU XE'!$J$5:$J$604,'LỆNH ĐIỀU XE'!$B$5:$B$604,$A289,'LỆNH ĐIỀU XE'!$C$5:$C$604,$B289))</f>
        <v/>
      </c>
      <c r="V289" s="22" t="str">
        <f t="shared" si="40"/>
        <v/>
      </c>
      <c r="W289" s="28" t="str">
        <f t="shared" si="41"/>
        <v/>
      </c>
      <c r="X289" s="28" t="str">
        <f t="shared" si="42"/>
        <v/>
      </c>
      <c r="Y289" s="28" t="str">
        <f t="shared" si="43"/>
        <v/>
      </c>
      <c r="Z289" s="22" t="str">
        <f t="shared" si="44"/>
        <v/>
      </c>
      <c r="AA289" s="28" t="str">
        <f t="shared" si="45"/>
        <v/>
      </c>
      <c r="AB289" s="28" t="str">
        <f t="shared" si="46"/>
        <v/>
      </c>
      <c r="AC289" s="28" t="str">
        <f>IF($A289="","",SUMIFS('CHẶNG TĂNG CA'!$E$5:$E$304,'CHẶNG TĂNG CA'!$A$5:$A$304,$A289,'CHẶNG TĂNG CA'!$B$5:$B$304,$B289))</f>
        <v/>
      </c>
      <c r="AD289" s="28" t="str">
        <f>IF($A289="","",SUMIFS('CHẶNG TĂNG CA'!$F$5:$F$304,'CHẶNG TĂNG CA'!$A$5:$A$304,$A289,'CHẶNG TĂNG CA'!$B$5:$B$304,$B289))</f>
        <v/>
      </c>
      <c r="AE289" s="28" t="str">
        <f>IF($A289="","",SUMIFS('CHẶNG TĂNG CA'!$G$5:$G$304,'CHẶNG TĂNG CA'!$A$5:$A$304,$A289,'CHẶNG TĂNG CA'!$B$5:$B$304,$B289))</f>
        <v/>
      </c>
      <c r="AF289" s="28" t="str">
        <f>IF($A289="","",SUMIFS('CHẶNG TĂNG CA'!$H$5:$H$304,'CHẶNG TĂNG CA'!$A$5:$A$304,$A289,'CHẶNG TĂNG CA'!$B$5:$B$304,$B289))</f>
        <v/>
      </c>
      <c r="AG289" s="28" t="str">
        <f t="shared" si="47"/>
        <v/>
      </c>
      <c r="AH289" s="16" t="str">
        <f>IF($A289="","",IF(COUNTIFS('LỆNH ĐIỀU XE'!$B$5:$B$604,$A289,'LỆNH ĐIỀU XE'!$C$5:$C$604,$B289,'LỆNH ĐIỀU XE'!$N$5:$N$604,"Có")&gt;0,"Có","Không"))</f>
        <v/>
      </c>
      <c r="AI289" s="16" t="str">
        <f>IF(OR($A289="",H289="",N(T289)=0),"",IF(_xlfn.MAXIFS('LỆNH ĐIỀU XE'!$U$5:$U$604,'LỆNH ĐIỀU XE'!$B$5:$B$604,$A289,'LỆNH ĐIỀU XE'!$C$5:$C$604,$B289)=0,"",ROUND((H289+(H289&lt;4/24)-_xlfn.MAXIFS('LỆNH ĐIỀU XE'!$U$5:$U$604,'LỆNH ĐIỀU XE'!$B$5:$B$604,$A289,'LỆNH ĐIỀU XE'!$C$5:$C$604,$B289))*1440,0)))</f>
        <v/>
      </c>
      <c r="AJ289" s="16" t="str">
        <f>IF($A289="","",IF(OR(AI289="",V289=""),"Thiếu dữ liệu",IF(AND(AI289&lt;='THAM SỐ'!$B$29,ABS(V289)&lt;='THAM SỐ'!$B$28),"Đạt","Không đạt")))</f>
        <v/>
      </c>
      <c r="AK289" s="16" t="str">
        <f t="shared" si="48"/>
        <v/>
      </c>
      <c r="AL289" s="16" t="str">
        <f>IF($A289="","",TRIM(IF(T289=0,"Không có lệnh; ","")&amp;IF(N(N289)&gt;0,"Dừng ngoài lệnh; ","")&amp;IF(N(J289)&gt;0,"Quá tốc độ; ","")&amp;IF(N(K289)&gt;0,"Lái quá 4h; ","")&amp;IF(N(L289)&gt;0,"Không tắt máy; ","")&amp;IF(OR(P289&lt;&gt;"Đủ",Q289&lt;&gt;"Đủ",R289&lt;&gt;"Đủ"),"Thiếu ảnh; ","")&amp;IF(S289&lt;&gt;"Đạt","Lốp chưa đạt; ","")&amp;IF(N(W289)&gt;'THAM SỐ'!$B$27,"Có mặt quá giờ; ","")&amp;IF(N(X289)&gt;'THAM SỐ'!$B$25,"Lái quá giờ ngày; ","")&amp;IF(ISNUMBER(V289),IF(ABS(V289)&gt;'THAM SỐ'!$B$28,"Lệch km; ",""),"")))</f>
        <v/>
      </c>
      <c r="AM289" s="29"/>
      <c r="AN289" s="30"/>
      <c r="AO289" s="28" t="str">
        <f t="shared" si="49"/>
        <v/>
      </c>
      <c r="AP289" s="21" t="str">
        <f>IF(OR($A289="",AO289=""),"",IF(AG289=0,0,ROUND((AC289*'THAM SỐ'!$B$18+AD289*'THAM SỐ'!$B$19+AE289*'THAM SỐ'!$B$20+AF289*'THAM SỐ'!$B$21)*MIN(1,AO289/AG289),0)))</f>
        <v/>
      </c>
      <c r="AQ289" s="18"/>
    </row>
    <row r="290" spans="1:43" x14ac:dyDescent="0.45">
      <c r="A290" s="17"/>
      <c r="B290" s="18"/>
      <c r="C290" s="18"/>
      <c r="D290" s="25"/>
      <c r="E290" s="26"/>
      <c r="F290" s="26"/>
      <c r="G290" s="20"/>
      <c r="H290" s="20"/>
      <c r="I290" s="18"/>
      <c r="J290" s="18"/>
      <c r="K290" s="18"/>
      <c r="L290" s="18"/>
      <c r="M290" s="18"/>
      <c r="N290" s="18"/>
      <c r="O290" s="18"/>
      <c r="P290" s="18"/>
      <c r="Q290" s="18"/>
      <c r="R290" s="18"/>
      <c r="S290" s="18"/>
      <c r="T290" s="16" t="str">
        <f>IF($A290="","",COUNTIFS('LỆNH ĐIỀU XE'!$B$5:$B$604,$A290,'LỆNH ĐIỀU XE'!$C$5:$C$604,$B290))</f>
        <v/>
      </c>
      <c r="U290" s="27" t="str">
        <f>IF($A290="","",SUMIFS('LỆNH ĐIỀU XE'!$J$5:$J$604,'LỆNH ĐIỀU XE'!$B$5:$B$604,$A290,'LỆNH ĐIỀU XE'!$C$5:$C$604,$B290))</f>
        <v/>
      </c>
      <c r="V290" s="22" t="str">
        <f t="shared" si="40"/>
        <v/>
      </c>
      <c r="W290" s="28" t="str">
        <f t="shared" si="41"/>
        <v/>
      </c>
      <c r="X290" s="28" t="str">
        <f t="shared" si="42"/>
        <v/>
      </c>
      <c r="Y290" s="28" t="str">
        <f t="shared" si="43"/>
        <v/>
      </c>
      <c r="Z290" s="22" t="str">
        <f t="shared" si="44"/>
        <v/>
      </c>
      <c r="AA290" s="28" t="str">
        <f t="shared" si="45"/>
        <v/>
      </c>
      <c r="AB290" s="28" t="str">
        <f t="shared" si="46"/>
        <v/>
      </c>
      <c r="AC290" s="28" t="str">
        <f>IF($A290="","",SUMIFS('CHẶNG TĂNG CA'!$E$5:$E$304,'CHẶNG TĂNG CA'!$A$5:$A$304,$A290,'CHẶNG TĂNG CA'!$B$5:$B$304,$B290))</f>
        <v/>
      </c>
      <c r="AD290" s="28" t="str">
        <f>IF($A290="","",SUMIFS('CHẶNG TĂNG CA'!$F$5:$F$304,'CHẶNG TĂNG CA'!$A$5:$A$304,$A290,'CHẶNG TĂNG CA'!$B$5:$B$304,$B290))</f>
        <v/>
      </c>
      <c r="AE290" s="28" t="str">
        <f>IF($A290="","",SUMIFS('CHẶNG TĂNG CA'!$G$5:$G$304,'CHẶNG TĂNG CA'!$A$5:$A$304,$A290,'CHẶNG TĂNG CA'!$B$5:$B$304,$B290))</f>
        <v/>
      </c>
      <c r="AF290" s="28" t="str">
        <f>IF($A290="","",SUMIFS('CHẶNG TĂNG CA'!$H$5:$H$304,'CHẶNG TĂNG CA'!$A$5:$A$304,$A290,'CHẶNG TĂNG CA'!$B$5:$B$304,$B290))</f>
        <v/>
      </c>
      <c r="AG290" s="28" t="str">
        <f t="shared" si="47"/>
        <v/>
      </c>
      <c r="AH290" s="16" t="str">
        <f>IF($A290="","",IF(COUNTIFS('LỆNH ĐIỀU XE'!$B$5:$B$604,$A290,'LỆNH ĐIỀU XE'!$C$5:$C$604,$B290,'LỆNH ĐIỀU XE'!$N$5:$N$604,"Có")&gt;0,"Có","Không"))</f>
        <v/>
      </c>
      <c r="AI290" s="16" t="str">
        <f>IF(OR($A290="",H290="",N(T290)=0),"",IF(_xlfn.MAXIFS('LỆNH ĐIỀU XE'!$U$5:$U$604,'LỆNH ĐIỀU XE'!$B$5:$B$604,$A290,'LỆNH ĐIỀU XE'!$C$5:$C$604,$B290)=0,"",ROUND((H290+(H290&lt;4/24)-_xlfn.MAXIFS('LỆNH ĐIỀU XE'!$U$5:$U$604,'LỆNH ĐIỀU XE'!$B$5:$B$604,$A290,'LỆNH ĐIỀU XE'!$C$5:$C$604,$B290))*1440,0)))</f>
        <v/>
      </c>
      <c r="AJ290" s="16" t="str">
        <f>IF($A290="","",IF(OR(AI290="",V290=""),"Thiếu dữ liệu",IF(AND(AI290&lt;='THAM SỐ'!$B$29,ABS(V290)&lt;='THAM SỐ'!$B$28),"Đạt","Không đạt")))</f>
        <v/>
      </c>
      <c r="AK290" s="16" t="str">
        <f t="shared" si="48"/>
        <v/>
      </c>
      <c r="AL290" s="16" t="str">
        <f>IF($A290="","",TRIM(IF(T290=0,"Không có lệnh; ","")&amp;IF(N(N290)&gt;0,"Dừng ngoài lệnh; ","")&amp;IF(N(J290)&gt;0,"Quá tốc độ; ","")&amp;IF(N(K290)&gt;0,"Lái quá 4h; ","")&amp;IF(N(L290)&gt;0,"Không tắt máy; ","")&amp;IF(OR(P290&lt;&gt;"Đủ",Q290&lt;&gt;"Đủ",R290&lt;&gt;"Đủ"),"Thiếu ảnh; ","")&amp;IF(S290&lt;&gt;"Đạt","Lốp chưa đạt; ","")&amp;IF(N(W290)&gt;'THAM SỐ'!$B$27,"Có mặt quá giờ; ","")&amp;IF(N(X290)&gt;'THAM SỐ'!$B$25,"Lái quá giờ ngày; ","")&amp;IF(ISNUMBER(V290),IF(ABS(V290)&gt;'THAM SỐ'!$B$28,"Lệch km; ",""),"")))</f>
        <v/>
      </c>
      <c r="AM290" s="29"/>
      <c r="AN290" s="30"/>
      <c r="AO290" s="28" t="str">
        <f t="shared" si="49"/>
        <v/>
      </c>
      <c r="AP290" s="21" t="str">
        <f>IF(OR($A290="",AO290=""),"",IF(AG290=0,0,ROUND((AC290*'THAM SỐ'!$B$18+AD290*'THAM SỐ'!$B$19+AE290*'THAM SỐ'!$B$20+AF290*'THAM SỐ'!$B$21)*MIN(1,AO290/AG290),0)))</f>
        <v/>
      </c>
      <c r="AQ290" s="18"/>
    </row>
    <row r="291" spans="1:43" x14ac:dyDescent="0.45">
      <c r="A291" s="17"/>
      <c r="B291" s="18"/>
      <c r="C291" s="18"/>
      <c r="D291" s="25"/>
      <c r="E291" s="26"/>
      <c r="F291" s="26"/>
      <c r="G291" s="20"/>
      <c r="H291" s="20"/>
      <c r="I291" s="18"/>
      <c r="J291" s="18"/>
      <c r="K291" s="18"/>
      <c r="L291" s="18"/>
      <c r="M291" s="18"/>
      <c r="N291" s="18"/>
      <c r="O291" s="18"/>
      <c r="P291" s="18"/>
      <c r="Q291" s="18"/>
      <c r="R291" s="18"/>
      <c r="S291" s="18"/>
      <c r="T291" s="16" t="str">
        <f>IF($A291="","",COUNTIFS('LỆNH ĐIỀU XE'!$B$5:$B$604,$A291,'LỆNH ĐIỀU XE'!$C$5:$C$604,$B291))</f>
        <v/>
      </c>
      <c r="U291" s="27" t="str">
        <f>IF($A291="","",SUMIFS('LỆNH ĐIỀU XE'!$J$5:$J$604,'LỆNH ĐIỀU XE'!$B$5:$B$604,$A291,'LỆNH ĐIỀU XE'!$C$5:$C$604,$B291))</f>
        <v/>
      </c>
      <c r="V291" s="22" t="str">
        <f t="shared" si="40"/>
        <v/>
      </c>
      <c r="W291" s="28" t="str">
        <f t="shared" si="41"/>
        <v/>
      </c>
      <c r="X291" s="28" t="str">
        <f t="shared" si="42"/>
        <v/>
      </c>
      <c r="Y291" s="28" t="str">
        <f t="shared" si="43"/>
        <v/>
      </c>
      <c r="Z291" s="22" t="str">
        <f t="shared" si="44"/>
        <v/>
      </c>
      <c r="AA291" s="28" t="str">
        <f t="shared" si="45"/>
        <v/>
      </c>
      <c r="AB291" s="28" t="str">
        <f t="shared" si="46"/>
        <v/>
      </c>
      <c r="AC291" s="28" t="str">
        <f>IF($A291="","",SUMIFS('CHẶNG TĂNG CA'!$E$5:$E$304,'CHẶNG TĂNG CA'!$A$5:$A$304,$A291,'CHẶNG TĂNG CA'!$B$5:$B$304,$B291))</f>
        <v/>
      </c>
      <c r="AD291" s="28" t="str">
        <f>IF($A291="","",SUMIFS('CHẶNG TĂNG CA'!$F$5:$F$304,'CHẶNG TĂNG CA'!$A$5:$A$304,$A291,'CHẶNG TĂNG CA'!$B$5:$B$304,$B291))</f>
        <v/>
      </c>
      <c r="AE291" s="28" t="str">
        <f>IF($A291="","",SUMIFS('CHẶNG TĂNG CA'!$G$5:$G$304,'CHẶNG TĂNG CA'!$A$5:$A$304,$A291,'CHẶNG TĂNG CA'!$B$5:$B$304,$B291))</f>
        <v/>
      </c>
      <c r="AF291" s="28" t="str">
        <f>IF($A291="","",SUMIFS('CHẶNG TĂNG CA'!$H$5:$H$304,'CHẶNG TĂNG CA'!$A$5:$A$304,$A291,'CHẶNG TĂNG CA'!$B$5:$B$304,$B291))</f>
        <v/>
      </c>
      <c r="AG291" s="28" t="str">
        <f t="shared" si="47"/>
        <v/>
      </c>
      <c r="AH291" s="16" t="str">
        <f>IF($A291="","",IF(COUNTIFS('LỆNH ĐIỀU XE'!$B$5:$B$604,$A291,'LỆNH ĐIỀU XE'!$C$5:$C$604,$B291,'LỆNH ĐIỀU XE'!$N$5:$N$604,"Có")&gt;0,"Có","Không"))</f>
        <v/>
      </c>
      <c r="AI291" s="16" t="str">
        <f>IF(OR($A291="",H291="",N(T291)=0),"",IF(_xlfn.MAXIFS('LỆNH ĐIỀU XE'!$U$5:$U$604,'LỆNH ĐIỀU XE'!$B$5:$B$604,$A291,'LỆNH ĐIỀU XE'!$C$5:$C$604,$B291)=0,"",ROUND((H291+(H291&lt;4/24)-_xlfn.MAXIFS('LỆNH ĐIỀU XE'!$U$5:$U$604,'LỆNH ĐIỀU XE'!$B$5:$B$604,$A291,'LỆNH ĐIỀU XE'!$C$5:$C$604,$B291))*1440,0)))</f>
        <v/>
      </c>
      <c r="AJ291" s="16" t="str">
        <f>IF($A291="","",IF(OR(AI291="",V291=""),"Thiếu dữ liệu",IF(AND(AI291&lt;='THAM SỐ'!$B$29,ABS(V291)&lt;='THAM SỐ'!$B$28),"Đạt","Không đạt")))</f>
        <v/>
      </c>
      <c r="AK291" s="16" t="str">
        <f t="shared" si="48"/>
        <v/>
      </c>
      <c r="AL291" s="16" t="str">
        <f>IF($A291="","",TRIM(IF(T291=0,"Không có lệnh; ","")&amp;IF(N(N291)&gt;0,"Dừng ngoài lệnh; ","")&amp;IF(N(J291)&gt;0,"Quá tốc độ; ","")&amp;IF(N(K291)&gt;0,"Lái quá 4h; ","")&amp;IF(N(L291)&gt;0,"Không tắt máy; ","")&amp;IF(OR(P291&lt;&gt;"Đủ",Q291&lt;&gt;"Đủ",R291&lt;&gt;"Đủ"),"Thiếu ảnh; ","")&amp;IF(S291&lt;&gt;"Đạt","Lốp chưa đạt; ","")&amp;IF(N(W291)&gt;'THAM SỐ'!$B$27,"Có mặt quá giờ; ","")&amp;IF(N(X291)&gt;'THAM SỐ'!$B$25,"Lái quá giờ ngày; ","")&amp;IF(ISNUMBER(V291),IF(ABS(V291)&gt;'THAM SỐ'!$B$28,"Lệch km; ",""),"")))</f>
        <v/>
      </c>
      <c r="AM291" s="29"/>
      <c r="AN291" s="30"/>
      <c r="AO291" s="28" t="str">
        <f t="shared" si="49"/>
        <v/>
      </c>
      <c r="AP291" s="21" t="str">
        <f>IF(OR($A291="",AO291=""),"",IF(AG291=0,0,ROUND((AC291*'THAM SỐ'!$B$18+AD291*'THAM SỐ'!$B$19+AE291*'THAM SỐ'!$B$20+AF291*'THAM SỐ'!$B$21)*MIN(1,AO291/AG291),0)))</f>
        <v/>
      </c>
      <c r="AQ291" s="18"/>
    </row>
    <row r="292" spans="1:43" x14ac:dyDescent="0.45">
      <c r="A292" s="17"/>
      <c r="B292" s="18"/>
      <c r="C292" s="18"/>
      <c r="D292" s="25"/>
      <c r="E292" s="26"/>
      <c r="F292" s="26"/>
      <c r="G292" s="20"/>
      <c r="H292" s="20"/>
      <c r="I292" s="18"/>
      <c r="J292" s="18"/>
      <c r="K292" s="18"/>
      <c r="L292" s="18"/>
      <c r="M292" s="18"/>
      <c r="N292" s="18"/>
      <c r="O292" s="18"/>
      <c r="P292" s="18"/>
      <c r="Q292" s="18"/>
      <c r="R292" s="18"/>
      <c r="S292" s="18"/>
      <c r="T292" s="16" t="str">
        <f>IF($A292="","",COUNTIFS('LỆNH ĐIỀU XE'!$B$5:$B$604,$A292,'LỆNH ĐIỀU XE'!$C$5:$C$604,$B292))</f>
        <v/>
      </c>
      <c r="U292" s="27" t="str">
        <f>IF($A292="","",SUMIFS('LỆNH ĐIỀU XE'!$J$5:$J$604,'LỆNH ĐIỀU XE'!$B$5:$B$604,$A292,'LỆNH ĐIỀU XE'!$C$5:$C$604,$B292))</f>
        <v/>
      </c>
      <c r="V292" s="22" t="str">
        <f t="shared" si="40"/>
        <v/>
      </c>
      <c r="W292" s="28" t="str">
        <f t="shared" si="41"/>
        <v/>
      </c>
      <c r="X292" s="28" t="str">
        <f t="shared" si="42"/>
        <v/>
      </c>
      <c r="Y292" s="28" t="str">
        <f t="shared" si="43"/>
        <v/>
      </c>
      <c r="Z292" s="22" t="str">
        <f t="shared" si="44"/>
        <v/>
      </c>
      <c r="AA292" s="28" t="str">
        <f t="shared" si="45"/>
        <v/>
      </c>
      <c r="AB292" s="28" t="str">
        <f t="shared" si="46"/>
        <v/>
      </c>
      <c r="AC292" s="28" t="str">
        <f>IF($A292="","",SUMIFS('CHẶNG TĂNG CA'!$E$5:$E$304,'CHẶNG TĂNG CA'!$A$5:$A$304,$A292,'CHẶNG TĂNG CA'!$B$5:$B$304,$B292))</f>
        <v/>
      </c>
      <c r="AD292" s="28" t="str">
        <f>IF($A292="","",SUMIFS('CHẶNG TĂNG CA'!$F$5:$F$304,'CHẶNG TĂNG CA'!$A$5:$A$304,$A292,'CHẶNG TĂNG CA'!$B$5:$B$304,$B292))</f>
        <v/>
      </c>
      <c r="AE292" s="28" t="str">
        <f>IF($A292="","",SUMIFS('CHẶNG TĂNG CA'!$G$5:$G$304,'CHẶNG TĂNG CA'!$A$5:$A$304,$A292,'CHẶNG TĂNG CA'!$B$5:$B$304,$B292))</f>
        <v/>
      </c>
      <c r="AF292" s="28" t="str">
        <f>IF($A292="","",SUMIFS('CHẶNG TĂNG CA'!$H$5:$H$304,'CHẶNG TĂNG CA'!$A$5:$A$304,$A292,'CHẶNG TĂNG CA'!$B$5:$B$304,$B292))</f>
        <v/>
      </c>
      <c r="AG292" s="28" t="str">
        <f t="shared" si="47"/>
        <v/>
      </c>
      <c r="AH292" s="16" t="str">
        <f>IF($A292="","",IF(COUNTIFS('LỆNH ĐIỀU XE'!$B$5:$B$604,$A292,'LỆNH ĐIỀU XE'!$C$5:$C$604,$B292,'LỆNH ĐIỀU XE'!$N$5:$N$604,"Có")&gt;0,"Có","Không"))</f>
        <v/>
      </c>
      <c r="AI292" s="16" t="str">
        <f>IF(OR($A292="",H292="",N(T292)=0),"",IF(_xlfn.MAXIFS('LỆNH ĐIỀU XE'!$U$5:$U$604,'LỆNH ĐIỀU XE'!$B$5:$B$604,$A292,'LỆNH ĐIỀU XE'!$C$5:$C$604,$B292)=0,"",ROUND((H292+(H292&lt;4/24)-_xlfn.MAXIFS('LỆNH ĐIỀU XE'!$U$5:$U$604,'LỆNH ĐIỀU XE'!$B$5:$B$604,$A292,'LỆNH ĐIỀU XE'!$C$5:$C$604,$B292))*1440,0)))</f>
        <v/>
      </c>
      <c r="AJ292" s="16" t="str">
        <f>IF($A292="","",IF(OR(AI292="",V292=""),"Thiếu dữ liệu",IF(AND(AI292&lt;='THAM SỐ'!$B$29,ABS(V292)&lt;='THAM SỐ'!$B$28),"Đạt","Không đạt")))</f>
        <v/>
      </c>
      <c r="AK292" s="16" t="str">
        <f t="shared" si="48"/>
        <v/>
      </c>
      <c r="AL292" s="16" t="str">
        <f>IF($A292="","",TRIM(IF(T292=0,"Không có lệnh; ","")&amp;IF(N(N292)&gt;0,"Dừng ngoài lệnh; ","")&amp;IF(N(J292)&gt;0,"Quá tốc độ; ","")&amp;IF(N(K292)&gt;0,"Lái quá 4h; ","")&amp;IF(N(L292)&gt;0,"Không tắt máy; ","")&amp;IF(OR(P292&lt;&gt;"Đủ",Q292&lt;&gt;"Đủ",R292&lt;&gt;"Đủ"),"Thiếu ảnh; ","")&amp;IF(S292&lt;&gt;"Đạt","Lốp chưa đạt; ","")&amp;IF(N(W292)&gt;'THAM SỐ'!$B$27,"Có mặt quá giờ; ","")&amp;IF(N(X292)&gt;'THAM SỐ'!$B$25,"Lái quá giờ ngày; ","")&amp;IF(ISNUMBER(V292),IF(ABS(V292)&gt;'THAM SỐ'!$B$28,"Lệch km; ",""),"")))</f>
        <v/>
      </c>
      <c r="AM292" s="29"/>
      <c r="AN292" s="30"/>
      <c r="AO292" s="28" t="str">
        <f t="shared" si="49"/>
        <v/>
      </c>
      <c r="AP292" s="21" t="str">
        <f>IF(OR($A292="",AO292=""),"",IF(AG292=0,0,ROUND((AC292*'THAM SỐ'!$B$18+AD292*'THAM SỐ'!$B$19+AE292*'THAM SỐ'!$B$20+AF292*'THAM SỐ'!$B$21)*MIN(1,AO292/AG292),0)))</f>
        <v/>
      </c>
      <c r="AQ292" s="18"/>
    </row>
    <row r="293" spans="1:43" x14ac:dyDescent="0.45">
      <c r="A293" s="17"/>
      <c r="B293" s="18"/>
      <c r="C293" s="18"/>
      <c r="D293" s="25"/>
      <c r="E293" s="26"/>
      <c r="F293" s="26"/>
      <c r="G293" s="20"/>
      <c r="H293" s="20"/>
      <c r="I293" s="18"/>
      <c r="J293" s="18"/>
      <c r="K293" s="18"/>
      <c r="L293" s="18"/>
      <c r="M293" s="18"/>
      <c r="N293" s="18"/>
      <c r="O293" s="18"/>
      <c r="P293" s="18"/>
      <c r="Q293" s="18"/>
      <c r="R293" s="18"/>
      <c r="S293" s="18"/>
      <c r="T293" s="16" t="str">
        <f>IF($A293="","",COUNTIFS('LỆNH ĐIỀU XE'!$B$5:$B$604,$A293,'LỆNH ĐIỀU XE'!$C$5:$C$604,$B293))</f>
        <v/>
      </c>
      <c r="U293" s="27" t="str">
        <f>IF($A293="","",SUMIFS('LỆNH ĐIỀU XE'!$J$5:$J$604,'LỆNH ĐIỀU XE'!$B$5:$B$604,$A293,'LỆNH ĐIỀU XE'!$C$5:$C$604,$B293))</f>
        <v/>
      </c>
      <c r="V293" s="22" t="str">
        <f t="shared" si="40"/>
        <v/>
      </c>
      <c r="W293" s="28" t="str">
        <f t="shared" si="41"/>
        <v/>
      </c>
      <c r="X293" s="28" t="str">
        <f t="shared" si="42"/>
        <v/>
      </c>
      <c r="Y293" s="28" t="str">
        <f t="shared" si="43"/>
        <v/>
      </c>
      <c r="Z293" s="22" t="str">
        <f t="shared" si="44"/>
        <v/>
      </c>
      <c r="AA293" s="28" t="str">
        <f t="shared" si="45"/>
        <v/>
      </c>
      <c r="AB293" s="28" t="str">
        <f t="shared" si="46"/>
        <v/>
      </c>
      <c r="AC293" s="28" t="str">
        <f>IF($A293="","",SUMIFS('CHẶNG TĂNG CA'!$E$5:$E$304,'CHẶNG TĂNG CA'!$A$5:$A$304,$A293,'CHẶNG TĂNG CA'!$B$5:$B$304,$B293))</f>
        <v/>
      </c>
      <c r="AD293" s="28" t="str">
        <f>IF($A293="","",SUMIFS('CHẶNG TĂNG CA'!$F$5:$F$304,'CHẶNG TĂNG CA'!$A$5:$A$304,$A293,'CHẶNG TĂNG CA'!$B$5:$B$304,$B293))</f>
        <v/>
      </c>
      <c r="AE293" s="28" t="str">
        <f>IF($A293="","",SUMIFS('CHẶNG TĂNG CA'!$G$5:$G$304,'CHẶNG TĂNG CA'!$A$5:$A$304,$A293,'CHẶNG TĂNG CA'!$B$5:$B$304,$B293))</f>
        <v/>
      </c>
      <c r="AF293" s="28" t="str">
        <f>IF($A293="","",SUMIFS('CHẶNG TĂNG CA'!$H$5:$H$304,'CHẶNG TĂNG CA'!$A$5:$A$304,$A293,'CHẶNG TĂNG CA'!$B$5:$B$304,$B293))</f>
        <v/>
      </c>
      <c r="AG293" s="28" t="str">
        <f t="shared" si="47"/>
        <v/>
      </c>
      <c r="AH293" s="16" t="str">
        <f>IF($A293="","",IF(COUNTIFS('LỆNH ĐIỀU XE'!$B$5:$B$604,$A293,'LỆNH ĐIỀU XE'!$C$5:$C$604,$B293,'LỆNH ĐIỀU XE'!$N$5:$N$604,"Có")&gt;0,"Có","Không"))</f>
        <v/>
      </c>
      <c r="AI293" s="16" t="str">
        <f>IF(OR($A293="",H293="",N(T293)=0),"",IF(_xlfn.MAXIFS('LỆNH ĐIỀU XE'!$U$5:$U$604,'LỆNH ĐIỀU XE'!$B$5:$B$604,$A293,'LỆNH ĐIỀU XE'!$C$5:$C$604,$B293)=0,"",ROUND((H293+(H293&lt;4/24)-_xlfn.MAXIFS('LỆNH ĐIỀU XE'!$U$5:$U$604,'LỆNH ĐIỀU XE'!$B$5:$B$604,$A293,'LỆNH ĐIỀU XE'!$C$5:$C$604,$B293))*1440,0)))</f>
        <v/>
      </c>
      <c r="AJ293" s="16" t="str">
        <f>IF($A293="","",IF(OR(AI293="",V293=""),"Thiếu dữ liệu",IF(AND(AI293&lt;='THAM SỐ'!$B$29,ABS(V293)&lt;='THAM SỐ'!$B$28),"Đạt","Không đạt")))</f>
        <v/>
      </c>
      <c r="AK293" s="16" t="str">
        <f t="shared" si="48"/>
        <v/>
      </c>
      <c r="AL293" s="16" t="str">
        <f>IF($A293="","",TRIM(IF(T293=0,"Không có lệnh; ","")&amp;IF(N(N293)&gt;0,"Dừng ngoài lệnh; ","")&amp;IF(N(J293)&gt;0,"Quá tốc độ; ","")&amp;IF(N(K293)&gt;0,"Lái quá 4h; ","")&amp;IF(N(L293)&gt;0,"Không tắt máy; ","")&amp;IF(OR(P293&lt;&gt;"Đủ",Q293&lt;&gt;"Đủ",R293&lt;&gt;"Đủ"),"Thiếu ảnh; ","")&amp;IF(S293&lt;&gt;"Đạt","Lốp chưa đạt; ","")&amp;IF(N(W293)&gt;'THAM SỐ'!$B$27,"Có mặt quá giờ; ","")&amp;IF(N(X293)&gt;'THAM SỐ'!$B$25,"Lái quá giờ ngày; ","")&amp;IF(ISNUMBER(V293),IF(ABS(V293)&gt;'THAM SỐ'!$B$28,"Lệch km; ",""),"")))</f>
        <v/>
      </c>
      <c r="AM293" s="29"/>
      <c r="AN293" s="30"/>
      <c r="AO293" s="28" t="str">
        <f t="shared" si="49"/>
        <v/>
      </c>
      <c r="AP293" s="21" t="str">
        <f>IF(OR($A293="",AO293=""),"",IF(AG293=0,0,ROUND((AC293*'THAM SỐ'!$B$18+AD293*'THAM SỐ'!$B$19+AE293*'THAM SỐ'!$B$20+AF293*'THAM SỐ'!$B$21)*MIN(1,AO293/AG293),0)))</f>
        <v/>
      </c>
      <c r="AQ293" s="18"/>
    </row>
    <row r="294" spans="1:43" x14ac:dyDescent="0.45">
      <c r="A294" s="17"/>
      <c r="B294" s="18"/>
      <c r="C294" s="18"/>
      <c r="D294" s="25"/>
      <c r="E294" s="26"/>
      <c r="F294" s="26"/>
      <c r="G294" s="20"/>
      <c r="H294" s="20"/>
      <c r="I294" s="18"/>
      <c r="J294" s="18"/>
      <c r="K294" s="18"/>
      <c r="L294" s="18"/>
      <c r="M294" s="18"/>
      <c r="N294" s="18"/>
      <c r="O294" s="18"/>
      <c r="P294" s="18"/>
      <c r="Q294" s="18"/>
      <c r="R294" s="18"/>
      <c r="S294" s="18"/>
      <c r="T294" s="16" t="str">
        <f>IF($A294="","",COUNTIFS('LỆNH ĐIỀU XE'!$B$5:$B$604,$A294,'LỆNH ĐIỀU XE'!$C$5:$C$604,$B294))</f>
        <v/>
      </c>
      <c r="U294" s="27" t="str">
        <f>IF($A294="","",SUMIFS('LỆNH ĐIỀU XE'!$J$5:$J$604,'LỆNH ĐIỀU XE'!$B$5:$B$604,$A294,'LỆNH ĐIỀU XE'!$C$5:$C$604,$B294))</f>
        <v/>
      </c>
      <c r="V294" s="22" t="str">
        <f t="shared" si="40"/>
        <v/>
      </c>
      <c r="W294" s="28" t="str">
        <f t="shared" si="41"/>
        <v/>
      </c>
      <c r="X294" s="28" t="str">
        <f t="shared" si="42"/>
        <v/>
      </c>
      <c r="Y294" s="28" t="str">
        <f t="shared" si="43"/>
        <v/>
      </c>
      <c r="Z294" s="22" t="str">
        <f t="shared" si="44"/>
        <v/>
      </c>
      <c r="AA294" s="28" t="str">
        <f t="shared" si="45"/>
        <v/>
      </c>
      <c r="AB294" s="28" t="str">
        <f t="shared" si="46"/>
        <v/>
      </c>
      <c r="AC294" s="28" t="str">
        <f>IF($A294="","",SUMIFS('CHẶNG TĂNG CA'!$E$5:$E$304,'CHẶNG TĂNG CA'!$A$5:$A$304,$A294,'CHẶNG TĂNG CA'!$B$5:$B$304,$B294))</f>
        <v/>
      </c>
      <c r="AD294" s="28" t="str">
        <f>IF($A294="","",SUMIFS('CHẶNG TĂNG CA'!$F$5:$F$304,'CHẶNG TĂNG CA'!$A$5:$A$304,$A294,'CHẶNG TĂNG CA'!$B$5:$B$304,$B294))</f>
        <v/>
      </c>
      <c r="AE294" s="28" t="str">
        <f>IF($A294="","",SUMIFS('CHẶNG TĂNG CA'!$G$5:$G$304,'CHẶNG TĂNG CA'!$A$5:$A$304,$A294,'CHẶNG TĂNG CA'!$B$5:$B$304,$B294))</f>
        <v/>
      </c>
      <c r="AF294" s="28" t="str">
        <f>IF($A294="","",SUMIFS('CHẶNG TĂNG CA'!$H$5:$H$304,'CHẶNG TĂNG CA'!$A$5:$A$304,$A294,'CHẶNG TĂNG CA'!$B$5:$B$304,$B294))</f>
        <v/>
      </c>
      <c r="AG294" s="28" t="str">
        <f t="shared" si="47"/>
        <v/>
      </c>
      <c r="AH294" s="16" t="str">
        <f>IF($A294="","",IF(COUNTIFS('LỆNH ĐIỀU XE'!$B$5:$B$604,$A294,'LỆNH ĐIỀU XE'!$C$5:$C$604,$B294,'LỆNH ĐIỀU XE'!$N$5:$N$604,"Có")&gt;0,"Có","Không"))</f>
        <v/>
      </c>
      <c r="AI294" s="16" t="str">
        <f>IF(OR($A294="",H294="",N(T294)=0),"",IF(_xlfn.MAXIFS('LỆNH ĐIỀU XE'!$U$5:$U$604,'LỆNH ĐIỀU XE'!$B$5:$B$604,$A294,'LỆNH ĐIỀU XE'!$C$5:$C$604,$B294)=0,"",ROUND((H294+(H294&lt;4/24)-_xlfn.MAXIFS('LỆNH ĐIỀU XE'!$U$5:$U$604,'LỆNH ĐIỀU XE'!$B$5:$B$604,$A294,'LỆNH ĐIỀU XE'!$C$5:$C$604,$B294))*1440,0)))</f>
        <v/>
      </c>
      <c r="AJ294" s="16" t="str">
        <f>IF($A294="","",IF(OR(AI294="",V294=""),"Thiếu dữ liệu",IF(AND(AI294&lt;='THAM SỐ'!$B$29,ABS(V294)&lt;='THAM SỐ'!$B$28),"Đạt","Không đạt")))</f>
        <v/>
      </c>
      <c r="AK294" s="16" t="str">
        <f t="shared" si="48"/>
        <v/>
      </c>
      <c r="AL294" s="16" t="str">
        <f>IF($A294="","",TRIM(IF(T294=0,"Không có lệnh; ","")&amp;IF(N(N294)&gt;0,"Dừng ngoài lệnh; ","")&amp;IF(N(J294)&gt;0,"Quá tốc độ; ","")&amp;IF(N(K294)&gt;0,"Lái quá 4h; ","")&amp;IF(N(L294)&gt;0,"Không tắt máy; ","")&amp;IF(OR(P294&lt;&gt;"Đủ",Q294&lt;&gt;"Đủ",R294&lt;&gt;"Đủ"),"Thiếu ảnh; ","")&amp;IF(S294&lt;&gt;"Đạt","Lốp chưa đạt; ","")&amp;IF(N(W294)&gt;'THAM SỐ'!$B$27,"Có mặt quá giờ; ","")&amp;IF(N(X294)&gt;'THAM SỐ'!$B$25,"Lái quá giờ ngày; ","")&amp;IF(ISNUMBER(V294),IF(ABS(V294)&gt;'THAM SỐ'!$B$28,"Lệch km; ",""),"")))</f>
        <v/>
      </c>
      <c r="AM294" s="29"/>
      <c r="AN294" s="30"/>
      <c r="AO294" s="28" t="str">
        <f t="shared" si="49"/>
        <v/>
      </c>
      <c r="AP294" s="21" t="str">
        <f>IF(OR($A294="",AO294=""),"",IF(AG294=0,0,ROUND((AC294*'THAM SỐ'!$B$18+AD294*'THAM SỐ'!$B$19+AE294*'THAM SỐ'!$B$20+AF294*'THAM SỐ'!$B$21)*MIN(1,AO294/AG294),0)))</f>
        <v/>
      </c>
      <c r="AQ294" s="18"/>
    </row>
    <row r="295" spans="1:43" x14ac:dyDescent="0.45">
      <c r="A295" s="17"/>
      <c r="B295" s="18"/>
      <c r="C295" s="18"/>
      <c r="D295" s="25"/>
      <c r="E295" s="26"/>
      <c r="F295" s="26"/>
      <c r="G295" s="20"/>
      <c r="H295" s="20"/>
      <c r="I295" s="18"/>
      <c r="J295" s="18"/>
      <c r="K295" s="18"/>
      <c r="L295" s="18"/>
      <c r="M295" s="18"/>
      <c r="N295" s="18"/>
      <c r="O295" s="18"/>
      <c r="P295" s="18"/>
      <c r="Q295" s="18"/>
      <c r="R295" s="18"/>
      <c r="S295" s="18"/>
      <c r="T295" s="16" t="str">
        <f>IF($A295="","",COUNTIFS('LỆNH ĐIỀU XE'!$B$5:$B$604,$A295,'LỆNH ĐIỀU XE'!$C$5:$C$604,$B295))</f>
        <v/>
      </c>
      <c r="U295" s="27" t="str">
        <f>IF($A295="","",SUMIFS('LỆNH ĐIỀU XE'!$J$5:$J$604,'LỆNH ĐIỀU XE'!$B$5:$B$604,$A295,'LỆNH ĐIỀU XE'!$C$5:$C$604,$B295))</f>
        <v/>
      </c>
      <c r="V295" s="22" t="str">
        <f t="shared" si="40"/>
        <v/>
      </c>
      <c r="W295" s="28" t="str">
        <f t="shared" si="41"/>
        <v/>
      </c>
      <c r="X295" s="28" t="str">
        <f t="shared" si="42"/>
        <v/>
      </c>
      <c r="Y295" s="28" t="str">
        <f t="shared" si="43"/>
        <v/>
      </c>
      <c r="Z295" s="22" t="str">
        <f t="shared" si="44"/>
        <v/>
      </c>
      <c r="AA295" s="28" t="str">
        <f t="shared" si="45"/>
        <v/>
      </c>
      <c r="AB295" s="28" t="str">
        <f t="shared" si="46"/>
        <v/>
      </c>
      <c r="AC295" s="28" t="str">
        <f>IF($A295="","",SUMIFS('CHẶNG TĂNG CA'!$E$5:$E$304,'CHẶNG TĂNG CA'!$A$5:$A$304,$A295,'CHẶNG TĂNG CA'!$B$5:$B$304,$B295))</f>
        <v/>
      </c>
      <c r="AD295" s="28" t="str">
        <f>IF($A295="","",SUMIFS('CHẶNG TĂNG CA'!$F$5:$F$304,'CHẶNG TĂNG CA'!$A$5:$A$304,$A295,'CHẶNG TĂNG CA'!$B$5:$B$304,$B295))</f>
        <v/>
      </c>
      <c r="AE295" s="28" t="str">
        <f>IF($A295="","",SUMIFS('CHẶNG TĂNG CA'!$G$5:$G$304,'CHẶNG TĂNG CA'!$A$5:$A$304,$A295,'CHẶNG TĂNG CA'!$B$5:$B$304,$B295))</f>
        <v/>
      </c>
      <c r="AF295" s="28" t="str">
        <f>IF($A295="","",SUMIFS('CHẶNG TĂNG CA'!$H$5:$H$304,'CHẶNG TĂNG CA'!$A$5:$A$304,$A295,'CHẶNG TĂNG CA'!$B$5:$B$304,$B295))</f>
        <v/>
      </c>
      <c r="AG295" s="28" t="str">
        <f t="shared" si="47"/>
        <v/>
      </c>
      <c r="AH295" s="16" t="str">
        <f>IF($A295="","",IF(COUNTIFS('LỆNH ĐIỀU XE'!$B$5:$B$604,$A295,'LỆNH ĐIỀU XE'!$C$5:$C$604,$B295,'LỆNH ĐIỀU XE'!$N$5:$N$604,"Có")&gt;0,"Có","Không"))</f>
        <v/>
      </c>
      <c r="AI295" s="16" t="str">
        <f>IF(OR($A295="",H295="",N(T295)=0),"",IF(_xlfn.MAXIFS('LỆNH ĐIỀU XE'!$U$5:$U$604,'LỆNH ĐIỀU XE'!$B$5:$B$604,$A295,'LỆNH ĐIỀU XE'!$C$5:$C$604,$B295)=0,"",ROUND((H295+(H295&lt;4/24)-_xlfn.MAXIFS('LỆNH ĐIỀU XE'!$U$5:$U$604,'LỆNH ĐIỀU XE'!$B$5:$B$604,$A295,'LỆNH ĐIỀU XE'!$C$5:$C$604,$B295))*1440,0)))</f>
        <v/>
      </c>
      <c r="AJ295" s="16" t="str">
        <f>IF($A295="","",IF(OR(AI295="",V295=""),"Thiếu dữ liệu",IF(AND(AI295&lt;='THAM SỐ'!$B$29,ABS(V295)&lt;='THAM SỐ'!$B$28),"Đạt","Không đạt")))</f>
        <v/>
      </c>
      <c r="AK295" s="16" t="str">
        <f t="shared" si="48"/>
        <v/>
      </c>
      <c r="AL295" s="16" t="str">
        <f>IF($A295="","",TRIM(IF(T295=0,"Không có lệnh; ","")&amp;IF(N(N295)&gt;0,"Dừng ngoài lệnh; ","")&amp;IF(N(J295)&gt;0,"Quá tốc độ; ","")&amp;IF(N(K295)&gt;0,"Lái quá 4h; ","")&amp;IF(N(L295)&gt;0,"Không tắt máy; ","")&amp;IF(OR(P295&lt;&gt;"Đủ",Q295&lt;&gt;"Đủ",R295&lt;&gt;"Đủ"),"Thiếu ảnh; ","")&amp;IF(S295&lt;&gt;"Đạt","Lốp chưa đạt; ","")&amp;IF(N(W295)&gt;'THAM SỐ'!$B$27,"Có mặt quá giờ; ","")&amp;IF(N(X295)&gt;'THAM SỐ'!$B$25,"Lái quá giờ ngày; ","")&amp;IF(ISNUMBER(V295),IF(ABS(V295)&gt;'THAM SỐ'!$B$28,"Lệch km; ",""),"")))</f>
        <v/>
      </c>
      <c r="AM295" s="29"/>
      <c r="AN295" s="30"/>
      <c r="AO295" s="28" t="str">
        <f t="shared" si="49"/>
        <v/>
      </c>
      <c r="AP295" s="21" t="str">
        <f>IF(OR($A295="",AO295=""),"",IF(AG295=0,0,ROUND((AC295*'THAM SỐ'!$B$18+AD295*'THAM SỐ'!$B$19+AE295*'THAM SỐ'!$B$20+AF295*'THAM SỐ'!$B$21)*MIN(1,AO295/AG295),0)))</f>
        <v/>
      </c>
      <c r="AQ295" s="18"/>
    </row>
    <row r="296" spans="1:43" x14ac:dyDescent="0.45">
      <c r="A296" s="17"/>
      <c r="B296" s="18"/>
      <c r="C296" s="18"/>
      <c r="D296" s="25"/>
      <c r="E296" s="26"/>
      <c r="F296" s="26"/>
      <c r="G296" s="20"/>
      <c r="H296" s="20"/>
      <c r="I296" s="18"/>
      <c r="J296" s="18"/>
      <c r="K296" s="18"/>
      <c r="L296" s="18"/>
      <c r="M296" s="18"/>
      <c r="N296" s="18"/>
      <c r="O296" s="18"/>
      <c r="P296" s="18"/>
      <c r="Q296" s="18"/>
      <c r="R296" s="18"/>
      <c r="S296" s="18"/>
      <c r="T296" s="16" t="str">
        <f>IF($A296="","",COUNTIFS('LỆNH ĐIỀU XE'!$B$5:$B$604,$A296,'LỆNH ĐIỀU XE'!$C$5:$C$604,$B296))</f>
        <v/>
      </c>
      <c r="U296" s="27" t="str">
        <f>IF($A296="","",SUMIFS('LỆNH ĐIỀU XE'!$J$5:$J$604,'LỆNH ĐIỀU XE'!$B$5:$B$604,$A296,'LỆNH ĐIỀU XE'!$C$5:$C$604,$B296))</f>
        <v/>
      </c>
      <c r="V296" s="22" t="str">
        <f t="shared" si="40"/>
        <v/>
      </c>
      <c r="W296" s="28" t="str">
        <f t="shared" si="41"/>
        <v/>
      </c>
      <c r="X296" s="28" t="str">
        <f t="shared" si="42"/>
        <v/>
      </c>
      <c r="Y296" s="28" t="str">
        <f t="shared" si="43"/>
        <v/>
      </c>
      <c r="Z296" s="22" t="str">
        <f t="shared" si="44"/>
        <v/>
      </c>
      <c r="AA296" s="28" t="str">
        <f t="shared" si="45"/>
        <v/>
      </c>
      <c r="AB296" s="28" t="str">
        <f t="shared" si="46"/>
        <v/>
      </c>
      <c r="AC296" s="28" t="str">
        <f>IF($A296="","",SUMIFS('CHẶNG TĂNG CA'!$E$5:$E$304,'CHẶNG TĂNG CA'!$A$5:$A$304,$A296,'CHẶNG TĂNG CA'!$B$5:$B$304,$B296))</f>
        <v/>
      </c>
      <c r="AD296" s="28" t="str">
        <f>IF($A296="","",SUMIFS('CHẶNG TĂNG CA'!$F$5:$F$304,'CHẶNG TĂNG CA'!$A$5:$A$304,$A296,'CHẶNG TĂNG CA'!$B$5:$B$304,$B296))</f>
        <v/>
      </c>
      <c r="AE296" s="28" t="str">
        <f>IF($A296="","",SUMIFS('CHẶNG TĂNG CA'!$G$5:$G$304,'CHẶNG TĂNG CA'!$A$5:$A$304,$A296,'CHẶNG TĂNG CA'!$B$5:$B$304,$B296))</f>
        <v/>
      </c>
      <c r="AF296" s="28" t="str">
        <f>IF($A296="","",SUMIFS('CHẶNG TĂNG CA'!$H$5:$H$304,'CHẶNG TĂNG CA'!$A$5:$A$304,$A296,'CHẶNG TĂNG CA'!$B$5:$B$304,$B296))</f>
        <v/>
      </c>
      <c r="AG296" s="28" t="str">
        <f t="shared" si="47"/>
        <v/>
      </c>
      <c r="AH296" s="16" t="str">
        <f>IF($A296="","",IF(COUNTIFS('LỆNH ĐIỀU XE'!$B$5:$B$604,$A296,'LỆNH ĐIỀU XE'!$C$5:$C$604,$B296,'LỆNH ĐIỀU XE'!$N$5:$N$604,"Có")&gt;0,"Có","Không"))</f>
        <v/>
      </c>
      <c r="AI296" s="16" t="str">
        <f>IF(OR($A296="",H296="",N(T296)=0),"",IF(_xlfn.MAXIFS('LỆNH ĐIỀU XE'!$U$5:$U$604,'LỆNH ĐIỀU XE'!$B$5:$B$604,$A296,'LỆNH ĐIỀU XE'!$C$5:$C$604,$B296)=0,"",ROUND((H296+(H296&lt;4/24)-_xlfn.MAXIFS('LỆNH ĐIỀU XE'!$U$5:$U$604,'LỆNH ĐIỀU XE'!$B$5:$B$604,$A296,'LỆNH ĐIỀU XE'!$C$5:$C$604,$B296))*1440,0)))</f>
        <v/>
      </c>
      <c r="AJ296" s="16" t="str">
        <f>IF($A296="","",IF(OR(AI296="",V296=""),"Thiếu dữ liệu",IF(AND(AI296&lt;='THAM SỐ'!$B$29,ABS(V296)&lt;='THAM SỐ'!$B$28),"Đạt","Không đạt")))</f>
        <v/>
      </c>
      <c r="AK296" s="16" t="str">
        <f t="shared" si="48"/>
        <v/>
      </c>
      <c r="AL296" s="16" t="str">
        <f>IF($A296="","",TRIM(IF(T296=0,"Không có lệnh; ","")&amp;IF(N(N296)&gt;0,"Dừng ngoài lệnh; ","")&amp;IF(N(J296)&gt;0,"Quá tốc độ; ","")&amp;IF(N(K296)&gt;0,"Lái quá 4h; ","")&amp;IF(N(L296)&gt;0,"Không tắt máy; ","")&amp;IF(OR(P296&lt;&gt;"Đủ",Q296&lt;&gt;"Đủ",R296&lt;&gt;"Đủ"),"Thiếu ảnh; ","")&amp;IF(S296&lt;&gt;"Đạt","Lốp chưa đạt; ","")&amp;IF(N(W296)&gt;'THAM SỐ'!$B$27,"Có mặt quá giờ; ","")&amp;IF(N(X296)&gt;'THAM SỐ'!$B$25,"Lái quá giờ ngày; ","")&amp;IF(ISNUMBER(V296),IF(ABS(V296)&gt;'THAM SỐ'!$B$28,"Lệch km; ",""),"")))</f>
        <v/>
      </c>
      <c r="AM296" s="29"/>
      <c r="AN296" s="30"/>
      <c r="AO296" s="28" t="str">
        <f t="shared" si="49"/>
        <v/>
      </c>
      <c r="AP296" s="21" t="str">
        <f>IF(OR($A296="",AO296=""),"",IF(AG296=0,0,ROUND((AC296*'THAM SỐ'!$B$18+AD296*'THAM SỐ'!$B$19+AE296*'THAM SỐ'!$B$20+AF296*'THAM SỐ'!$B$21)*MIN(1,AO296/AG296),0)))</f>
        <v/>
      </c>
      <c r="AQ296" s="18"/>
    </row>
    <row r="297" spans="1:43" x14ac:dyDescent="0.45">
      <c r="A297" s="17"/>
      <c r="B297" s="18"/>
      <c r="C297" s="18"/>
      <c r="D297" s="25"/>
      <c r="E297" s="26"/>
      <c r="F297" s="26"/>
      <c r="G297" s="20"/>
      <c r="H297" s="20"/>
      <c r="I297" s="18"/>
      <c r="J297" s="18"/>
      <c r="K297" s="18"/>
      <c r="L297" s="18"/>
      <c r="M297" s="18"/>
      <c r="N297" s="18"/>
      <c r="O297" s="18"/>
      <c r="P297" s="18"/>
      <c r="Q297" s="18"/>
      <c r="R297" s="18"/>
      <c r="S297" s="18"/>
      <c r="T297" s="16" t="str">
        <f>IF($A297="","",COUNTIFS('LỆNH ĐIỀU XE'!$B$5:$B$604,$A297,'LỆNH ĐIỀU XE'!$C$5:$C$604,$B297))</f>
        <v/>
      </c>
      <c r="U297" s="27" t="str">
        <f>IF($A297="","",SUMIFS('LỆNH ĐIỀU XE'!$J$5:$J$604,'LỆNH ĐIỀU XE'!$B$5:$B$604,$A297,'LỆNH ĐIỀU XE'!$C$5:$C$604,$B297))</f>
        <v/>
      </c>
      <c r="V297" s="22" t="str">
        <f t="shared" si="40"/>
        <v/>
      </c>
      <c r="W297" s="28" t="str">
        <f t="shared" si="41"/>
        <v/>
      </c>
      <c r="X297" s="28" t="str">
        <f t="shared" si="42"/>
        <v/>
      </c>
      <c r="Y297" s="28" t="str">
        <f t="shared" si="43"/>
        <v/>
      </c>
      <c r="Z297" s="22" t="str">
        <f t="shared" si="44"/>
        <v/>
      </c>
      <c r="AA297" s="28" t="str">
        <f t="shared" si="45"/>
        <v/>
      </c>
      <c r="AB297" s="28" t="str">
        <f t="shared" si="46"/>
        <v/>
      </c>
      <c r="AC297" s="28" t="str">
        <f>IF($A297="","",SUMIFS('CHẶNG TĂNG CA'!$E$5:$E$304,'CHẶNG TĂNG CA'!$A$5:$A$304,$A297,'CHẶNG TĂNG CA'!$B$5:$B$304,$B297))</f>
        <v/>
      </c>
      <c r="AD297" s="28" t="str">
        <f>IF($A297="","",SUMIFS('CHẶNG TĂNG CA'!$F$5:$F$304,'CHẶNG TĂNG CA'!$A$5:$A$304,$A297,'CHẶNG TĂNG CA'!$B$5:$B$304,$B297))</f>
        <v/>
      </c>
      <c r="AE297" s="28" t="str">
        <f>IF($A297="","",SUMIFS('CHẶNG TĂNG CA'!$G$5:$G$304,'CHẶNG TĂNG CA'!$A$5:$A$304,$A297,'CHẶNG TĂNG CA'!$B$5:$B$304,$B297))</f>
        <v/>
      </c>
      <c r="AF297" s="28" t="str">
        <f>IF($A297="","",SUMIFS('CHẶNG TĂNG CA'!$H$5:$H$304,'CHẶNG TĂNG CA'!$A$5:$A$304,$A297,'CHẶNG TĂNG CA'!$B$5:$B$304,$B297))</f>
        <v/>
      </c>
      <c r="AG297" s="28" t="str">
        <f t="shared" si="47"/>
        <v/>
      </c>
      <c r="AH297" s="16" t="str">
        <f>IF($A297="","",IF(COUNTIFS('LỆNH ĐIỀU XE'!$B$5:$B$604,$A297,'LỆNH ĐIỀU XE'!$C$5:$C$604,$B297,'LỆNH ĐIỀU XE'!$N$5:$N$604,"Có")&gt;0,"Có","Không"))</f>
        <v/>
      </c>
      <c r="AI297" s="16" t="str">
        <f>IF(OR($A297="",H297="",N(T297)=0),"",IF(_xlfn.MAXIFS('LỆNH ĐIỀU XE'!$U$5:$U$604,'LỆNH ĐIỀU XE'!$B$5:$B$604,$A297,'LỆNH ĐIỀU XE'!$C$5:$C$604,$B297)=0,"",ROUND((H297+(H297&lt;4/24)-_xlfn.MAXIFS('LỆNH ĐIỀU XE'!$U$5:$U$604,'LỆNH ĐIỀU XE'!$B$5:$B$604,$A297,'LỆNH ĐIỀU XE'!$C$5:$C$604,$B297))*1440,0)))</f>
        <v/>
      </c>
      <c r="AJ297" s="16" t="str">
        <f>IF($A297="","",IF(OR(AI297="",V297=""),"Thiếu dữ liệu",IF(AND(AI297&lt;='THAM SỐ'!$B$29,ABS(V297)&lt;='THAM SỐ'!$B$28),"Đạt","Không đạt")))</f>
        <v/>
      </c>
      <c r="AK297" s="16" t="str">
        <f t="shared" si="48"/>
        <v/>
      </c>
      <c r="AL297" s="16" t="str">
        <f>IF($A297="","",TRIM(IF(T297=0,"Không có lệnh; ","")&amp;IF(N(N297)&gt;0,"Dừng ngoài lệnh; ","")&amp;IF(N(J297)&gt;0,"Quá tốc độ; ","")&amp;IF(N(K297)&gt;0,"Lái quá 4h; ","")&amp;IF(N(L297)&gt;0,"Không tắt máy; ","")&amp;IF(OR(P297&lt;&gt;"Đủ",Q297&lt;&gt;"Đủ",R297&lt;&gt;"Đủ"),"Thiếu ảnh; ","")&amp;IF(S297&lt;&gt;"Đạt","Lốp chưa đạt; ","")&amp;IF(N(W297)&gt;'THAM SỐ'!$B$27,"Có mặt quá giờ; ","")&amp;IF(N(X297)&gt;'THAM SỐ'!$B$25,"Lái quá giờ ngày; ","")&amp;IF(ISNUMBER(V297),IF(ABS(V297)&gt;'THAM SỐ'!$B$28,"Lệch km; ",""),"")))</f>
        <v/>
      </c>
      <c r="AM297" s="29"/>
      <c r="AN297" s="30"/>
      <c r="AO297" s="28" t="str">
        <f t="shared" si="49"/>
        <v/>
      </c>
      <c r="AP297" s="21" t="str">
        <f>IF(OR($A297="",AO297=""),"",IF(AG297=0,0,ROUND((AC297*'THAM SỐ'!$B$18+AD297*'THAM SỐ'!$B$19+AE297*'THAM SỐ'!$B$20+AF297*'THAM SỐ'!$B$21)*MIN(1,AO297/AG297),0)))</f>
        <v/>
      </c>
      <c r="AQ297" s="18"/>
    </row>
    <row r="298" spans="1:43" x14ac:dyDescent="0.45">
      <c r="A298" s="17"/>
      <c r="B298" s="18"/>
      <c r="C298" s="18"/>
      <c r="D298" s="25"/>
      <c r="E298" s="26"/>
      <c r="F298" s="26"/>
      <c r="G298" s="20"/>
      <c r="H298" s="20"/>
      <c r="I298" s="18"/>
      <c r="J298" s="18"/>
      <c r="K298" s="18"/>
      <c r="L298" s="18"/>
      <c r="M298" s="18"/>
      <c r="N298" s="18"/>
      <c r="O298" s="18"/>
      <c r="P298" s="18"/>
      <c r="Q298" s="18"/>
      <c r="R298" s="18"/>
      <c r="S298" s="18"/>
      <c r="T298" s="16" t="str">
        <f>IF($A298="","",COUNTIFS('LỆNH ĐIỀU XE'!$B$5:$B$604,$A298,'LỆNH ĐIỀU XE'!$C$5:$C$604,$B298))</f>
        <v/>
      </c>
      <c r="U298" s="27" t="str">
        <f>IF($A298="","",SUMIFS('LỆNH ĐIỀU XE'!$J$5:$J$604,'LỆNH ĐIỀU XE'!$B$5:$B$604,$A298,'LỆNH ĐIỀU XE'!$C$5:$C$604,$B298))</f>
        <v/>
      </c>
      <c r="V298" s="22" t="str">
        <f t="shared" si="40"/>
        <v/>
      </c>
      <c r="W298" s="28" t="str">
        <f t="shared" si="41"/>
        <v/>
      </c>
      <c r="X298" s="28" t="str">
        <f t="shared" si="42"/>
        <v/>
      </c>
      <c r="Y298" s="28" t="str">
        <f t="shared" si="43"/>
        <v/>
      </c>
      <c r="Z298" s="22" t="str">
        <f t="shared" si="44"/>
        <v/>
      </c>
      <c r="AA298" s="28" t="str">
        <f t="shared" si="45"/>
        <v/>
      </c>
      <c r="AB298" s="28" t="str">
        <f t="shared" si="46"/>
        <v/>
      </c>
      <c r="AC298" s="28" t="str">
        <f>IF($A298="","",SUMIFS('CHẶNG TĂNG CA'!$E$5:$E$304,'CHẶNG TĂNG CA'!$A$5:$A$304,$A298,'CHẶNG TĂNG CA'!$B$5:$B$304,$B298))</f>
        <v/>
      </c>
      <c r="AD298" s="28" t="str">
        <f>IF($A298="","",SUMIFS('CHẶNG TĂNG CA'!$F$5:$F$304,'CHẶNG TĂNG CA'!$A$5:$A$304,$A298,'CHẶNG TĂNG CA'!$B$5:$B$304,$B298))</f>
        <v/>
      </c>
      <c r="AE298" s="28" t="str">
        <f>IF($A298="","",SUMIFS('CHẶNG TĂNG CA'!$G$5:$G$304,'CHẶNG TĂNG CA'!$A$5:$A$304,$A298,'CHẶNG TĂNG CA'!$B$5:$B$304,$B298))</f>
        <v/>
      </c>
      <c r="AF298" s="28" t="str">
        <f>IF($A298="","",SUMIFS('CHẶNG TĂNG CA'!$H$5:$H$304,'CHẶNG TĂNG CA'!$A$5:$A$304,$A298,'CHẶNG TĂNG CA'!$B$5:$B$304,$B298))</f>
        <v/>
      </c>
      <c r="AG298" s="28" t="str">
        <f t="shared" si="47"/>
        <v/>
      </c>
      <c r="AH298" s="16" t="str">
        <f>IF($A298="","",IF(COUNTIFS('LỆNH ĐIỀU XE'!$B$5:$B$604,$A298,'LỆNH ĐIỀU XE'!$C$5:$C$604,$B298,'LỆNH ĐIỀU XE'!$N$5:$N$604,"Có")&gt;0,"Có","Không"))</f>
        <v/>
      </c>
      <c r="AI298" s="16" t="str">
        <f>IF(OR($A298="",H298="",N(T298)=0),"",IF(_xlfn.MAXIFS('LỆNH ĐIỀU XE'!$U$5:$U$604,'LỆNH ĐIỀU XE'!$B$5:$B$604,$A298,'LỆNH ĐIỀU XE'!$C$5:$C$604,$B298)=0,"",ROUND((H298+(H298&lt;4/24)-_xlfn.MAXIFS('LỆNH ĐIỀU XE'!$U$5:$U$604,'LỆNH ĐIỀU XE'!$B$5:$B$604,$A298,'LỆNH ĐIỀU XE'!$C$5:$C$604,$B298))*1440,0)))</f>
        <v/>
      </c>
      <c r="AJ298" s="16" t="str">
        <f>IF($A298="","",IF(OR(AI298="",V298=""),"Thiếu dữ liệu",IF(AND(AI298&lt;='THAM SỐ'!$B$29,ABS(V298)&lt;='THAM SỐ'!$B$28),"Đạt","Không đạt")))</f>
        <v/>
      </c>
      <c r="AK298" s="16" t="str">
        <f t="shared" si="48"/>
        <v/>
      </c>
      <c r="AL298" s="16" t="str">
        <f>IF($A298="","",TRIM(IF(T298=0,"Không có lệnh; ","")&amp;IF(N(N298)&gt;0,"Dừng ngoài lệnh; ","")&amp;IF(N(J298)&gt;0,"Quá tốc độ; ","")&amp;IF(N(K298)&gt;0,"Lái quá 4h; ","")&amp;IF(N(L298)&gt;0,"Không tắt máy; ","")&amp;IF(OR(P298&lt;&gt;"Đủ",Q298&lt;&gt;"Đủ",R298&lt;&gt;"Đủ"),"Thiếu ảnh; ","")&amp;IF(S298&lt;&gt;"Đạt","Lốp chưa đạt; ","")&amp;IF(N(W298)&gt;'THAM SỐ'!$B$27,"Có mặt quá giờ; ","")&amp;IF(N(X298)&gt;'THAM SỐ'!$B$25,"Lái quá giờ ngày; ","")&amp;IF(ISNUMBER(V298),IF(ABS(V298)&gt;'THAM SỐ'!$B$28,"Lệch km; ",""),"")))</f>
        <v/>
      </c>
      <c r="AM298" s="29"/>
      <c r="AN298" s="30"/>
      <c r="AO298" s="28" t="str">
        <f t="shared" si="49"/>
        <v/>
      </c>
      <c r="AP298" s="21" t="str">
        <f>IF(OR($A298="",AO298=""),"",IF(AG298=0,0,ROUND((AC298*'THAM SỐ'!$B$18+AD298*'THAM SỐ'!$B$19+AE298*'THAM SỐ'!$B$20+AF298*'THAM SỐ'!$B$21)*MIN(1,AO298/AG298),0)))</f>
        <v/>
      </c>
      <c r="AQ298" s="18"/>
    </row>
    <row r="299" spans="1:43" x14ac:dyDescent="0.45">
      <c r="A299" s="17"/>
      <c r="B299" s="18"/>
      <c r="C299" s="18"/>
      <c r="D299" s="25"/>
      <c r="E299" s="26"/>
      <c r="F299" s="26"/>
      <c r="G299" s="20"/>
      <c r="H299" s="20"/>
      <c r="I299" s="18"/>
      <c r="J299" s="18"/>
      <c r="K299" s="18"/>
      <c r="L299" s="18"/>
      <c r="M299" s="18"/>
      <c r="N299" s="18"/>
      <c r="O299" s="18"/>
      <c r="P299" s="18"/>
      <c r="Q299" s="18"/>
      <c r="R299" s="18"/>
      <c r="S299" s="18"/>
      <c r="T299" s="16" t="str">
        <f>IF($A299="","",COUNTIFS('LỆNH ĐIỀU XE'!$B$5:$B$604,$A299,'LỆNH ĐIỀU XE'!$C$5:$C$604,$B299))</f>
        <v/>
      </c>
      <c r="U299" s="27" t="str">
        <f>IF($A299="","",SUMIFS('LỆNH ĐIỀU XE'!$J$5:$J$604,'LỆNH ĐIỀU XE'!$B$5:$B$604,$A299,'LỆNH ĐIỀU XE'!$C$5:$C$604,$B299))</f>
        <v/>
      </c>
      <c r="V299" s="22" t="str">
        <f t="shared" si="40"/>
        <v/>
      </c>
      <c r="W299" s="28" t="str">
        <f t="shared" si="41"/>
        <v/>
      </c>
      <c r="X299" s="28" t="str">
        <f t="shared" si="42"/>
        <v/>
      </c>
      <c r="Y299" s="28" t="str">
        <f t="shared" si="43"/>
        <v/>
      </c>
      <c r="Z299" s="22" t="str">
        <f t="shared" si="44"/>
        <v/>
      </c>
      <c r="AA299" s="28" t="str">
        <f t="shared" si="45"/>
        <v/>
      </c>
      <c r="AB299" s="28" t="str">
        <f t="shared" si="46"/>
        <v/>
      </c>
      <c r="AC299" s="28" t="str">
        <f>IF($A299="","",SUMIFS('CHẶNG TĂNG CA'!$E$5:$E$304,'CHẶNG TĂNG CA'!$A$5:$A$304,$A299,'CHẶNG TĂNG CA'!$B$5:$B$304,$B299))</f>
        <v/>
      </c>
      <c r="AD299" s="28" t="str">
        <f>IF($A299="","",SUMIFS('CHẶNG TĂNG CA'!$F$5:$F$304,'CHẶNG TĂNG CA'!$A$5:$A$304,$A299,'CHẶNG TĂNG CA'!$B$5:$B$304,$B299))</f>
        <v/>
      </c>
      <c r="AE299" s="28" t="str">
        <f>IF($A299="","",SUMIFS('CHẶNG TĂNG CA'!$G$5:$G$304,'CHẶNG TĂNG CA'!$A$5:$A$304,$A299,'CHẶNG TĂNG CA'!$B$5:$B$304,$B299))</f>
        <v/>
      </c>
      <c r="AF299" s="28" t="str">
        <f>IF($A299="","",SUMIFS('CHẶNG TĂNG CA'!$H$5:$H$304,'CHẶNG TĂNG CA'!$A$5:$A$304,$A299,'CHẶNG TĂNG CA'!$B$5:$B$304,$B299))</f>
        <v/>
      </c>
      <c r="AG299" s="28" t="str">
        <f t="shared" si="47"/>
        <v/>
      </c>
      <c r="AH299" s="16" t="str">
        <f>IF($A299="","",IF(COUNTIFS('LỆNH ĐIỀU XE'!$B$5:$B$604,$A299,'LỆNH ĐIỀU XE'!$C$5:$C$604,$B299,'LỆNH ĐIỀU XE'!$N$5:$N$604,"Có")&gt;0,"Có","Không"))</f>
        <v/>
      </c>
      <c r="AI299" s="16" t="str">
        <f>IF(OR($A299="",H299="",N(T299)=0),"",IF(_xlfn.MAXIFS('LỆNH ĐIỀU XE'!$U$5:$U$604,'LỆNH ĐIỀU XE'!$B$5:$B$604,$A299,'LỆNH ĐIỀU XE'!$C$5:$C$604,$B299)=0,"",ROUND((H299+(H299&lt;4/24)-_xlfn.MAXIFS('LỆNH ĐIỀU XE'!$U$5:$U$604,'LỆNH ĐIỀU XE'!$B$5:$B$604,$A299,'LỆNH ĐIỀU XE'!$C$5:$C$604,$B299))*1440,0)))</f>
        <v/>
      </c>
      <c r="AJ299" s="16" t="str">
        <f>IF($A299="","",IF(OR(AI299="",V299=""),"Thiếu dữ liệu",IF(AND(AI299&lt;='THAM SỐ'!$B$29,ABS(V299)&lt;='THAM SỐ'!$B$28),"Đạt","Không đạt")))</f>
        <v/>
      </c>
      <c r="AK299" s="16" t="str">
        <f t="shared" si="48"/>
        <v/>
      </c>
      <c r="AL299" s="16" t="str">
        <f>IF($A299="","",TRIM(IF(T299=0,"Không có lệnh; ","")&amp;IF(N(N299)&gt;0,"Dừng ngoài lệnh; ","")&amp;IF(N(J299)&gt;0,"Quá tốc độ; ","")&amp;IF(N(K299)&gt;0,"Lái quá 4h; ","")&amp;IF(N(L299)&gt;0,"Không tắt máy; ","")&amp;IF(OR(P299&lt;&gt;"Đủ",Q299&lt;&gt;"Đủ",R299&lt;&gt;"Đủ"),"Thiếu ảnh; ","")&amp;IF(S299&lt;&gt;"Đạt","Lốp chưa đạt; ","")&amp;IF(N(W299)&gt;'THAM SỐ'!$B$27,"Có mặt quá giờ; ","")&amp;IF(N(X299)&gt;'THAM SỐ'!$B$25,"Lái quá giờ ngày; ","")&amp;IF(ISNUMBER(V299),IF(ABS(V299)&gt;'THAM SỐ'!$B$28,"Lệch km; ",""),"")))</f>
        <v/>
      </c>
      <c r="AM299" s="29"/>
      <c r="AN299" s="30"/>
      <c r="AO299" s="28" t="str">
        <f t="shared" si="49"/>
        <v/>
      </c>
      <c r="AP299" s="21" t="str">
        <f>IF(OR($A299="",AO299=""),"",IF(AG299=0,0,ROUND((AC299*'THAM SỐ'!$B$18+AD299*'THAM SỐ'!$B$19+AE299*'THAM SỐ'!$B$20+AF299*'THAM SỐ'!$B$21)*MIN(1,AO299/AG299),0)))</f>
        <v/>
      </c>
      <c r="AQ299" s="18"/>
    </row>
    <row r="300" spans="1:43" x14ac:dyDescent="0.45">
      <c r="A300" s="17"/>
      <c r="B300" s="18"/>
      <c r="C300" s="18"/>
      <c r="D300" s="25"/>
      <c r="E300" s="26"/>
      <c r="F300" s="26"/>
      <c r="G300" s="20"/>
      <c r="H300" s="20"/>
      <c r="I300" s="18"/>
      <c r="J300" s="18"/>
      <c r="K300" s="18"/>
      <c r="L300" s="18"/>
      <c r="M300" s="18"/>
      <c r="N300" s="18"/>
      <c r="O300" s="18"/>
      <c r="P300" s="18"/>
      <c r="Q300" s="18"/>
      <c r="R300" s="18"/>
      <c r="S300" s="18"/>
      <c r="T300" s="16" t="str">
        <f>IF($A300="","",COUNTIFS('LỆNH ĐIỀU XE'!$B$5:$B$604,$A300,'LỆNH ĐIỀU XE'!$C$5:$C$604,$B300))</f>
        <v/>
      </c>
      <c r="U300" s="27" t="str">
        <f>IF($A300="","",SUMIFS('LỆNH ĐIỀU XE'!$J$5:$J$604,'LỆNH ĐIỀU XE'!$B$5:$B$604,$A300,'LỆNH ĐIỀU XE'!$C$5:$C$604,$B300))</f>
        <v/>
      </c>
      <c r="V300" s="22" t="str">
        <f t="shared" si="40"/>
        <v/>
      </c>
      <c r="W300" s="28" t="str">
        <f t="shared" si="41"/>
        <v/>
      </c>
      <c r="X300" s="28" t="str">
        <f t="shared" si="42"/>
        <v/>
      </c>
      <c r="Y300" s="28" t="str">
        <f t="shared" si="43"/>
        <v/>
      </c>
      <c r="Z300" s="22" t="str">
        <f t="shared" si="44"/>
        <v/>
      </c>
      <c r="AA300" s="28" t="str">
        <f t="shared" si="45"/>
        <v/>
      </c>
      <c r="AB300" s="28" t="str">
        <f t="shared" si="46"/>
        <v/>
      </c>
      <c r="AC300" s="28" t="str">
        <f>IF($A300="","",SUMIFS('CHẶNG TĂNG CA'!$E$5:$E$304,'CHẶNG TĂNG CA'!$A$5:$A$304,$A300,'CHẶNG TĂNG CA'!$B$5:$B$304,$B300))</f>
        <v/>
      </c>
      <c r="AD300" s="28" t="str">
        <f>IF($A300="","",SUMIFS('CHẶNG TĂNG CA'!$F$5:$F$304,'CHẶNG TĂNG CA'!$A$5:$A$304,$A300,'CHẶNG TĂNG CA'!$B$5:$B$304,$B300))</f>
        <v/>
      </c>
      <c r="AE300" s="28" t="str">
        <f>IF($A300="","",SUMIFS('CHẶNG TĂNG CA'!$G$5:$G$304,'CHẶNG TĂNG CA'!$A$5:$A$304,$A300,'CHẶNG TĂNG CA'!$B$5:$B$304,$B300))</f>
        <v/>
      </c>
      <c r="AF300" s="28" t="str">
        <f>IF($A300="","",SUMIFS('CHẶNG TĂNG CA'!$H$5:$H$304,'CHẶNG TĂNG CA'!$A$5:$A$304,$A300,'CHẶNG TĂNG CA'!$B$5:$B$304,$B300))</f>
        <v/>
      </c>
      <c r="AG300" s="28" t="str">
        <f t="shared" si="47"/>
        <v/>
      </c>
      <c r="AH300" s="16" t="str">
        <f>IF($A300="","",IF(COUNTIFS('LỆNH ĐIỀU XE'!$B$5:$B$604,$A300,'LỆNH ĐIỀU XE'!$C$5:$C$604,$B300,'LỆNH ĐIỀU XE'!$N$5:$N$604,"Có")&gt;0,"Có","Không"))</f>
        <v/>
      </c>
      <c r="AI300" s="16" t="str">
        <f>IF(OR($A300="",H300="",N(T300)=0),"",IF(_xlfn.MAXIFS('LỆNH ĐIỀU XE'!$U$5:$U$604,'LỆNH ĐIỀU XE'!$B$5:$B$604,$A300,'LỆNH ĐIỀU XE'!$C$5:$C$604,$B300)=0,"",ROUND((H300+(H300&lt;4/24)-_xlfn.MAXIFS('LỆNH ĐIỀU XE'!$U$5:$U$604,'LỆNH ĐIỀU XE'!$B$5:$B$604,$A300,'LỆNH ĐIỀU XE'!$C$5:$C$604,$B300))*1440,0)))</f>
        <v/>
      </c>
      <c r="AJ300" s="16" t="str">
        <f>IF($A300="","",IF(OR(AI300="",V300=""),"Thiếu dữ liệu",IF(AND(AI300&lt;='THAM SỐ'!$B$29,ABS(V300)&lt;='THAM SỐ'!$B$28),"Đạt","Không đạt")))</f>
        <v/>
      </c>
      <c r="AK300" s="16" t="str">
        <f t="shared" si="48"/>
        <v/>
      </c>
      <c r="AL300" s="16" t="str">
        <f>IF($A300="","",TRIM(IF(T300=0,"Không có lệnh; ","")&amp;IF(N(N300)&gt;0,"Dừng ngoài lệnh; ","")&amp;IF(N(J300)&gt;0,"Quá tốc độ; ","")&amp;IF(N(K300)&gt;0,"Lái quá 4h; ","")&amp;IF(N(L300)&gt;0,"Không tắt máy; ","")&amp;IF(OR(P300&lt;&gt;"Đủ",Q300&lt;&gt;"Đủ",R300&lt;&gt;"Đủ"),"Thiếu ảnh; ","")&amp;IF(S300&lt;&gt;"Đạt","Lốp chưa đạt; ","")&amp;IF(N(W300)&gt;'THAM SỐ'!$B$27,"Có mặt quá giờ; ","")&amp;IF(N(X300)&gt;'THAM SỐ'!$B$25,"Lái quá giờ ngày; ","")&amp;IF(ISNUMBER(V300),IF(ABS(V300)&gt;'THAM SỐ'!$B$28,"Lệch km; ",""),"")))</f>
        <v/>
      </c>
      <c r="AM300" s="29"/>
      <c r="AN300" s="30"/>
      <c r="AO300" s="28" t="str">
        <f t="shared" si="49"/>
        <v/>
      </c>
      <c r="AP300" s="21" t="str">
        <f>IF(OR($A300="",AO300=""),"",IF(AG300=0,0,ROUND((AC300*'THAM SỐ'!$B$18+AD300*'THAM SỐ'!$B$19+AE300*'THAM SỐ'!$B$20+AF300*'THAM SỐ'!$B$21)*MIN(1,AO300/AG300),0)))</f>
        <v/>
      </c>
      <c r="AQ300" s="18"/>
    </row>
    <row r="301" spans="1:43" x14ac:dyDescent="0.45">
      <c r="A301" s="17"/>
      <c r="B301" s="18"/>
      <c r="C301" s="18"/>
      <c r="D301" s="25"/>
      <c r="E301" s="26"/>
      <c r="F301" s="26"/>
      <c r="G301" s="20"/>
      <c r="H301" s="20"/>
      <c r="I301" s="18"/>
      <c r="J301" s="18"/>
      <c r="K301" s="18"/>
      <c r="L301" s="18"/>
      <c r="M301" s="18"/>
      <c r="N301" s="18"/>
      <c r="O301" s="18"/>
      <c r="P301" s="18"/>
      <c r="Q301" s="18"/>
      <c r="R301" s="18"/>
      <c r="S301" s="18"/>
      <c r="T301" s="16" t="str">
        <f>IF($A301="","",COUNTIFS('LỆNH ĐIỀU XE'!$B$5:$B$604,$A301,'LỆNH ĐIỀU XE'!$C$5:$C$604,$B301))</f>
        <v/>
      </c>
      <c r="U301" s="27" t="str">
        <f>IF($A301="","",SUMIFS('LỆNH ĐIỀU XE'!$J$5:$J$604,'LỆNH ĐIỀU XE'!$B$5:$B$604,$A301,'LỆNH ĐIỀU XE'!$C$5:$C$604,$B301))</f>
        <v/>
      </c>
      <c r="V301" s="22" t="str">
        <f t="shared" si="40"/>
        <v/>
      </c>
      <c r="W301" s="28" t="str">
        <f t="shared" si="41"/>
        <v/>
      </c>
      <c r="X301" s="28" t="str">
        <f t="shared" si="42"/>
        <v/>
      </c>
      <c r="Y301" s="28" t="str">
        <f t="shared" si="43"/>
        <v/>
      </c>
      <c r="Z301" s="22" t="str">
        <f t="shared" si="44"/>
        <v/>
      </c>
      <c r="AA301" s="28" t="str">
        <f t="shared" si="45"/>
        <v/>
      </c>
      <c r="AB301" s="28" t="str">
        <f t="shared" si="46"/>
        <v/>
      </c>
      <c r="AC301" s="28" t="str">
        <f>IF($A301="","",SUMIFS('CHẶNG TĂNG CA'!$E$5:$E$304,'CHẶNG TĂNG CA'!$A$5:$A$304,$A301,'CHẶNG TĂNG CA'!$B$5:$B$304,$B301))</f>
        <v/>
      </c>
      <c r="AD301" s="28" t="str">
        <f>IF($A301="","",SUMIFS('CHẶNG TĂNG CA'!$F$5:$F$304,'CHẶNG TĂNG CA'!$A$5:$A$304,$A301,'CHẶNG TĂNG CA'!$B$5:$B$304,$B301))</f>
        <v/>
      </c>
      <c r="AE301" s="28" t="str">
        <f>IF($A301="","",SUMIFS('CHẶNG TĂNG CA'!$G$5:$G$304,'CHẶNG TĂNG CA'!$A$5:$A$304,$A301,'CHẶNG TĂNG CA'!$B$5:$B$304,$B301))</f>
        <v/>
      </c>
      <c r="AF301" s="28" t="str">
        <f>IF($A301="","",SUMIFS('CHẶNG TĂNG CA'!$H$5:$H$304,'CHẶNG TĂNG CA'!$A$5:$A$304,$A301,'CHẶNG TĂNG CA'!$B$5:$B$304,$B301))</f>
        <v/>
      </c>
      <c r="AG301" s="28" t="str">
        <f t="shared" si="47"/>
        <v/>
      </c>
      <c r="AH301" s="16" t="str">
        <f>IF($A301="","",IF(COUNTIFS('LỆNH ĐIỀU XE'!$B$5:$B$604,$A301,'LỆNH ĐIỀU XE'!$C$5:$C$604,$B301,'LỆNH ĐIỀU XE'!$N$5:$N$604,"Có")&gt;0,"Có","Không"))</f>
        <v/>
      </c>
      <c r="AI301" s="16" t="str">
        <f>IF(OR($A301="",H301="",N(T301)=0),"",IF(_xlfn.MAXIFS('LỆNH ĐIỀU XE'!$U$5:$U$604,'LỆNH ĐIỀU XE'!$B$5:$B$604,$A301,'LỆNH ĐIỀU XE'!$C$5:$C$604,$B301)=0,"",ROUND((H301+(H301&lt;4/24)-_xlfn.MAXIFS('LỆNH ĐIỀU XE'!$U$5:$U$604,'LỆNH ĐIỀU XE'!$B$5:$B$604,$A301,'LỆNH ĐIỀU XE'!$C$5:$C$604,$B301))*1440,0)))</f>
        <v/>
      </c>
      <c r="AJ301" s="16" t="str">
        <f>IF($A301="","",IF(OR(AI301="",V301=""),"Thiếu dữ liệu",IF(AND(AI301&lt;='THAM SỐ'!$B$29,ABS(V301)&lt;='THAM SỐ'!$B$28),"Đạt","Không đạt")))</f>
        <v/>
      </c>
      <c r="AK301" s="16" t="str">
        <f t="shared" si="48"/>
        <v/>
      </c>
      <c r="AL301" s="16" t="str">
        <f>IF($A301="","",TRIM(IF(T301=0,"Không có lệnh; ","")&amp;IF(N(N301)&gt;0,"Dừng ngoài lệnh; ","")&amp;IF(N(J301)&gt;0,"Quá tốc độ; ","")&amp;IF(N(K301)&gt;0,"Lái quá 4h; ","")&amp;IF(N(L301)&gt;0,"Không tắt máy; ","")&amp;IF(OR(P301&lt;&gt;"Đủ",Q301&lt;&gt;"Đủ",R301&lt;&gt;"Đủ"),"Thiếu ảnh; ","")&amp;IF(S301&lt;&gt;"Đạt","Lốp chưa đạt; ","")&amp;IF(N(W301)&gt;'THAM SỐ'!$B$27,"Có mặt quá giờ; ","")&amp;IF(N(X301)&gt;'THAM SỐ'!$B$25,"Lái quá giờ ngày; ","")&amp;IF(ISNUMBER(V301),IF(ABS(V301)&gt;'THAM SỐ'!$B$28,"Lệch km; ",""),"")))</f>
        <v/>
      </c>
      <c r="AM301" s="29"/>
      <c r="AN301" s="30"/>
      <c r="AO301" s="28" t="str">
        <f t="shared" si="49"/>
        <v/>
      </c>
      <c r="AP301" s="21" t="str">
        <f>IF(OR($A301="",AO301=""),"",IF(AG301=0,0,ROUND((AC301*'THAM SỐ'!$B$18+AD301*'THAM SỐ'!$B$19+AE301*'THAM SỐ'!$B$20+AF301*'THAM SỐ'!$B$21)*MIN(1,AO301/AG301),0)))</f>
        <v/>
      </c>
      <c r="AQ301" s="18"/>
    </row>
    <row r="302" spans="1:43" x14ac:dyDescent="0.45">
      <c r="A302" s="17"/>
      <c r="B302" s="18"/>
      <c r="C302" s="18"/>
      <c r="D302" s="25"/>
      <c r="E302" s="26"/>
      <c r="F302" s="26"/>
      <c r="G302" s="20"/>
      <c r="H302" s="20"/>
      <c r="I302" s="18"/>
      <c r="J302" s="18"/>
      <c r="K302" s="18"/>
      <c r="L302" s="18"/>
      <c r="M302" s="18"/>
      <c r="N302" s="18"/>
      <c r="O302" s="18"/>
      <c r="P302" s="18"/>
      <c r="Q302" s="18"/>
      <c r="R302" s="18"/>
      <c r="S302" s="18"/>
      <c r="T302" s="16" t="str">
        <f>IF($A302="","",COUNTIFS('LỆNH ĐIỀU XE'!$B$5:$B$604,$A302,'LỆNH ĐIỀU XE'!$C$5:$C$604,$B302))</f>
        <v/>
      </c>
      <c r="U302" s="27" t="str">
        <f>IF($A302="","",SUMIFS('LỆNH ĐIỀU XE'!$J$5:$J$604,'LỆNH ĐIỀU XE'!$B$5:$B$604,$A302,'LỆNH ĐIỀU XE'!$C$5:$C$604,$B302))</f>
        <v/>
      </c>
      <c r="V302" s="22" t="str">
        <f t="shared" si="40"/>
        <v/>
      </c>
      <c r="W302" s="28" t="str">
        <f t="shared" si="41"/>
        <v/>
      </c>
      <c r="X302" s="28" t="str">
        <f t="shared" si="42"/>
        <v/>
      </c>
      <c r="Y302" s="28" t="str">
        <f t="shared" si="43"/>
        <v/>
      </c>
      <c r="Z302" s="22" t="str">
        <f t="shared" si="44"/>
        <v/>
      </c>
      <c r="AA302" s="28" t="str">
        <f t="shared" si="45"/>
        <v/>
      </c>
      <c r="AB302" s="28" t="str">
        <f t="shared" si="46"/>
        <v/>
      </c>
      <c r="AC302" s="28" t="str">
        <f>IF($A302="","",SUMIFS('CHẶNG TĂNG CA'!$E$5:$E$304,'CHẶNG TĂNG CA'!$A$5:$A$304,$A302,'CHẶNG TĂNG CA'!$B$5:$B$304,$B302))</f>
        <v/>
      </c>
      <c r="AD302" s="28" t="str">
        <f>IF($A302="","",SUMIFS('CHẶNG TĂNG CA'!$F$5:$F$304,'CHẶNG TĂNG CA'!$A$5:$A$304,$A302,'CHẶNG TĂNG CA'!$B$5:$B$304,$B302))</f>
        <v/>
      </c>
      <c r="AE302" s="28" t="str">
        <f>IF($A302="","",SUMIFS('CHẶNG TĂNG CA'!$G$5:$G$304,'CHẶNG TĂNG CA'!$A$5:$A$304,$A302,'CHẶNG TĂNG CA'!$B$5:$B$304,$B302))</f>
        <v/>
      </c>
      <c r="AF302" s="28" t="str">
        <f>IF($A302="","",SUMIFS('CHẶNG TĂNG CA'!$H$5:$H$304,'CHẶNG TĂNG CA'!$A$5:$A$304,$A302,'CHẶNG TĂNG CA'!$B$5:$B$304,$B302))</f>
        <v/>
      </c>
      <c r="AG302" s="28" t="str">
        <f t="shared" si="47"/>
        <v/>
      </c>
      <c r="AH302" s="16" t="str">
        <f>IF($A302="","",IF(COUNTIFS('LỆNH ĐIỀU XE'!$B$5:$B$604,$A302,'LỆNH ĐIỀU XE'!$C$5:$C$604,$B302,'LỆNH ĐIỀU XE'!$N$5:$N$604,"Có")&gt;0,"Có","Không"))</f>
        <v/>
      </c>
      <c r="AI302" s="16" t="str">
        <f>IF(OR($A302="",H302="",N(T302)=0),"",IF(_xlfn.MAXIFS('LỆNH ĐIỀU XE'!$U$5:$U$604,'LỆNH ĐIỀU XE'!$B$5:$B$604,$A302,'LỆNH ĐIỀU XE'!$C$5:$C$604,$B302)=0,"",ROUND((H302+(H302&lt;4/24)-_xlfn.MAXIFS('LỆNH ĐIỀU XE'!$U$5:$U$604,'LỆNH ĐIỀU XE'!$B$5:$B$604,$A302,'LỆNH ĐIỀU XE'!$C$5:$C$604,$B302))*1440,0)))</f>
        <v/>
      </c>
      <c r="AJ302" s="16" t="str">
        <f>IF($A302="","",IF(OR(AI302="",V302=""),"Thiếu dữ liệu",IF(AND(AI302&lt;='THAM SỐ'!$B$29,ABS(V302)&lt;='THAM SỐ'!$B$28),"Đạt","Không đạt")))</f>
        <v/>
      </c>
      <c r="AK302" s="16" t="str">
        <f t="shared" si="48"/>
        <v/>
      </c>
      <c r="AL302" s="16" t="str">
        <f>IF($A302="","",TRIM(IF(T302=0,"Không có lệnh; ","")&amp;IF(N(N302)&gt;0,"Dừng ngoài lệnh; ","")&amp;IF(N(J302)&gt;0,"Quá tốc độ; ","")&amp;IF(N(K302)&gt;0,"Lái quá 4h; ","")&amp;IF(N(L302)&gt;0,"Không tắt máy; ","")&amp;IF(OR(P302&lt;&gt;"Đủ",Q302&lt;&gt;"Đủ",R302&lt;&gt;"Đủ"),"Thiếu ảnh; ","")&amp;IF(S302&lt;&gt;"Đạt","Lốp chưa đạt; ","")&amp;IF(N(W302)&gt;'THAM SỐ'!$B$27,"Có mặt quá giờ; ","")&amp;IF(N(X302)&gt;'THAM SỐ'!$B$25,"Lái quá giờ ngày; ","")&amp;IF(ISNUMBER(V302),IF(ABS(V302)&gt;'THAM SỐ'!$B$28,"Lệch km; ",""),"")))</f>
        <v/>
      </c>
      <c r="AM302" s="29"/>
      <c r="AN302" s="30"/>
      <c r="AO302" s="28" t="str">
        <f t="shared" si="49"/>
        <v/>
      </c>
      <c r="AP302" s="21" t="str">
        <f>IF(OR($A302="",AO302=""),"",IF(AG302=0,0,ROUND((AC302*'THAM SỐ'!$B$18+AD302*'THAM SỐ'!$B$19+AE302*'THAM SỐ'!$B$20+AF302*'THAM SỐ'!$B$21)*MIN(1,AO302/AG302),0)))</f>
        <v/>
      </c>
      <c r="AQ302" s="18"/>
    </row>
    <row r="303" spans="1:43" x14ac:dyDescent="0.45">
      <c r="A303" s="17"/>
      <c r="B303" s="18"/>
      <c r="C303" s="18"/>
      <c r="D303" s="25"/>
      <c r="E303" s="26"/>
      <c r="F303" s="26"/>
      <c r="G303" s="20"/>
      <c r="H303" s="20"/>
      <c r="I303" s="18"/>
      <c r="J303" s="18"/>
      <c r="K303" s="18"/>
      <c r="L303" s="18"/>
      <c r="M303" s="18"/>
      <c r="N303" s="18"/>
      <c r="O303" s="18"/>
      <c r="P303" s="18"/>
      <c r="Q303" s="18"/>
      <c r="R303" s="18"/>
      <c r="S303" s="18"/>
      <c r="T303" s="16" t="str">
        <f>IF($A303="","",COUNTIFS('LỆNH ĐIỀU XE'!$B$5:$B$604,$A303,'LỆNH ĐIỀU XE'!$C$5:$C$604,$B303))</f>
        <v/>
      </c>
      <c r="U303" s="27" t="str">
        <f>IF($A303="","",SUMIFS('LỆNH ĐIỀU XE'!$J$5:$J$604,'LỆNH ĐIỀU XE'!$B$5:$B$604,$A303,'LỆNH ĐIỀU XE'!$C$5:$C$604,$B303))</f>
        <v/>
      </c>
      <c r="V303" s="22" t="str">
        <f t="shared" si="40"/>
        <v/>
      </c>
      <c r="W303" s="28" t="str">
        <f t="shared" si="41"/>
        <v/>
      </c>
      <c r="X303" s="28" t="str">
        <f t="shared" si="42"/>
        <v/>
      </c>
      <c r="Y303" s="28" t="str">
        <f t="shared" si="43"/>
        <v/>
      </c>
      <c r="Z303" s="22" t="str">
        <f t="shared" si="44"/>
        <v/>
      </c>
      <c r="AA303" s="28" t="str">
        <f t="shared" si="45"/>
        <v/>
      </c>
      <c r="AB303" s="28" t="str">
        <f t="shared" si="46"/>
        <v/>
      </c>
      <c r="AC303" s="28" t="str">
        <f>IF($A303="","",SUMIFS('CHẶNG TĂNG CA'!$E$5:$E$304,'CHẶNG TĂNG CA'!$A$5:$A$304,$A303,'CHẶNG TĂNG CA'!$B$5:$B$304,$B303))</f>
        <v/>
      </c>
      <c r="AD303" s="28" t="str">
        <f>IF($A303="","",SUMIFS('CHẶNG TĂNG CA'!$F$5:$F$304,'CHẶNG TĂNG CA'!$A$5:$A$304,$A303,'CHẶNG TĂNG CA'!$B$5:$B$304,$B303))</f>
        <v/>
      </c>
      <c r="AE303" s="28" t="str">
        <f>IF($A303="","",SUMIFS('CHẶNG TĂNG CA'!$G$5:$G$304,'CHẶNG TĂNG CA'!$A$5:$A$304,$A303,'CHẶNG TĂNG CA'!$B$5:$B$304,$B303))</f>
        <v/>
      </c>
      <c r="AF303" s="28" t="str">
        <f>IF($A303="","",SUMIFS('CHẶNG TĂNG CA'!$H$5:$H$304,'CHẶNG TĂNG CA'!$A$5:$A$304,$A303,'CHẶNG TĂNG CA'!$B$5:$B$304,$B303))</f>
        <v/>
      </c>
      <c r="AG303" s="28" t="str">
        <f t="shared" si="47"/>
        <v/>
      </c>
      <c r="AH303" s="16" t="str">
        <f>IF($A303="","",IF(COUNTIFS('LỆNH ĐIỀU XE'!$B$5:$B$604,$A303,'LỆNH ĐIỀU XE'!$C$5:$C$604,$B303,'LỆNH ĐIỀU XE'!$N$5:$N$604,"Có")&gt;0,"Có","Không"))</f>
        <v/>
      </c>
      <c r="AI303" s="16" t="str">
        <f>IF(OR($A303="",H303="",N(T303)=0),"",IF(_xlfn.MAXIFS('LỆNH ĐIỀU XE'!$U$5:$U$604,'LỆNH ĐIỀU XE'!$B$5:$B$604,$A303,'LỆNH ĐIỀU XE'!$C$5:$C$604,$B303)=0,"",ROUND((H303+(H303&lt;4/24)-_xlfn.MAXIFS('LỆNH ĐIỀU XE'!$U$5:$U$604,'LỆNH ĐIỀU XE'!$B$5:$B$604,$A303,'LỆNH ĐIỀU XE'!$C$5:$C$604,$B303))*1440,0)))</f>
        <v/>
      </c>
      <c r="AJ303" s="16" t="str">
        <f>IF($A303="","",IF(OR(AI303="",V303=""),"Thiếu dữ liệu",IF(AND(AI303&lt;='THAM SỐ'!$B$29,ABS(V303)&lt;='THAM SỐ'!$B$28),"Đạt","Không đạt")))</f>
        <v/>
      </c>
      <c r="AK303" s="16" t="str">
        <f t="shared" si="48"/>
        <v/>
      </c>
      <c r="AL303" s="16" t="str">
        <f>IF($A303="","",TRIM(IF(T303=0,"Không có lệnh; ","")&amp;IF(N(N303)&gt;0,"Dừng ngoài lệnh; ","")&amp;IF(N(J303)&gt;0,"Quá tốc độ; ","")&amp;IF(N(K303)&gt;0,"Lái quá 4h; ","")&amp;IF(N(L303)&gt;0,"Không tắt máy; ","")&amp;IF(OR(P303&lt;&gt;"Đủ",Q303&lt;&gt;"Đủ",R303&lt;&gt;"Đủ"),"Thiếu ảnh; ","")&amp;IF(S303&lt;&gt;"Đạt","Lốp chưa đạt; ","")&amp;IF(N(W303)&gt;'THAM SỐ'!$B$27,"Có mặt quá giờ; ","")&amp;IF(N(X303)&gt;'THAM SỐ'!$B$25,"Lái quá giờ ngày; ","")&amp;IF(ISNUMBER(V303),IF(ABS(V303)&gt;'THAM SỐ'!$B$28,"Lệch km; ",""),"")))</f>
        <v/>
      </c>
      <c r="AM303" s="29"/>
      <c r="AN303" s="30"/>
      <c r="AO303" s="28" t="str">
        <f t="shared" si="49"/>
        <v/>
      </c>
      <c r="AP303" s="21" t="str">
        <f>IF(OR($A303="",AO303=""),"",IF(AG303=0,0,ROUND((AC303*'THAM SỐ'!$B$18+AD303*'THAM SỐ'!$B$19+AE303*'THAM SỐ'!$B$20+AF303*'THAM SỐ'!$B$21)*MIN(1,AO303/AG303),0)))</f>
        <v/>
      </c>
      <c r="AQ303" s="18"/>
    </row>
    <row r="304" spans="1:43" x14ac:dyDescent="0.45">
      <c r="A304" s="17"/>
      <c r="B304" s="18"/>
      <c r="C304" s="18"/>
      <c r="D304" s="25"/>
      <c r="E304" s="26"/>
      <c r="F304" s="26"/>
      <c r="G304" s="20"/>
      <c r="H304" s="20"/>
      <c r="I304" s="18"/>
      <c r="J304" s="18"/>
      <c r="K304" s="18"/>
      <c r="L304" s="18"/>
      <c r="M304" s="18"/>
      <c r="N304" s="18"/>
      <c r="O304" s="18"/>
      <c r="P304" s="18"/>
      <c r="Q304" s="18"/>
      <c r="R304" s="18"/>
      <c r="S304" s="18"/>
      <c r="T304" s="16" t="str">
        <f>IF($A304="","",COUNTIFS('LỆNH ĐIỀU XE'!$B$5:$B$604,$A304,'LỆNH ĐIỀU XE'!$C$5:$C$604,$B304))</f>
        <v/>
      </c>
      <c r="U304" s="27" t="str">
        <f>IF($A304="","",SUMIFS('LỆNH ĐIỀU XE'!$J$5:$J$604,'LỆNH ĐIỀU XE'!$B$5:$B$604,$A304,'LỆNH ĐIỀU XE'!$C$5:$C$604,$B304))</f>
        <v/>
      </c>
      <c r="V304" s="22" t="str">
        <f t="shared" si="40"/>
        <v/>
      </c>
      <c r="W304" s="28" t="str">
        <f t="shared" si="41"/>
        <v/>
      </c>
      <c r="X304" s="28" t="str">
        <f t="shared" si="42"/>
        <v/>
      </c>
      <c r="Y304" s="28" t="str">
        <f t="shared" si="43"/>
        <v/>
      </c>
      <c r="Z304" s="22" t="str">
        <f t="shared" si="44"/>
        <v/>
      </c>
      <c r="AA304" s="28" t="str">
        <f t="shared" si="45"/>
        <v/>
      </c>
      <c r="AB304" s="28" t="str">
        <f t="shared" si="46"/>
        <v/>
      </c>
      <c r="AC304" s="28" t="str">
        <f>IF($A304="","",SUMIFS('CHẶNG TĂNG CA'!$E$5:$E$304,'CHẶNG TĂNG CA'!$A$5:$A$304,$A304,'CHẶNG TĂNG CA'!$B$5:$B$304,$B304))</f>
        <v/>
      </c>
      <c r="AD304" s="28" t="str">
        <f>IF($A304="","",SUMIFS('CHẶNG TĂNG CA'!$F$5:$F$304,'CHẶNG TĂNG CA'!$A$5:$A$304,$A304,'CHẶNG TĂNG CA'!$B$5:$B$304,$B304))</f>
        <v/>
      </c>
      <c r="AE304" s="28" t="str">
        <f>IF($A304="","",SUMIFS('CHẶNG TĂNG CA'!$G$5:$G$304,'CHẶNG TĂNG CA'!$A$5:$A$304,$A304,'CHẶNG TĂNG CA'!$B$5:$B$304,$B304))</f>
        <v/>
      </c>
      <c r="AF304" s="28" t="str">
        <f>IF($A304="","",SUMIFS('CHẶNG TĂNG CA'!$H$5:$H$304,'CHẶNG TĂNG CA'!$A$5:$A$304,$A304,'CHẶNG TĂNG CA'!$B$5:$B$304,$B304))</f>
        <v/>
      </c>
      <c r="AG304" s="28" t="str">
        <f t="shared" si="47"/>
        <v/>
      </c>
      <c r="AH304" s="16" t="str">
        <f>IF($A304="","",IF(COUNTIFS('LỆNH ĐIỀU XE'!$B$5:$B$604,$A304,'LỆNH ĐIỀU XE'!$C$5:$C$604,$B304,'LỆNH ĐIỀU XE'!$N$5:$N$604,"Có")&gt;0,"Có","Không"))</f>
        <v/>
      </c>
      <c r="AI304" s="16" t="str">
        <f>IF(OR($A304="",H304="",N(T304)=0),"",IF(_xlfn.MAXIFS('LỆNH ĐIỀU XE'!$U$5:$U$604,'LỆNH ĐIỀU XE'!$B$5:$B$604,$A304,'LỆNH ĐIỀU XE'!$C$5:$C$604,$B304)=0,"",ROUND((H304+(H304&lt;4/24)-_xlfn.MAXIFS('LỆNH ĐIỀU XE'!$U$5:$U$604,'LỆNH ĐIỀU XE'!$B$5:$B$604,$A304,'LỆNH ĐIỀU XE'!$C$5:$C$604,$B304))*1440,0)))</f>
        <v/>
      </c>
      <c r="AJ304" s="16" t="str">
        <f>IF($A304="","",IF(OR(AI304="",V304=""),"Thiếu dữ liệu",IF(AND(AI304&lt;='THAM SỐ'!$B$29,ABS(V304)&lt;='THAM SỐ'!$B$28),"Đạt","Không đạt")))</f>
        <v/>
      </c>
      <c r="AK304" s="16" t="str">
        <f t="shared" si="48"/>
        <v/>
      </c>
      <c r="AL304" s="16" t="str">
        <f>IF($A304="","",TRIM(IF(T304=0,"Không có lệnh; ","")&amp;IF(N(N304)&gt;0,"Dừng ngoài lệnh; ","")&amp;IF(N(J304)&gt;0,"Quá tốc độ; ","")&amp;IF(N(K304)&gt;0,"Lái quá 4h; ","")&amp;IF(N(L304)&gt;0,"Không tắt máy; ","")&amp;IF(OR(P304&lt;&gt;"Đủ",Q304&lt;&gt;"Đủ",R304&lt;&gt;"Đủ"),"Thiếu ảnh; ","")&amp;IF(S304&lt;&gt;"Đạt","Lốp chưa đạt; ","")&amp;IF(N(W304)&gt;'THAM SỐ'!$B$27,"Có mặt quá giờ; ","")&amp;IF(N(X304)&gt;'THAM SỐ'!$B$25,"Lái quá giờ ngày; ","")&amp;IF(ISNUMBER(V304),IF(ABS(V304)&gt;'THAM SỐ'!$B$28,"Lệch km; ",""),"")))</f>
        <v/>
      </c>
      <c r="AM304" s="29"/>
      <c r="AN304" s="30"/>
      <c r="AO304" s="28" t="str">
        <f t="shared" si="49"/>
        <v/>
      </c>
      <c r="AP304" s="21" t="str">
        <f>IF(OR($A304="",AO304=""),"",IF(AG304=0,0,ROUND((AC304*'THAM SỐ'!$B$18+AD304*'THAM SỐ'!$B$19+AE304*'THAM SỐ'!$B$20+AF304*'THAM SỐ'!$B$21)*MIN(1,AO304/AG304),0)))</f>
        <v/>
      </c>
      <c r="AQ304" s="18"/>
    </row>
    <row r="305" spans="1:43" x14ac:dyDescent="0.45">
      <c r="A305" s="17"/>
      <c r="B305" s="18"/>
      <c r="C305" s="18"/>
      <c r="D305" s="25"/>
      <c r="E305" s="26"/>
      <c r="F305" s="26"/>
      <c r="G305" s="20"/>
      <c r="H305" s="20"/>
      <c r="I305" s="18"/>
      <c r="J305" s="18"/>
      <c r="K305" s="18"/>
      <c r="L305" s="18"/>
      <c r="M305" s="18"/>
      <c r="N305" s="18"/>
      <c r="O305" s="18"/>
      <c r="P305" s="18"/>
      <c r="Q305" s="18"/>
      <c r="R305" s="18"/>
      <c r="S305" s="18"/>
      <c r="T305" s="16" t="str">
        <f>IF($A305="","",COUNTIFS('LỆNH ĐIỀU XE'!$B$5:$B$604,$A305,'LỆNH ĐIỀU XE'!$C$5:$C$604,$B305))</f>
        <v/>
      </c>
      <c r="U305" s="27" t="str">
        <f>IF($A305="","",SUMIFS('LỆNH ĐIỀU XE'!$J$5:$J$604,'LỆNH ĐIỀU XE'!$B$5:$B$604,$A305,'LỆNH ĐIỀU XE'!$C$5:$C$604,$B305))</f>
        <v/>
      </c>
      <c r="V305" s="22" t="str">
        <f t="shared" si="40"/>
        <v/>
      </c>
      <c r="W305" s="28" t="str">
        <f t="shared" si="41"/>
        <v/>
      </c>
      <c r="X305" s="28" t="str">
        <f t="shared" si="42"/>
        <v/>
      </c>
      <c r="Y305" s="28" t="str">
        <f t="shared" si="43"/>
        <v/>
      </c>
      <c r="Z305" s="22" t="str">
        <f t="shared" si="44"/>
        <v/>
      </c>
      <c r="AA305" s="28" t="str">
        <f t="shared" si="45"/>
        <v/>
      </c>
      <c r="AB305" s="28" t="str">
        <f t="shared" si="46"/>
        <v/>
      </c>
      <c r="AC305" s="28" t="str">
        <f>IF($A305="","",SUMIFS('CHẶNG TĂNG CA'!$E$5:$E$304,'CHẶNG TĂNG CA'!$A$5:$A$304,$A305,'CHẶNG TĂNG CA'!$B$5:$B$304,$B305))</f>
        <v/>
      </c>
      <c r="AD305" s="28" t="str">
        <f>IF($A305="","",SUMIFS('CHẶNG TĂNG CA'!$F$5:$F$304,'CHẶNG TĂNG CA'!$A$5:$A$304,$A305,'CHẶNG TĂNG CA'!$B$5:$B$304,$B305))</f>
        <v/>
      </c>
      <c r="AE305" s="28" t="str">
        <f>IF($A305="","",SUMIFS('CHẶNG TĂNG CA'!$G$5:$G$304,'CHẶNG TĂNG CA'!$A$5:$A$304,$A305,'CHẶNG TĂNG CA'!$B$5:$B$304,$B305))</f>
        <v/>
      </c>
      <c r="AF305" s="28" t="str">
        <f>IF($A305="","",SUMIFS('CHẶNG TĂNG CA'!$H$5:$H$304,'CHẶNG TĂNG CA'!$A$5:$A$304,$A305,'CHẶNG TĂNG CA'!$B$5:$B$304,$B305))</f>
        <v/>
      </c>
      <c r="AG305" s="28" t="str">
        <f t="shared" si="47"/>
        <v/>
      </c>
      <c r="AH305" s="16" t="str">
        <f>IF($A305="","",IF(COUNTIFS('LỆNH ĐIỀU XE'!$B$5:$B$604,$A305,'LỆNH ĐIỀU XE'!$C$5:$C$604,$B305,'LỆNH ĐIỀU XE'!$N$5:$N$604,"Có")&gt;0,"Có","Không"))</f>
        <v/>
      </c>
      <c r="AI305" s="16" t="str">
        <f>IF(OR($A305="",H305="",N(T305)=0),"",IF(_xlfn.MAXIFS('LỆNH ĐIỀU XE'!$U$5:$U$604,'LỆNH ĐIỀU XE'!$B$5:$B$604,$A305,'LỆNH ĐIỀU XE'!$C$5:$C$604,$B305)=0,"",ROUND((H305+(H305&lt;4/24)-_xlfn.MAXIFS('LỆNH ĐIỀU XE'!$U$5:$U$604,'LỆNH ĐIỀU XE'!$B$5:$B$604,$A305,'LỆNH ĐIỀU XE'!$C$5:$C$604,$B305))*1440,0)))</f>
        <v/>
      </c>
      <c r="AJ305" s="16" t="str">
        <f>IF($A305="","",IF(OR(AI305="",V305=""),"Thiếu dữ liệu",IF(AND(AI305&lt;='THAM SỐ'!$B$29,ABS(V305)&lt;='THAM SỐ'!$B$28),"Đạt","Không đạt")))</f>
        <v/>
      </c>
      <c r="AK305" s="16" t="str">
        <f t="shared" si="48"/>
        <v/>
      </c>
      <c r="AL305" s="16" t="str">
        <f>IF($A305="","",TRIM(IF(T305=0,"Không có lệnh; ","")&amp;IF(N(N305)&gt;0,"Dừng ngoài lệnh; ","")&amp;IF(N(J305)&gt;0,"Quá tốc độ; ","")&amp;IF(N(K305)&gt;0,"Lái quá 4h; ","")&amp;IF(N(L305)&gt;0,"Không tắt máy; ","")&amp;IF(OR(P305&lt;&gt;"Đủ",Q305&lt;&gt;"Đủ",R305&lt;&gt;"Đủ"),"Thiếu ảnh; ","")&amp;IF(S305&lt;&gt;"Đạt","Lốp chưa đạt; ","")&amp;IF(N(W305)&gt;'THAM SỐ'!$B$27,"Có mặt quá giờ; ","")&amp;IF(N(X305)&gt;'THAM SỐ'!$B$25,"Lái quá giờ ngày; ","")&amp;IF(ISNUMBER(V305),IF(ABS(V305)&gt;'THAM SỐ'!$B$28,"Lệch km; ",""),"")))</f>
        <v/>
      </c>
      <c r="AM305" s="29"/>
      <c r="AN305" s="30"/>
      <c r="AO305" s="28" t="str">
        <f t="shared" si="49"/>
        <v/>
      </c>
      <c r="AP305" s="21" t="str">
        <f>IF(OR($A305="",AO305=""),"",IF(AG305=0,0,ROUND((AC305*'THAM SỐ'!$B$18+AD305*'THAM SỐ'!$B$19+AE305*'THAM SỐ'!$B$20+AF305*'THAM SỐ'!$B$21)*MIN(1,AO305/AG305),0)))</f>
        <v/>
      </c>
      <c r="AQ305" s="18"/>
    </row>
    <row r="306" spans="1:43" x14ac:dyDescent="0.45">
      <c r="A306" s="17"/>
      <c r="B306" s="18"/>
      <c r="C306" s="18"/>
      <c r="D306" s="25"/>
      <c r="E306" s="26"/>
      <c r="F306" s="26"/>
      <c r="G306" s="20"/>
      <c r="H306" s="20"/>
      <c r="I306" s="18"/>
      <c r="J306" s="18"/>
      <c r="K306" s="18"/>
      <c r="L306" s="18"/>
      <c r="M306" s="18"/>
      <c r="N306" s="18"/>
      <c r="O306" s="18"/>
      <c r="P306" s="18"/>
      <c r="Q306" s="18"/>
      <c r="R306" s="18"/>
      <c r="S306" s="18"/>
      <c r="T306" s="16" t="str">
        <f>IF($A306="","",COUNTIFS('LỆNH ĐIỀU XE'!$B$5:$B$604,$A306,'LỆNH ĐIỀU XE'!$C$5:$C$604,$B306))</f>
        <v/>
      </c>
      <c r="U306" s="27" t="str">
        <f>IF($A306="","",SUMIFS('LỆNH ĐIỀU XE'!$J$5:$J$604,'LỆNH ĐIỀU XE'!$B$5:$B$604,$A306,'LỆNH ĐIỀU XE'!$C$5:$C$604,$B306))</f>
        <v/>
      </c>
      <c r="V306" s="22" t="str">
        <f t="shared" si="40"/>
        <v/>
      </c>
      <c r="W306" s="28" t="str">
        <f t="shared" si="41"/>
        <v/>
      </c>
      <c r="X306" s="28" t="str">
        <f t="shared" si="42"/>
        <v/>
      </c>
      <c r="Y306" s="28" t="str">
        <f t="shared" si="43"/>
        <v/>
      </c>
      <c r="Z306" s="22" t="str">
        <f t="shared" si="44"/>
        <v/>
      </c>
      <c r="AA306" s="28" t="str">
        <f t="shared" si="45"/>
        <v/>
      </c>
      <c r="AB306" s="28" t="str">
        <f t="shared" si="46"/>
        <v/>
      </c>
      <c r="AC306" s="28" t="str">
        <f>IF($A306="","",SUMIFS('CHẶNG TĂNG CA'!$E$5:$E$304,'CHẶNG TĂNG CA'!$A$5:$A$304,$A306,'CHẶNG TĂNG CA'!$B$5:$B$304,$B306))</f>
        <v/>
      </c>
      <c r="AD306" s="28" t="str">
        <f>IF($A306="","",SUMIFS('CHẶNG TĂNG CA'!$F$5:$F$304,'CHẶNG TĂNG CA'!$A$5:$A$304,$A306,'CHẶNG TĂNG CA'!$B$5:$B$304,$B306))</f>
        <v/>
      </c>
      <c r="AE306" s="28" t="str">
        <f>IF($A306="","",SUMIFS('CHẶNG TĂNG CA'!$G$5:$G$304,'CHẶNG TĂNG CA'!$A$5:$A$304,$A306,'CHẶNG TĂNG CA'!$B$5:$B$304,$B306))</f>
        <v/>
      </c>
      <c r="AF306" s="28" t="str">
        <f>IF($A306="","",SUMIFS('CHẶNG TĂNG CA'!$H$5:$H$304,'CHẶNG TĂNG CA'!$A$5:$A$304,$A306,'CHẶNG TĂNG CA'!$B$5:$B$304,$B306))</f>
        <v/>
      </c>
      <c r="AG306" s="28" t="str">
        <f t="shared" si="47"/>
        <v/>
      </c>
      <c r="AH306" s="16" t="str">
        <f>IF($A306="","",IF(COUNTIFS('LỆNH ĐIỀU XE'!$B$5:$B$604,$A306,'LỆNH ĐIỀU XE'!$C$5:$C$604,$B306,'LỆNH ĐIỀU XE'!$N$5:$N$604,"Có")&gt;0,"Có","Không"))</f>
        <v/>
      </c>
      <c r="AI306" s="16" t="str">
        <f>IF(OR($A306="",H306="",N(T306)=0),"",IF(_xlfn.MAXIFS('LỆNH ĐIỀU XE'!$U$5:$U$604,'LỆNH ĐIỀU XE'!$B$5:$B$604,$A306,'LỆNH ĐIỀU XE'!$C$5:$C$604,$B306)=0,"",ROUND((H306+(H306&lt;4/24)-_xlfn.MAXIFS('LỆNH ĐIỀU XE'!$U$5:$U$604,'LỆNH ĐIỀU XE'!$B$5:$B$604,$A306,'LỆNH ĐIỀU XE'!$C$5:$C$604,$B306))*1440,0)))</f>
        <v/>
      </c>
      <c r="AJ306" s="16" t="str">
        <f>IF($A306="","",IF(OR(AI306="",V306=""),"Thiếu dữ liệu",IF(AND(AI306&lt;='THAM SỐ'!$B$29,ABS(V306)&lt;='THAM SỐ'!$B$28),"Đạt","Không đạt")))</f>
        <v/>
      </c>
      <c r="AK306" s="16" t="str">
        <f t="shared" si="48"/>
        <v/>
      </c>
      <c r="AL306" s="16" t="str">
        <f>IF($A306="","",TRIM(IF(T306=0,"Không có lệnh; ","")&amp;IF(N(N306)&gt;0,"Dừng ngoài lệnh; ","")&amp;IF(N(J306)&gt;0,"Quá tốc độ; ","")&amp;IF(N(K306)&gt;0,"Lái quá 4h; ","")&amp;IF(N(L306)&gt;0,"Không tắt máy; ","")&amp;IF(OR(P306&lt;&gt;"Đủ",Q306&lt;&gt;"Đủ",R306&lt;&gt;"Đủ"),"Thiếu ảnh; ","")&amp;IF(S306&lt;&gt;"Đạt","Lốp chưa đạt; ","")&amp;IF(N(W306)&gt;'THAM SỐ'!$B$27,"Có mặt quá giờ; ","")&amp;IF(N(X306)&gt;'THAM SỐ'!$B$25,"Lái quá giờ ngày; ","")&amp;IF(ISNUMBER(V306),IF(ABS(V306)&gt;'THAM SỐ'!$B$28,"Lệch km; ",""),"")))</f>
        <v/>
      </c>
      <c r="AM306" s="29"/>
      <c r="AN306" s="30"/>
      <c r="AO306" s="28" t="str">
        <f t="shared" si="49"/>
        <v/>
      </c>
      <c r="AP306" s="21" t="str">
        <f>IF(OR($A306="",AO306=""),"",IF(AG306=0,0,ROUND((AC306*'THAM SỐ'!$B$18+AD306*'THAM SỐ'!$B$19+AE306*'THAM SỐ'!$B$20+AF306*'THAM SỐ'!$B$21)*MIN(1,AO306/AG306),0)))</f>
        <v/>
      </c>
      <c r="AQ306" s="18"/>
    </row>
    <row r="307" spans="1:43" x14ac:dyDescent="0.45">
      <c r="A307" s="17"/>
      <c r="B307" s="18"/>
      <c r="C307" s="18"/>
      <c r="D307" s="25"/>
      <c r="E307" s="26"/>
      <c r="F307" s="26"/>
      <c r="G307" s="20"/>
      <c r="H307" s="20"/>
      <c r="I307" s="18"/>
      <c r="J307" s="18"/>
      <c r="K307" s="18"/>
      <c r="L307" s="18"/>
      <c r="M307" s="18"/>
      <c r="N307" s="18"/>
      <c r="O307" s="18"/>
      <c r="P307" s="18"/>
      <c r="Q307" s="18"/>
      <c r="R307" s="18"/>
      <c r="S307" s="18"/>
      <c r="T307" s="16" t="str">
        <f>IF($A307="","",COUNTIFS('LỆNH ĐIỀU XE'!$B$5:$B$604,$A307,'LỆNH ĐIỀU XE'!$C$5:$C$604,$B307))</f>
        <v/>
      </c>
      <c r="U307" s="27" t="str">
        <f>IF($A307="","",SUMIFS('LỆNH ĐIỀU XE'!$J$5:$J$604,'LỆNH ĐIỀU XE'!$B$5:$B$604,$A307,'LỆNH ĐIỀU XE'!$C$5:$C$604,$B307))</f>
        <v/>
      </c>
      <c r="V307" s="22" t="str">
        <f t="shared" si="40"/>
        <v/>
      </c>
      <c r="W307" s="28" t="str">
        <f t="shared" si="41"/>
        <v/>
      </c>
      <c r="X307" s="28" t="str">
        <f t="shared" si="42"/>
        <v/>
      </c>
      <c r="Y307" s="28" t="str">
        <f t="shared" si="43"/>
        <v/>
      </c>
      <c r="Z307" s="22" t="str">
        <f t="shared" si="44"/>
        <v/>
      </c>
      <c r="AA307" s="28" t="str">
        <f t="shared" si="45"/>
        <v/>
      </c>
      <c r="AB307" s="28" t="str">
        <f t="shared" si="46"/>
        <v/>
      </c>
      <c r="AC307" s="28" t="str">
        <f>IF($A307="","",SUMIFS('CHẶNG TĂNG CA'!$E$5:$E$304,'CHẶNG TĂNG CA'!$A$5:$A$304,$A307,'CHẶNG TĂNG CA'!$B$5:$B$304,$B307))</f>
        <v/>
      </c>
      <c r="AD307" s="28" t="str">
        <f>IF($A307="","",SUMIFS('CHẶNG TĂNG CA'!$F$5:$F$304,'CHẶNG TĂNG CA'!$A$5:$A$304,$A307,'CHẶNG TĂNG CA'!$B$5:$B$304,$B307))</f>
        <v/>
      </c>
      <c r="AE307" s="28" t="str">
        <f>IF($A307="","",SUMIFS('CHẶNG TĂNG CA'!$G$5:$G$304,'CHẶNG TĂNG CA'!$A$5:$A$304,$A307,'CHẶNG TĂNG CA'!$B$5:$B$304,$B307))</f>
        <v/>
      </c>
      <c r="AF307" s="28" t="str">
        <f>IF($A307="","",SUMIFS('CHẶNG TĂNG CA'!$H$5:$H$304,'CHẶNG TĂNG CA'!$A$5:$A$304,$A307,'CHẶNG TĂNG CA'!$B$5:$B$304,$B307))</f>
        <v/>
      </c>
      <c r="AG307" s="28" t="str">
        <f t="shared" si="47"/>
        <v/>
      </c>
      <c r="AH307" s="16" t="str">
        <f>IF($A307="","",IF(COUNTIFS('LỆNH ĐIỀU XE'!$B$5:$B$604,$A307,'LỆNH ĐIỀU XE'!$C$5:$C$604,$B307,'LỆNH ĐIỀU XE'!$N$5:$N$604,"Có")&gt;0,"Có","Không"))</f>
        <v/>
      </c>
      <c r="AI307" s="16" t="str">
        <f>IF(OR($A307="",H307="",N(T307)=0),"",IF(_xlfn.MAXIFS('LỆNH ĐIỀU XE'!$U$5:$U$604,'LỆNH ĐIỀU XE'!$B$5:$B$604,$A307,'LỆNH ĐIỀU XE'!$C$5:$C$604,$B307)=0,"",ROUND((H307+(H307&lt;4/24)-_xlfn.MAXIFS('LỆNH ĐIỀU XE'!$U$5:$U$604,'LỆNH ĐIỀU XE'!$B$5:$B$604,$A307,'LỆNH ĐIỀU XE'!$C$5:$C$604,$B307))*1440,0)))</f>
        <v/>
      </c>
      <c r="AJ307" s="16" t="str">
        <f>IF($A307="","",IF(OR(AI307="",V307=""),"Thiếu dữ liệu",IF(AND(AI307&lt;='THAM SỐ'!$B$29,ABS(V307)&lt;='THAM SỐ'!$B$28),"Đạt","Không đạt")))</f>
        <v/>
      </c>
      <c r="AK307" s="16" t="str">
        <f t="shared" si="48"/>
        <v/>
      </c>
      <c r="AL307" s="16" t="str">
        <f>IF($A307="","",TRIM(IF(T307=0,"Không có lệnh; ","")&amp;IF(N(N307)&gt;0,"Dừng ngoài lệnh; ","")&amp;IF(N(J307)&gt;0,"Quá tốc độ; ","")&amp;IF(N(K307)&gt;0,"Lái quá 4h; ","")&amp;IF(N(L307)&gt;0,"Không tắt máy; ","")&amp;IF(OR(P307&lt;&gt;"Đủ",Q307&lt;&gt;"Đủ",R307&lt;&gt;"Đủ"),"Thiếu ảnh; ","")&amp;IF(S307&lt;&gt;"Đạt","Lốp chưa đạt; ","")&amp;IF(N(W307)&gt;'THAM SỐ'!$B$27,"Có mặt quá giờ; ","")&amp;IF(N(X307)&gt;'THAM SỐ'!$B$25,"Lái quá giờ ngày; ","")&amp;IF(ISNUMBER(V307),IF(ABS(V307)&gt;'THAM SỐ'!$B$28,"Lệch km; ",""),"")))</f>
        <v/>
      </c>
      <c r="AM307" s="29"/>
      <c r="AN307" s="30"/>
      <c r="AO307" s="28" t="str">
        <f t="shared" si="49"/>
        <v/>
      </c>
      <c r="AP307" s="21" t="str">
        <f>IF(OR($A307="",AO307=""),"",IF(AG307=0,0,ROUND((AC307*'THAM SỐ'!$B$18+AD307*'THAM SỐ'!$B$19+AE307*'THAM SỐ'!$B$20+AF307*'THAM SỐ'!$B$21)*MIN(1,AO307/AG307),0)))</f>
        <v/>
      </c>
      <c r="AQ307" s="18"/>
    </row>
    <row r="308" spans="1:43" x14ac:dyDescent="0.45">
      <c r="A308" s="17"/>
      <c r="B308" s="18"/>
      <c r="C308" s="18"/>
      <c r="D308" s="25"/>
      <c r="E308" s="26"/>
      <c r="F308" s="26"/>
      <c r="G308" s="20"/>
      <c r="H308" s="20"/>
      <c r="I308" s="18"/>
      <c r="J308" s="18"/>
      <c r="K308" s="18"/>
      <c r="L308" s="18"/>
      <c r="M308" s="18"/>
      <c r="N308" s="18"/>
      <c r="O308" s="18"/>
      <c r="P308" s="18"/>
      <c r="Q308" s="18"/>
      <c r="R308" s="18"/>
      <c r="S308" s="18"/>
      <c r="T308" s="16" t="str">
        <f>IF($A308="","",COUNTIFS('LỆNH ĐIỀU XE'!$B$5:$B$604,$A308,'LỆNH ĐIỀU XE'!$C$5:$C$604,$B308))</f>
        <v/>
      </c>
      <c r="U308" s="27" t="str">
        <f>IF($A308="","",SUMIFS('LỆNH ĐIỀU XE'!$J$5:$J$604,'LỆNH ĐIỀU XE'!$B$5:$B$604,$A308,'LỆNH ĐIỀU XE'!$C$5:$C$604,$B308))</f>
        <v/>
      </c>
      <c r="V308" s="22" t="str">
        <f t="shared" si="40"/>
        <v/>
      </c>
      <c r="W308" s="28" t="str">
        <f t="shared" si="41"/>
        <v/>
      </c>
      <c r="X308" s="28" t="str">
        <f t="shared" si="42"/>
        <v/>
      </c>
      <c r="Y308" s="28" t="str">
        <f t="shared" si="43"/>
        <v/>
      </c>
      <c r="Z308" s="22" t="str">
        <f t="shared" si="44"/>
        <v/>
      </c>
      <c r="AA308" s="28" t="str">
        <f t="shared" si="45"/>
        <v/>
      </c>
      <c r="AB308" s="28" t="str">
        <f t="shared" si="46"/>
        <v/>
      </c>
      <c r="AC308" s="28" t="str">
        <f>IF($A308="","",SUMIFS('CHẶNG TĂNG CA'!$E$5:$E$304,'CHẶNG TĂNG CA'!$A$5:$A$304,$A308,'CHẶNG TĂNG CA'!$B$5:$B$304,$B308))</f>
        <v/>
      </c>
      <c r="AD308" s="28" t="str">
        <f>IF($A308="","",SUMIFS('CHẶNG TĂNG CA'!$F$5:$F$304,'CHẶNG TĂNG CA'!$A$5:$A$304,$A308,'CHẶNG TĂNG CA'!$B$5:$B$304,$B308))</f>
        <v/>
      </c>
      <c r="AE308" s="28" t="str">
        <f>IF($A308="","",SUMIFS('CHẶNG TĂNG CA'!$G$5:$G$304,'CHẶNG TĂNG CA'!$A$5:$A$304,$A308,'CHẶNG TĂNG CA'!$B$5:$B$304,$B308))</f>
        <v/>
      </c>
      <c r="AF308" s="28" t="str">
        <f>IF($A308="","",SUMIFS('CHẶNG TĂNG CA'!$H$5:$H$304,'CHẶNG TĂNG CA'!$A$5:$A$304,$A308,'CHẶNG TĂNG CA'!$B$5:$B$304,$B308))</f>
        <v/>
      </c>
      <c r="AG308" s="28" t="str">
        <f t="shared" si="47"/>
        <v/>
      </c>
      <c r="AH308" s="16" t="str">
        <f>IF($A308="","",IF(COUNTIFS('LỆNH ĐIỀU XE'!$B$5:$B$604,$A308,'LỆNH ĐIỀU XE'!$C$5:$C$604,$B308,'LỆNH ĐIỀU XE'!$N$5:$N$604,"Có")&gt;0,"Có","Không"))</f>
        <v/>
      </c>
      <c r="AI308" s="16" t="str">
        <f>IF(OR($A308="",H308="",N(T308)=0),"",IF(_xlfn.MAXIFS('LỆNH ĐIỀU XE'!$U$5:$U$604,'LỆNH ĐIỀU XE'!$B$5:$B$604,$A308,'LỆNH ĐIỀU XE'!$C$5:$C$604,$B308)=0,"",ROUND((H308+(H308&lt;4/24)-_xlfn.MAXIFS('LỆNH ĐIỀU XE'!$U$5:$U$604,'LỆNH ĐIỀU XE'!$B$5:$B$604,$A308,'LỆNH ĐIỀU XE'!$C$5:$C$604,$B308))*1440,0)))</f>
        <v/>
      </c>
      <c r="AJ308" s="16" t="str">
        <f>IF($A308="","",IF(OR(AI308="",V308=""),"Thiếu dữ liệu",IF(AND(AI308&lt;='THAM SỐ'!$B$29,ABS(V308)&lt;='THAM SỐ'!$B$28),"Đạt","Không đạt")))</f>
        <v/>
      </c>
      <c r="AK308" s="16" t="str">
        <f t="shared" si="48"/>
        <v/>
      </c>
      <c r="AL308" s="16" t="str">
        <f>IF($A308="","",TRIM(IF(T308=0,"Không có lệnh; ","")&amp;IF(N(N308)&gt;0,"Dừng ngoài lệnh; ","")&amp;IF(N(J308)&gt;0,"Quá tốc độ; ","")&amp;IF(N(K308)&gt;0,"Lái quá 4h; ","")&amp;IF(N(L308)&gt;0,"Không tắt máy; ","")&amp;IF(OR(P308&lt;&gt;"Đủ",Q308&lt;&gt;"Đủ",R308&lt;&gt;"Đủ"),"Thiếu ảnh; ","")&amp;IF(S308&lt;&gt;"Đạt","Lốp chưa đạt; ","")&amp;IF(N(W308)&gt;'THAM SỐ'!$B$27,"Có mặt quá giờ; ","")&amp;IF(N(X308)&gt;'THAM SỐ'!$B$25,"Lái quá giờ ngày; ","")&amp;IF(ISNUMBER(V308),IF(ABS(V308)&gt;'THAM SỐ'!$B$28,"Lệch km; ",""),"")))</f>
        <v/>
      </c>
      <c r="AM308" s="29"/>
      <c r="AN308" s="30"/>
      <c r="AO308" s="28" t="str">
        <f t="shared" si="49"/>
        <v/>
      </c>
      <c r="AP308" s="21" t="str">
        <f>IF(OR($A308="",AO308=""),"",IF(AG308=0,0,ROUND((AC308*'THAM SỐ'!$B$18+AD308*'THAM SỐ'!$B$19+AE308*'THAM SỐ'!$B$20+AF308*'THAM SỐ'!$B$21)*MIN(1,AO308/AG308),0)))</f>
        <v/>
      </c>
      <c r="AQ308" s="18"/>
    </row>
    <row r="309" spans="1:43" x14ac:dyDescent="0.45">
      <c r="A309" s="17"/>
      <c r="B309" s="18"/>
      <c r="C309" s="18"/>
      <c r="D309" s="25"/>
      <c r="E309" s="26"/>
      <c r="F309" s="26"/>
      <c r="G309" s="20"/>
      <c r="H309" s="20"/>
      <c r="I309" s="18"/>
      <c r="J309" s="18"/>
      <c r="K309" s="18"/>
      <c r="L309" s="18"/>
      <c r="M309" s="18"/>
      <c r="N309" s="18"/>
      <c r="O309" s="18"/>
      <c r="P309" s="18"/>
      <c r="Q309" s="18"/>
      <c r="R309" s="18"/>
      <c r="S309" s="18"/>
      <c r="T309" s="16" t="str">
        <f>IF($A309="","",COUNTIFS('LỆNH ĐIỀU XE'!$B$5:$B$604,$A309,'LỆNH ĐIỀU XE'!$C$5:$C$604,$B309))</f>
        <v/>
      </c>
      <c r="U309" s="27" t="str">
        <f>IF($A309="","",SUMIFS('LỆNH ĐIỀU XE'!$J$5:$J$604,'LỆNH ĐIỀU XE'!$B$5:$B$604,$A309,'LỆNH ĐIỀU XE'!$C$5:$C$604,$B309))</f>
        <v/>
      </c>
      <c r="V309" s="22" t="str">
        <f t="shared" si="40"/>
        <v/>
      </c>
      <c r="W309" s="28" t="str">
        <f t="shared" si="41"/>
        <v/>
      </c>
      <c r="X309" s="28" t="str">
        <f t="shared" si="42"/>
        <v/>
      </c>
      <c r="Y309" s="28" t="str">
        <f t="shared" si="43"/>
        <v/>
      </c>
      <c r="Z309" s="22" t="str">
        <f t="shared" si="44"/>
        <v/>
      </c>
      <c r="AA309" s="28" t="str">
        <f t="shared" si="45"/>
        <v/>
      </c>
      <c r="AB309" s="28" t="str">
        <f t="shared" si="46"/>
        <v/>
      </c>
      <c r="AC309" s="28" t="str">
        <f>IF($A309="","",SUMIFS('CHẶNG TĂNG CA'!$E$5:$E$304,'CHẶNG TĂNG CA'!$A$5:$A$304,$A309,'CHẶNG TĂNG CA'!$B$5:$B$304,$B309))</f>
        <v/>
      </c>
      <c r="AD309" s="28" t="str">
        <f>IF($A309="","",SUMIFS('CHẶNG TĂNG CA'!$F$5:$F$304,'CHẶNG TĂNG CA'!$A$5:$A$304,$A309,'CHẶNG TĂNG CA'!$B$5:$B$304,$B309))</f>
        <v/>
      </c>
      <c r="AE309" s="28" t="str">
        <f>IF($A309="","",SUMIFS('CHẶNG TĂNG CA'!$G$5:$G$304,'CHẶNG TĂNG CA'!$A$5:$A$304,$A309,'CHẶNG TĂNG CA'!$B$5:$B$304,$B309))</f>
        <v/>
      </c>
      <c r="AF309" s="28" t="str">
        <f>IF($A309="","",SUMIFS('CHẶNG TĂNG CA'!$H$5:$H$304,'CHẶNG TĂNG CA'!$A$5:$A$304,$A309,'CHẶNG TĂNG CA'!$B$5:$B$304,$B309))</f>
        <v/>
      </c>
      <c r="AG309" s="28" t="str">
        <f t="shared" si="47"/>
        <v/>
      </c>
      <c r="AH309" s="16" t="str">
        <f>IF($A309="","",IF(COUNTIFS('LỆNH ĐIỀU XE'!$B$5:$B$604,$A309,'LỆNH ĐIỀU XE'!$C$5:$C$604,$B309,'LỆNH ĐIỀU XE'!$N$5:$N$604,"Có")&gt;0,"Có","Không"))</f>
        <v/>
      </c>
      <c r="AI309" s="16" t="str">
        <f>IF(OR($A309="",H309="",N(T309)=0),"",IF(_xlfn.MAXIFS('LỆNH ĐIỀU XE'!$U$5:$U$604,'LỆNH ĐIỀU XE'!$B$5:$B$604,$A309,'LỆNH ĐIỀU XE'!$C$5:$C$604,$B309)=0,"",ROUND((H309+(H309&lt;4/24)-_xlfn.MAXIFS('LỆNH ĐIỀU XE'!$U$5:$U$604,'LỆNH ĐIỀU XE'!$B$5:$B$604,$A309,'LỆNH ĐIỀU XE'!$C$5:$C$604,$B309))*1440,0)))</f>
        <v/>
      </c>
      <c r="AJ309" s="16" t="str">
        <f>IF($A309="","",IF(OR(AI309="",V309=""),"Thiếu dữ liệu",IF(AND(AI309&lt;='THAM SỐ'!$B$29,ABS(V309)&lt;='THAM SỐ'!$B$28),"Đạt","Không đạt")))</f>
        <v/>
      </c>
      <c r="AK309" s="16" t="str">
        <f t="shared" si="48"/>
        <v/>
      </c>
      <c r="AL309" s="16" t="str">
        <f>IF($A309="","",TRIM(IF(T309=0,"Không có lệnh; ","")&amp;IF(N(N309)&gt;0,"Dừng ngoài lệnh; ","")&amp;IF(N(J309)&gt;0,"Quá tốc độ; ","")&amp;IF(N(K309)&gt;0,"Lái quá 4h; ","")&amp;IF(N(L309)&gt;0,"Không tắt máy; ","")&amp;IF(OR(P309&lt;&gt;"Đủ",Q309&lt;&gt;"Đủ",R309&lt;&gt;"Đủ"),"Thiếu ảnh; ","")&amp;IF(S309&lt;&gt;"Đạt","Lốp chưa đạt; ","")&amp;IF(N(W309)&gt;'THAM SỐ'!$B$27,"Có mặt quá giờ; ","")&amp;IF(N(X309)&gt;'THAM SỐ'!$B$25,"Lái quá giờ ngày; ","")&amp;IF(ISNUMBER(V309),IF(ABS(V309)&gt;'THAM SỐ'!$B$28,"Lệch km; ",""),"")))</f>
        <v/>
      </c>
      <c r="AM309" s="29"/>
      <c r="AN309" s="30"/>
      <c r="AO309" s="28" t="str">
        <f t="shared" si="49"/>
        <v/>
      </c>
      <c r="AP309" s="21" t="str">
        <f>IF(OR($A309="",AO309=""),"",IF(AG309=0,0,ROUND((AC309*'THAM SỐ'!$B$18+AD309*'THAM SỐ'!$B$19+AE309*'THAM SỐ'!$B$20+AF309*'THAM SỐ'!$B$21)*MIN(1,AO309/AG309),0)))</f>
        <v/>
      </c>
      <c r="AQ309" s="18"/>
    </row>
    <row r="310" spans="1:43" x14ac:dyDescent="0.45">
      <c r="A310" s="17"/>
      <c r="B310" s="18"/>
      <c r="C310" s="18"/>
      <c r="D310" s="25"/>
      <c r="E310" s="26"/>
      <c r="F310" s="26"/>
      <c r="G310" s="20"/>
      <c r="H310" s="20"/>
      <c r="I310" s="18"/>
      <c r="J310" s="18"/>
      <c r="K310" s="18"/>
      <c r="L310" s="18"/>
      <c r="M310" s="18"/>
      <c r="N310" s="18"/>
      <c r="O310" s="18"/>
      <c r="P310" s="18"/>
      <c r="Q310" s="18"/>
      <c r="R310" s="18"/>
      <c r="S310" s="18"/>
      <c r="T310" s="16" t="str">
        <f>IF($A310="","",COUNTIFS('LỆNH ĐIỀU XE'!$B$5:$B$604,$A310,'LỆNH ĐIỀU XE'!$C$5:$C$604,$B310))</f>
        <v/>
      </c>
      <c r="U310" s="27" t="str">
        <f>IF($A310="","",SUMIFS('LỆNH ĐIỀU XE'!$J$5:$J$604,'LỆNH ĐIỀU XE'!$B$5:$B$604,$A310,'LỆNH ĐIỀU XE'!$C$5:$C$604,$B310))</f>
        <v/>
      </c>
      <c r="V310" s="22" t="str">
        <f t="shared" si="40"/>
        <v/>
      </c>
      <c r="W310" s="28" t="str">
        <f t="shared" si="41"/>
        <v/>
      </c>
      <c r="X310" s="28" t="str">
        <f t="shared" si="42"/>
        <v/>
      </c>
      <c r="Y310" s="28" t="str">
        <f t="shared" si="43"/>
        <v/>
      </c>
      <c r="Z310" s="22" t="str">
        <f t="shared" si="44"/>
        <v/>
      </c>
      <c r="AA310" s="28" t="str">
        <f t="shared" si="45"/>
        <v/>
      </c>
      <c r="AB310" s="28" t="str">
        <f t="shared" si="46"/>
        <v/>
      </c>
      <c r="AC310" s="28" t="str">
        <f>IF($A310="","",SUMIFS('CHẶNG TĂNG CA'!$E$5:$E$304,'CHẶNG TĂNG CA'!$A$5:$A$304,$A310,'CHẶNG TĂNG CA'!$B$5:$B$304,$B310))</f>
        <v/>
      </c>
      <c r="AD310" s="28" t="str">
        <f>IF($A310="","",SUMIFS('CHẶNG TĂNG CA'!$F$5:$F$304,'CHẶNG TĂNG CA'!$A$5:$A$304,$A310,'CHẶNG TĂNG CA'!$B$5:$B$304,$B310))</f>
        <v/>
      </c>
      <c r="AE310" s="28" t="str">
        <f>IF($A310="","",SUMIFS('CHẶNG TĂNG CA'!$G$5:$G$304,'CHẶNG TĂNG CA'!$A$5:$A$304,$A310,'CHẶNG TĂNG CA'!$B$5:$B$304,$B310))</f>
        <v/>
      </c>
      <c r="AF310" s="28" t="str">
        <f>IF($A310="","",SUMIFS('CHẶNG TĂNG CA'!$H$5:$H$304,'CHẶNG TĂNG CA'!$A$5:$A$304,$A310,'CHẶNG TĂNG CA'!$B$5:$B$304,$B310))</f>
        <v/>
      </c>
      <c r="AG310" s="28" t="str">
        <f t="shared" si="47"/>
        <v/>
      </c>
      <c r="AH310" s="16" t="str">
        <f>IF($A310="","",IF(COUNTIFS('LỆNH ĐIỀU XE'!$B$5:$B$604,$A310,'LỆNH ĐIỀU XE'!$C$5:$C$604,$B310,'LỆNH ĐIỀU XE'!$N$5:$N$604,"Có")&gt;0,"Có","Không"))</f>
        <v/>
      </c>
      <c r="AI310" s="16" t="str">
        <f>IF(OR($A310="",H310="",N(T310)=0),"",IF(_xlfn.MAXIFS('LỆNH ĐIỀU XE'!$U$5:$U$604,'LỆNH ĐIỀU XE'!$B$5:$B$604,$A310,'LỆNH ĐIỀU XE'!$C$5:$C$604,$B310)=0,"",ROUND((H310+(H310&lt;4/24)-_xlfn.MAXIFS('LỆNH ĐIỀU XE'!$U$5:$U$604,'LỆNH ĐIỀU XE'!$B$5:$B$604,$A310,'LỆNH ĐIỀU XE'!$C$5:$C$604,$B310))*1440,0)))</f>
        <v/>
      </c>
      <c r="AJ310" s="16" t="str">
        <f>IF($A310="","",IF(OR(AI310="",V310=""),"Thiếu dữ liệu",IF(AND(AI310&lt;='THAM SỐ'!$B$29,ABS(V310)&lt;='THAM SỐ'!$B$28),"Đạt","Không đạt")))</f>
        <v/>
      </c>
      <c r="AK310" s="16" t="str">
        <f t="shared" si="48"/>
        <v/>
      </c>
      <c r="AL310" s="16" t="str">
        <f>IF($A310="","",TRIM(IF(T310=0,"Không có lệnh; ","")&amp;IF(N(N310)&gt;0,"Dừng ngoài lệnh; ","")&amp;IF(N(J310)&gt;0,"Quá tốc độ; ","")&amp;IF(N(K310)&gt;0,"Lái quá 4h; ","")&amp;IF(N(L310)&gt;0,"Không tắt máy; ","")&amp;IF(OR(P310&lt;&gt;"Đủ",Q310&lt;&gt;"Đủ",R310&lt;&gt;"Đủ"),"Thiếu ảnh; ","")&amp;IF(S310&lt;&gt;"Đạt","Lốp chưa đạt; ","")&amp;IF(N(W310)&gt;'THAM SỐ'!$B$27,"Có mặt quá giờ; ","")&amp;IF(N(X310)&gt;'THAM SỐ'!$B$25,"Lái quá giờ ngày; ","")&amp;IF(ISNUMBER(V310),IF(ABS(V310)&gt;'THAM SỐ'!$B$28,"Lệch km; ",""),"")))</f>
        <v/>
      </c>
      <c r="AM310" s="29"/>
      <c r="AN310" s="30"/>
      <c r="AO310" s="28" t="str">
        <f t="shared" si="49"/>
        <v/>
      </c>
      <c r="AP310" s="21" t="str">
        <f>IF(OR($A310="",AO310=""),"",IF(AG310=0,0,ROUND((AC310*'THAM SỐ'!$B$18+AD310*'THAM SỐ'!$B$19+AE310*'THAM SỐ'!$B$20+AF310*'THAM SỐ'!$B$21)*MIN(1,AO310/AG310),0)))</f>
        <v/>
      </c>
      <c r="AQ310" s="18"/>
    </row>
    <row r="311" spans="1:43" x14ac:dyDescent="0.45">
      <c r="A311" s="17"/>
      <c r="B311" s="18"/>
      <c r="C311" s="18"/>
      <c r="D311" s="25"/>
      <c r="E311" s="26"/>
      <c r="F311" s="26"/>
      <c r="G311" s="20"/>
      <c r="H311" s="20"/>
      <c r="I311" s="18"/>
      <c r="J311" s="18"/>
      <c r="K311" s="18"/>
      <c r="L311" s="18"/>
      <c r="M311" s="18"/>
      <c r="N311" s="18"/>
      <c r="O311" s="18"/>
      <c r="P311" s="18"/>
      <c r="Q311" s="18"/>
      <c r="R311" s="18"/>
      <c r="S311" s="18"/>
      <c r="T311" s="16" t="str">
        <f>IF($A311="","",COUNTIFS('LỆNH ĐIỀU XE'!$B$5:$B$604,$A311,'LỆNH ĐIỀU XE'!$C$5:$C$604,$B311))</f>
        <v/>
      </c>
      <c r="U311" s="27" t="str">
        <f>IF($A311="","",SUMIFS('LỆNH ĐIỀU XE'!$J$5:$J$604,'LỆNH ĐIỀU XE'!$B$5:$B$604,$A311,'LỆNH ĐIỀU XE'!$C$5:$C$604,$B311))</f>
        <v/>
      </c>
      <c r="V311" s="22" t="str">
        <f t="shared" si="40"/>
        <v/>
      </c>
      <c r="W311" s="28" t="str">
        <f t="shared" si="41"/>
        <v/>
      </c>
      <c r="X311" s="28" t="str">
        <f t="shared" si="42"/>
        <v/>
      </c>
      <c r="Y311" s="28" t="str">
        <f t="shared" si="43"/>
        <v/>
      </c>
      <c r="Z311" s="22" t="str">
        <f t="shared" si="44"/>
        <v/>
      </c>
      <c r="AA311" s="28" t="str">
        <f t="shared" si="45"/>
        <v/>
      </c>
      <c r="AB311" s="28" t="str">
        <f t="shared" si="46"/>
        <v/>
      </c>
      <c r="AC311" s="28" t="str">
        <f>IF($A311="","",SUMIFS('CHẶNG TĂNG CA'!$E$5:$E$304,'CHẶNG TĂNG CA'!$A$5:$A$304,$A311,'CHẶNG TĂNG CA'!$B$5:$B$304,$B311))</f>
        <v/>
      </c>
      <c r="AD311" s="28" t="str">
        <f>IF($A311="","",SUMIFS('CHẶNG TĂNG CA'!$F$5:$F$304,'CHẶNG TĂNG CA'!$A$5:$A$304,$A311,'CHẶNG TĂNG CA'!$B$5:$B$304,$B311))</f>
        <v/>
      </c>
      <c r="AE311" s="28" t="str">
        <f>IF($A311="","",SUMIFS('CHẶNG TĂNG CA'!$G$5:$G$304,'CHẶNG TĂNG CA'!$A$5:$A$304,$A311,'CHẶNG TĂNG CA'!$B$5:$B$304,$B311))</f>
        <v/>
      </c>
      <c r="AF311" s="28" t="str">
        <f>IF($A311="","",SUMIFS('CHẶNG TĂNG CA'!$H$5:$H$304,'CHẶNG TĂNG CA'!$A$5:$A$304,$A311,'CHẶNG TĂNG CA'!$B$5:$B$304,$B311))</f>
        <v/>
      </c>
      <c r="AG311" s="28" t="str">
        <f t="shared" si="47"/>
        <v/>
      </c>
      <c r="AH311" s="16" t="str">
        <f>IF($A311="","",IF(COUNTIFS('LỆNH ĐIỀU XE'!$B$5:$B$604,$A311,'LỆNH ĐIỀU XE'!$C$5:$C$604,$B311,'LỆNH ĐIỀU XE'!$N$5:$N$604,"Có")&gt;0,"Có","Không"))</f>
        <v/>
      </c>
      <c r="AI311" s="16" t="str">
        <f>IF(OR($A311="",H311="",N(T311)=0),"",IF(_xlfn.MAXIFS('LỆNH ĐIỀU XE'!$U$5:$U$604,'LỆNH ĐIỀU XE'!$B$5:$B$604,$A311,'LỆNH ĐIỀU XE'!$C$5:$C$604,$B311)=0,"",ROUND((H311+(H311&lt;4/24)-_xlfn.MAXIFS('LỆNH ĐIỀU XE'!$U$5:$U$604,'LỆNH ĐIỀU XE'!$B$5:$B$604,$A311,'LỆNH ĐIỀU XE'!$C$5:$C$604,$B311))*1440,0)))</f>
        <v/>
      </c>
      <c r="AJ311" s="16" t="str">
        <f>IF($A311="","",IF(OR(AI311="",V311=""),"Thiếu dữ liệu",IF(AND(AI311&lt;='THAM SỐ'!$B$29,ABS(V311)&lt;='THAM SỐ'!$B$28),"Đạt","Không đạt")))</f>
        <v/>
      </c>
      <c r="AK311" s="16" t="str">
        <f t="shared" si="48"/>
        <v/>
      </c>
      <c r="AL311" s="16" t="str">
        <f>IF($A311="","",TRIM(IF(T311=0,"Không có lệnh; ","")&amp;IF(N(N311)&gt;0,"Dừng ngoài lệnh; ","")&amp;IF(N(J311)&gt;0,"Quá tốc độ; ","")&amp;IF(N(K311)&gt;0,"Lái quá 4h; ","")&amp;IF(N(L311)&gt;0,"Không tắt máy; ","")&amp;IF(OR(P311&lt;&gt;"Đủ",Q311&lt;&gt;"Đủ",R311&lt;&gt;"Đủ"),"Thiếu ảnh; ","")&amp;IF(S311&lt;&gt;"Đạt","Lốp chưa đạt; ","")&amp;IF(N(W311)&gt;'THAM SỐ'!$B$27,"Có mặt quá giờ; ","")&amp;IF(N(X311)&gt;'THAM SỐ'!$B$25,"Lái quá giờ ngày; ","")&amp;IF(ISNUMBER(V311),IF(ABS(V311)&gt;'THAM SỐ'!$B$28,"Lệch km; ",""),"")))</f>
        <v/>
      </c>
      <c r="AM311" s="29"/>
      <c r="AN311" s="30"/>
      <c r="AO311" s="28" t="str">
        <f t="shared" si="49"/>
        <v/>
      </c>
      <c r="AP311" s="21" t="str">
        <f>IF(OR($A311="",AO311=""),"",IF(AG311=0,0,ROUND((AC311*'THAM SỐ'!$B$18+AD311*'THAM SỐ'!$B$19+AE311*'THAM SỐ'!$B$20+AF311*'THAM SỐ'!$B$21)*MIN(1,AO311/AG311),0)))</f>
        <v/>
      </c>
      <c r="AQ311" s="18"/>
    </row>
    <row r="312" spans="1:43" x14ac:dyDescent="0.45">
      <c r="A312" s="17"/>
      <c r="B312" s="18"/>
      <c r="C312" s="18"/>
      <c r="D312" s="25"/>
      <c r="E312" s="26"/>
      <c r="F312" s="26"/>
      <c r="G312" s="20"/>
      <c r="H312" s="20"/>
      <c r="I312" s="18"/>
      <c r="J312" s="18"/>
      <c r="K312" s="18"/>
      <c r="L312" s="18"/>
      <c r="M312" s="18"/>
      <c r="N312" s="18"/>
      <c r="O312" s="18"/>
      <c r="P312" s="18"/>
      <c r="Q312" s="18"/>
      <c r="R312" s="18"/>
      <c r="S312" s="18"/>
      <c r="T312" s="16" t="str">
        <f>IF($A312="","",COUNTIFS('LỆNH ĐIỀU XE'!$B$5:$B$604,$A312,'LỆNH ĐIỀU XE'!$C$5:$C$604,$B312))</f>
        <v/>
      </c>
      <c r="U312" s="27" t="str">
        <f>IF($A312="","",SUMIFS('LỆNH ĐIỀU XE'!$J$5:$J$604,'LỆNH ĐIỀU XE'!$B$5:$B$604,$A312,'LỆNH ĐIỀU XE'!$C$5:$C$604,$B312))</f>
        <v/>
      </c>
      <c r="V312" s="22" t="str">
        <f t="shared" si="40"/>
        <v/>
      </c>
      <c r="W312" s="28" t="str">
        <f t="shared" si="41"/>
        <v/>
      </c>
      <c r="X312" s="28" t="str">
        <f t="shared" si="42"/>
        <v/>
      </c>
      <c r="Y312" s="28" t="str">
        <f t="shared" si="43"/>
        <v/>
      </c>
      <c r="Z312" s="22" t="str">
        <f t="shared" si="44"/>
        <v/>
      </c>
      <c r="AA312" s="28" t="str">
        <f t="shared" si="45"/>
        <v/>
      </c>
      <c r="AB312" s="28" t="str">
        <f t="shared" si="46"/>
        <v/>
      </c>
      <c r="AC312" s="28" t="str">
        <f>IF($A312="","",SUMIFS('CHẶNG TĂNG CA'!$E$5:$E$304,'CHẶNG TĂNG CA'!$A$5:$A$304,$A312,'CHẶNG TĂNG CA'!$B$5:$B$304,$B312))</f>
        <v/>
      </c>
      <c r="AD312" s="28" t="str">
        <f>IF($A312="","",SUMIFS('CHẶNG TĂNG CA'!$F$5:$F$304,'CHẶNG TĂNG CA'!$A$5:$A$304,$A312,'CHẶNG TĂNG CA'!$B$5:$B$304,$B312))</f>
        <v/>
      </c>
      <c r="AE312" s="28" t="str">
        <f>IF($A312="","",SUMIFS('CHẶNG TĂNG CA'!$G$5:$G$304,'CHẶNG TĂNG CA'!$A$5:$A$304,$A312,'CHẶNG TĂNG CA'!$B$5:$B$304,$B312))</f>
        <v/>
      </c>
      <c r="AF312" s="28" t="str">
        <f>IF($A312="","",SUMIFS('CHẶNG TĂNG CA'!$H$5:$H$304,'CHẶNG TĂNG CA'!$A$5:$A$304,$A312,'CHẶNG TĂNG CA'!$B$5:$B$304,$B312))</f>
        <v/>
      </c>
      <c r="AG312" s="28" t="str">
        <f t="shared" si="47"/>
        <v/>
      </c>
      <c r="AH312" s="16" t="str">
        <f>IF($A312="","",IF(COUNTIFS('LỆNH ĐIỀU XE'!$B$5:$B$604,$A312,'LỆNH ĐIỀU XE'!$C$5:$C$604,$B312,'LỆNH ĐIỀU XE'!$N$5:$N$604,"Có")&gt;0,"Có","Không"))</f>
        <v/>
      </c>
      <c r="AI312" s="16" t="str">
        <f>IF(OR($A312="",H312="",N(T312)=0),"",IF(_xlfn.MAXIFS('LỆNH ĐIỀU XE'!$U$5:$U$604,'LỆNH ĐIỀU XE'!$B$5:$B$604,$A312,'LỆNH ĐIỀU XE'!$C$5:$C$604,$B312)=0,"",ROUND((H312+(H312&lt;4/24)-_xlfn.MAXIFS('LỆNH ĐIỀU XE'!$U$5:$U$604,'LỆNH ĐIỀU XE'!$B$5:$B$604,$A312,'LỆNH ĐIỀU XE'!$C$5:$C$604,$B312))*1440,0)))</f>
        <v/>
      </c>
      <c r="AJ312" s="16" t="str">
        <f>IF($A312="","",IF(OR(AI312="",V312=""),"Thiếu dữ liệu",IF(AND(AI312&lt;='THAM SỐ'!$B$29,ABS(V312)&lt;='THAM SỐ'!$B$28),"Đạt","Không đạt")))</f>
        <v/>
      </c>
      <c r="AK312" s="16" t="str">
        <f t="shared" si="48"/>
        <v/>
      </c>
      <c r="AL312" s="16" t="str">
        <f>IF($A312="","",TRIM(IF(T312=0,"Không có lệnh; ","")&amp;IF(N(N312)&gt;0,"Dừng ngoài lệnh; ","")&amp;IF(N(J312)&gt;0,"Quá tốc độ; ","")&amp;IF(N(K312)&gt;0,"Lái quá 4h; ","")&amp;IF(N(L312)&gt;0,"Không tắt máy; ","")&amp;IF(OR(P312&lt;&gt;"Đủ",Q312&lt;&gt;"Đủ",R312&lt;&gt;"Đủ"),"Thiếu ảnh; ","")&amp;IF(S312&lt;&gt;"Đạt","Lốp chưa đạt; ","")&amp;IF(N(W312)&gt;'THAM SỐ'!$B$27,"Có mặt quá giờ; ","")&amp;IF(N(X312)&gt;'THAM SỐ'!$B$25,"Lái quá giờ ngày; ","")&amp;IF(ISNUMBER(V312),IF(ABS(V312)&gt;'THAM SỐ'!$B$28,"Lệch km; ",""),"")))</f>
        <v/>
      </c>
      <c r="AM312" s="29"/>
      <c r="AN312" s="30"/>
      <c r="AO312" s="28" t="str">
        <f t="shared" si="49"/>
        <v/>
      </c>
      <c r="AP312" s="21" t="str">
        <f>IF(OR($A312="",AO312=""),"",IF(AG312=0,0,ROUND((AC312*'THAM SỐ'!$B$18+AD312*'THAM SỐ'!$B$19+AE312*'THAM SỐ'!$B$20+AF312*'THAM SỐ'!$B$21)*MIN(1,AO312/AG312),0)))</f>
        <v/>
      </c>
      <c r="AQ312" s="18"/>
    </row>
    <row r="313" spans="1:43" x14ac:dyDescent="0.45">
      <c r="A313" s="17"/>
      <c r="B313" s="18"/>
      <c r="C313" s="18"/>
      <c r="D313" s="25"/>
      <c r="E313" s="26"/>
      <c r="F313" s="26"/>
      <c r="G313" s="20"/>
      <c r="H313" s="20"/>
      <c r="I313" s="18"/>
      <c r="J313" s="18"/>
      <c r="K313" s="18"/>
      <c r="L313" s="18"/>
      <c r="M313" s="18"/>
      <c r="N313" s="18"/>
      <c r="O313" s="18"/>
      <c r="P313" s="18"/>
      <c r="Q313" s="18"/>
      <c r="R313" s="18"/>
      <c r="S313" s="18"/>
      <c r="T313" s="16" t="str">
        <f>IF($A313="","",COUNTIFS('LỆNH ĐIỀU XE'!$B$5:$B$604,$A313,'LỆNH ĐIỀU XE'!$C$5:$C$604,$B313))</f>
        <v/>
      </c>
      <c r="U313" s="27" t="str">
        <f>IF($A313="","",SUMIFS('LỆNH ĐIỀU XE'!$J$5:$J$604,'LỆNH ĐIỀU XE'!$B$5:$B$604,$A313,'LỆNH ĐIỀU XE'!$C$5:$C$604,$B313))</f>
        <v/>
      </c>
      <c r="V313" s="22" t="str">
        <f t="shared" si="40"/>
        <v/>
      </c>
      <c r="W313" s="28" t="str">
        <f t="shared" si="41"/>
        <v/>
      </c>
      <c r="X313" s="28" t="str">
        <f t="shared" si="42"/>
        <v/>
      </c>
      <c r="Y313" s="28" t="str">
        <f t="shared" si="43"/>
        <v/>
      </c>
      <c r="Z313" s="22" t="str">
        <f t="shared" si="44"/>
        <v/>
      </c>
      <c r="AA313" s="28" t="str">
        <f t="shared" si="45"/>
        <v/>
      </c>
      <c r="AB313" s="28" t="str">
        <f t="shared" si="46"/>
        <v/>
      </c>
      <c r="AC313" s="28" t="str">
        <f>IF($A313="","",SUMIFS('CHẶNG TĂNG CA'!$E$5:$E$304,'CHẶNG TĂNG CA'!$A$5:$A$304,$A313,'CHẶNG TĂNG CA'!$B$5:$B$304,$B313))</f>
        <v/>
      </c>
      <c r="AD313" s="28" t="str">
        <f>IF($A313="","",SUMIFS('CHẶNG TĂNG CA'!$F$5:$F$304,'CHẶNG TĂNG CA'!$A$5:$A$304,$A313,'CHẶNG TĂNG CA'!$B$5:$B$304,$B313))</f>
        <v/>
      </c>
      <c r="AE313" s="28" t="str">
        <f>IF($A313="","",SUMIFS('CHẶNG TĂNG CA'!$G$5:$G$304,'CHẶNG TĂNG CA'!$A$5:$A$304,$A313,'CHẶNG TĂNG CA'!$B$5:$B$304,$B313))</f>
        <v/>
      </c>
      <c r="AF313" s="28" t="str">
        <f>IF($A313="","",SUMIFS('CHẶNG TĂNG CA'!$H$5:$H$304,'CHẶNG TĂNG CA'!$A$5:$A$304,$A313,'CHẶNG TĂNG CA'!$B$5:$B$304,$B313))</f>
        <v/>
      </c>
      <c r="AG313" s="28" t="str">
        <f t="shared" si="47"/>
        <v/>
      </c>
      <c r="AH313" s="16" t="str">
        <f>IF($A313="","",IF(COUNTIFS('LỆNH ĐIỀU XE'!$B$5:$B$604,$A313,'LỆNH ĐIỀU XE'!$C$5:$C$604,$B313,'LỆNH ĐIỀU XE'!$N$5:$N$604,"Có")&gt;0,"Có","Không"))</f>
        <v/>
      </c>
      <c r="AI313" s="16" t="str">
        <f>IF(OR($A313="",H313="",N(T313)=0),"",IF(_xlfn.MAXIFS('LỆNH ĐIỀU XE'!$U$5:$U$604,'LỆNH ĐIỀU XE'!$B$5:$B$604,$A313,'LỆNH ĐIỀU XE'!$C$5:$C$604,$B313)=0,"",ROUND((H313+(H313&lt;4/24)-_xlfn.MAXIFS('LỆNH ĐIỀU XE'!$U$5:$U$604,'LỆNH ĐIỀU XE'!$B$5:$B$604,$A313,'LỆNH ĐIỀU XE'!$C$5:$C$604,$B313))*1440,0)))</f>
        <v/>
      </c>
      <c r="AJ313" s="16" t="str">
        <f>IF($A313="","",IF(OR(AI313="",V313=""),"Thiếu dữ liệu",IF(AND(AI313&lt;='THAM SỐ'!$B$29,ABS(V313)&lt;='THAM SỐ'!$B$28),"Đạt","Không đạt")))</f>
        <v/>
      </c>
      <c r="AK313" s="16" t="str">
        <f t="shared" si="48"/>
        <v/>
      </c>
      <c r="AL313" s="16" t="str">
        <f>IF($A313="","",TRIM(IF(T313=0,"Không có lệnh; ","")&amp;IF(N(N313)&gt;0,"Dừng ngoài lệnh; ","")&amp;IF(N(J313)&gt;0,"Quá tốc độ; ","")&amp;IF(N(K313)&gt;0,"Lái quá 4h; ","")&amp;IF(N(L313)&gt;0,"Không tắt máy; ","")&amp;IF(OR(P313&lt;&gt;"Đủ",Q313&lt;&gt;"Đủ",R313&lt;&gt;"Đủ"),"Thiếu ảnh; ","")&amp;IF(S313&lt;&gt;"Đạt","Lốp chưa đạt; ","")&amp;IF(N(W313)&gt;'THAM SỐ'!$B$27,"Có mặt quá giờ; ","")&amp;IF(N(X313)&gt;'THAM SỐ'!$B$25,"Lái quá giờ ngày; ","")&amp;IF(ISNUMBER(V313),IF(ABS(V313)&gt;'THAM SỐ'!$B$28,"Lệch km; ",""),"")))</f>
        <v/>
      </c>
      <c r="AM313" s="29"/>
      <c r="AN313" s="30"/>
      <c r="AO313" s="28" t="str">
        <f t="shared" si="49"/>
        <v/>
      </c>
      <c r="AP313" s="21" t="str">
        <f>IF(OR($A313="",AO313=""),"",IF(AG313=0,0,ROUND((AC313*'THAM SỐ'!$B$18+AD313*'THAM SỐ'!$B$19+AE313*'THAM SỐ'!$B$20+AF313*'THAM SỐ'!$B$21)*MIN(1,AO313/AG313),0)))</f>
        <v/>
      </c>
      <c r="AQ313" s="18"/>
    </row>
    <row r="314" spans="1:43" x14ac:dyDescent="0.45">
      <c r="A314" s="17"/>
      <c r="B314" s="18"/>
      <c r="C314" s="18"/>
      <c r="D314" s="25"/>
      <c r="E314" s="26"/>
      <c r="F314" s="26"/>
      <c r="G314" s="20"/>
      <c r="H314" s="20"/>
      <c r="I314" s="18"/>
      <c r="J314" s="18"/>
      <c r="K314" s="18"/>
      <c r="L314" s="18"/>
      <c r="M314" s="18"/>
      <c r="N314" s="18"/>
      <c r="O314" s="18"/>
      <c r="P314" s="18"/>
      <c r="Q314" s="18"/>
      <c r="R314" s="18"/>
      <c r="S314" s="18"/>
      <c r="T314" s="16" t="str">
        <f>IF($A314="","",COUNTIFS('LỆNH ĐIỀU XE'!$B$5:$B$604,$A314,'LỆNH ĐIỀU XE'!$C$5:$C$604,$B314))</f>
        <v/>
      </c>
      <c r="U314" s="27" t="str">
        <f>IF($A314="","",SUMIFS('LỆNH ĐIỀU XE'!$J$5:$J$604,'LỆNH ĐIỀU XE'!$B$5:$B$604,$A314,'LỆNH ĐIỀU XE'!$C$5:$C$604,$B314))</f>
        <v/>
      </c>
      <c r="V314" s="22" t="str">
        <f t="shared" si="40"/>
        <v/>
      </c>
      <c r="W314" s="28" t="str">
        <f t="shared" si="41"/>
        <v/>
      </c>
      <c r="X314" s="28" t="str">
        <f t="shared" si="42"/>
        <v/>
      </c>
      <c r="Y314" s="28" t="str">
        <f t="shared" si="43"/>
        <v/>
      </c>
      <c r="Z314" s="22" t="str">
        <f t="shared" si="44"/>
        <v/>
      </c>
      <c r="AA314" s="28" t="str">
        <f t="shared" si="45"/>
        <v/>
      </c>
      <c r="AB314" s="28" t="str">
        <f t="shared" si="46"/>
        <v/>
      </c>
      <c r="AC314" s="28" t="str">
        <f>IF($A314="","",SUMIFS('CHẶNG TĂNG CA'!$E$5:$E$304,'CHẶNG TĂNG CA'!$A$5:$A$304,$A314,'CHẶNG TĂNG CA'!$B$5:$B$304,$B314))</f>
        <v/>
      </c>
      <c r="AD314" s="28" t="str">
        <f>IF($A314="","",SUMIFS('CHẶNG TĂNG CA'!$F$5:$F$304,'CHẶNG TĂNG CA'!$A$5:$A$304,$A314,'CHẶNG TĂNG CA'!$B$5:$B$304,$B314))</f>
        <v/>
      </c>
      <c r="AE314" s="28" t="str">
        <f>IF($A314="","",SUMIFS('CHẶNG TĂNG CA'!$G$5:$G$304,'CHẶNG TĂNG CA'!$A$5:$A$304,$A314,'CHẶNG TĂNG CA'!$B$5:$B$304,$B314))</f>
        <v/>
      </c>
      <c r="AF314" s="28" t="str">
        <f>IF($A314="","",SUMIFS('CHẶNG TĂNG CA'!$H$5:$H$304,'CHẶNG TĂNG CA'!$A$5:$A$304,$A314,'CHẶNG TĂNG CA'!$B$5:$B$304,$B314))</f>
        <v/>
      </c>
      <c r="AG314" s="28" t="str">
        <f t="shared" si="47"/>
        <v/>
      </c>
      <c r="AH314" s="16" t="str">
        <f>IF($A314="","",IF(COUNTIFS('LỆNH ĐIỀU XE'!$B$5:$B$604,$A314,'LỆNH ĐIỀU XE'!$C$5:$C$604,$B314,'LỆNH ĐIỀU XE'!$N$5:$N$604,"Có")&gt;0,"Có","Không"))</f>
        <v/>
      </c>
      <c r="AI314" s="16" t="str">
        <f>IF(OR($A314="",H314="",N(T314)=0),"",IF(_xlfn.MAXIFS('LỆNH ĐIỀU XE'!$U$5:$U$604,'LỆNH ĐIỀU XE'!$B$5:$B$604,$A314,'LỆNH ĐIỀU XE'!$C$5:$C$604,$B314)=0,"",ROUND((H314+(H314&lt;4/24)-_xlfn.MAXIFS('LỆNH ĐIỀU XE'!$U$5:$U$604,'LỆNH ĐIỀU XE'!$B$5:$B$604,$A314,'LỆNH ĐIỀU XE'!$C$5:$C$604,$B314))*1440,0)))</f>
        <v/>
      </c>
      <c r="AJ314" s="16" t="str">
        <f>IF($A314="","",IF(OR(AI314="",V314=""),"Thiếu dữ liệu",IF(AND(AI314&lt;='THAM SỐ'!$B$29,ABS(V314)&lt;='THAM SỐ'!$B$28),"Đạt","Không đạt")))</f>
        <v/>
      </c>
      <c r="AK314" s="16" t="str">
        <f t="shared" si="48"/>
        <v/>
      </c>
      <c r="AL314" s="16" t="str">
        <f>IF($A314="","",TRIM(IF(T314=0,"Không có lệnh; ","")&amp;IF(N(N314)&gt;0,"Dừng ngoài lệnh; ","")&amp;IF(N(J314)&gt;0,"Quá tốc độ; ","")&amp;IF(N(K314)&gt;0,"Lái quá 4h; ","")&amp;IF(N(L314)&gt;0,"Không tắt máy; ","")&amp;IF(OR(P314&lt;&gt;"Đủ",Q314&lt;&gt;"Đủ",R314&lt;&gt;"Đủ"),"Thiếu ảnh; ","")&amp;IF(S314&lt;&gt;"Đạt","Lốp chưa đạt; ","")&amp;IF(N(W314)&gt;'THAM SỐ'!$B$27,"Có mặt quá giờ; ","")&amp;IF(N(X314)&gt;'THAM SỐ'!$B$25,"Lái quá giờ ngày; ","")&amp;IF(ISNUMBER(V314),IF(ABS(V314)&gt;'THAM SỐ'!$B$28,"Lệch km; ",""),"")))</f>
        <v/>
      </c>
      <c r="AM314" s="29"/>
      <c r="AN314" s="30"/>
      <c r="AO314" s="28" t="str">
        <f t="shared" si="49"/>
        <v/>
      </c>
      <c r="AP314" s="21" t="str">
        <f>IF(OR($A314="",AO314=""),"",IF(AG314=0,0,ROUND((AC314*'THAM SỐ'!$B$18+AD314*'THAM SỐ'!$B$19+AE314*'THAM SỐ'!$B$20+AF314*'THAM SỐ'!$B$21)*MIN(1,AO314/AG314),0)))</f>
        <v/>
      </c>
      <c r="AQ314" s="18"/>
    </row>
    <row r="315" spans="1:43" x14ac:dyDescent="0.45">
      <c r="A315" s="17"/>
      <c r="B315" s="18"/>
      <c r="C315" s="18"/>
      <c r="D315" s="25"/>
      <c r="E315" s="26"/>
      <c r="F315" s="26"/>
      <c r="G315" s="20"/>
      <c r="H315" s="20"/>
      <c r="I315" s="18"/>
      <c r="J315" s="18"/>
      <c r="K315" s="18"/>
      <c r="L315" s="18"/>
      <c r="M315" s="18"/>
      <c r="N315" s="18"/>
      <c r="O315" s="18"/>
      <c r="P315" s="18"/>
      <c r="Q315" s="18"/>
      <c r="R315" s="18"/>
      <c r="S315" s="18"/>
      <c r="T315" s="16" t="str">
        <f>IF($A315="","",COUNTIFS('LỆNH ĐIỀU XE'!$B$5:$B$604,$A315,'LỆNH ĐIỀU XE'!$C$5:$C$604,$B315))</f>
        <v/>
      </c>
      <c r="U315" s="27" t="str">
        <f>IF($A315="","",SUMIFS('LỆNH ĐIỀU XE'!$J$5:$J$604,'LỆNH ĐIỀU XE'!$B$5:$B$604,$A315,'LỆNH ĐIỀU XE'!$C$5:$C$604,$B315))</f>
        <v/>
      </c>
      <c r="V315" s="22" t="str">
        <f t="shared" si="40"/>
        <v/>
      </c>
      <c r="W315" s="28" t="str">
        <f t="shared" si="41"/>
        <v/>
      </c>
      <c r="X315" s="28" t="str">
        <f t="shared" si="42"/>
        <v/>
      </c>
      <c r="Y315" s="28" t="str">
        <f t="shared" si="43"/>
        <v/>
      </c>
      <c r="Z315" s="22" t="str">
        <f t="shared" si="44"/>
        <v/>
      </c>
      <c r="AA315" s="28" t="str">
        <f t="shared" si="45"/>
        <v/>
      </c>
      <c r="AB315" s="28" t="str">
        <f t="shared" si="46"/>
        <v/>
      </c>
      <c r="AC315" s="28" t="str">
        <f>IF($A315="","",SUMIFS('CHẶNG TĂNG CA'!$E$5:$E$304,'CHẶNG TĂNG CA'!$A$5:$A$304,$A315,'CHẶNG TĂNG CA'!$B$5:$B$304,$B315))</f>
        <v/>
      </c>
      <c r="AD315" s="28" t="str">
        <f>IF($A315="","",SUMIFS('CHẶNG TĂNG CA'!$F$5:$F$304,'CHẶNG TĂNG CA'!$A$5:$A$304,$A315,'CHẶNG TĂNG CA'!$B$5:$B$304,$B315))</f>
        <v/>
      </c>
      <c r="AE315" s="28" t="str">
        <f>IF($A315="","",SUMIFS('CHẶNG TĂNG CA'!$G$5:$G$304,'CHẶNG TĂNG CA'!$A$5:$A$304,$A315,'CHẶNG TĂNG CA'!$B$5:$B$304,$B315))</f>
        <v/>
      </c>
      <c r="AF315" s="28" t="str">
        <f>IF($A315="","",SUMIFS('CHẶNG TĂNG CA'!$H$5:$H$304,'CHẶNG TĂNG CA'!$A$5:$A$304,$A315,'CHẶNG TĂNG CA'!$B$5:$B$304,$B315))</f>
        <v/>
      </c>
      <c r="AG315" s="28" t="str">
        <f t="shared" si="47"/>
        <v/>
      </c>
      <c r="AH315" s="16" t="str">
        <f>IF($A315="","",IF(COUNTIFS('LỆNH ĐIỀU XE'!$B$5:$B$604,$A315,'LỆNH ĐIỀU XE'!$C$5:$C$604,$B315,'LỆNH ĐIỀU XE'!$N$5:$N$604,"Có")&gt;0,"Có","Không"))</f>
        <v/>
      </c>
      <c r="AI315" s="16" t="str">
        <f>IF(OR($A315="",H315="",N(T315)=0),"",IF(_xlfn.MAXIFS('LỆNH ĐIỀU XE'!$U$5:$U$604,'LỆNH ĐIỀU XE'!$B$5:$B$604,$A315,'LỆNH ĐIỀU XE'!$C$5:$C$604,$B315)=0,"",ROUND((H315+(H315&lt;4/24)-_xlfn.MAXIFS('LỆNH ĐIỀU XE'!$U$5:$U$604,'LỆNH ĐIỀU XE'!$B$5:$B$604,$A315,'LỆNH ĐIỀU XE'!$C$5:$C$604,$B315))*1440,0)))</f>
        <v/>
      </c>
      <c r="AJ315" s="16" t="str">
        <f>IF($A315="","",IF(OR(AI315="",V315=""),"Thiếu dữ liệu",IF(AND(AI315&lt;='THAM SỐ'!$B$29,ABS(V315)&lt;='THAM SỐ'!$B$28),"Đạt","Không đạt")))</f>
        <v/>
      </c>
      <c r="AK315" s="16" t="str">
        <f t="shared" si="48"/>
        <v/>
      </c>
      <c r="AL315" s="16" t="str">
        <f>IF($A315="","",TRIM(IF(T315=0,"Không có lệnh; ","")&amp;IF(N(N315)&gt;0,"Dừng ngoài lệnh; ","")&amp;IF(N(J315)&gt;0,"Quá tốc độ; ","")&amp;IF(N(K315)&gt;0,"Lái quá 4h; ","")&amp;IF(N(L315)&gt;0,"Không tắt máy; ","")&amp;IF(OR(P315&lt;&gt;"Đủ",Q315&lt;&gt;"Đủ",R315&lt;&gt;"Đủ"),"Thiếu ảnh; ","")&amp;IF(S315&lt;&gt;"Đạt","Lốp chưa đạt; ","")&amp;IF(N(W315)&gt;'THAM SỐ'!$B$27,"Có mặt quá giờ; ","")&amp;IF(N(X315)&gt;'THAM SỐ'!$B$25,"Lái quá giờ ngày; ","")&amp;IF(ISNUMBER(V315),IF(ABS(V315)&gt;'THAM SỐ'!$B$28,"Lệch km; ",""),"")))</f>
        <v/>
      </c>
      <c r="AM315" s="29"/>
      <c r="AN315" s="30"/>
      <c r="AO315" s="28" t="str">
        <f t="shared" si="49"/>
        <v/>
      </c>
      <c r="AP315" s="21" t="str">
        <f>IF(OR($A315="",AO315=""),"",IF(AG315=0,0,ROUND((AC315*'THAM SỐ'!$B$18+AD315*'THAM SỐ'!$B$19+AE315*'THAM SỐ'!$B$20+AF315*'THAM SỐ'!$B$21)*MIN(1,AO315/AG315),0)))</f>
        <v/>
      </c>
      <c r="AQ315" s="18"/>
    </row>
    <row r="316" spans="1:43" x14ac:dyDescent="0.45">
      <c r="A316" s="17"/>
      <c r="B316" s="18"/>
      <c r="C316" s="18"/>
      <c r="D316" s="25"/>
      <c r="E316" s="26"/>
      <c r="F316" s="26"/>
      <c r="G316" s="20"/>
      <c r="H316" s="20"/>
      <c r="I316" s="18"/>
      <c r="J316" s="18"/>
      <c r="K316" s="18"/>
      <c r="L316" s="18"/>
      <c r="M316" s="18"/>
      <c r="N316" s="18"/>
      <c r="O316" s="18"/>
      <c r="P316" s="18"/>
      <c r="Q316" s="18"/>
      <c r="R316" s="18"/>
      <c r="S316" s="18"/>
      <c r="T316" s="16" t="str">
        <f>IF($A316="","",COUNTIFS('LỆNH ĐIỀU XE'!$B$5:$B$604,$A316,'LỆNH ĐIỀU XE'!$C$5:$C$604,$B316))</f>
        <v/>
      </c>
      <c r="U316" s="27" t="str">
        <f>IF($A316="","",SUMIFS('LỆNH ĐIỀU XE'!$J$5:$J$604,'LỆNH ĐIỀU XE'!$B$5:$B$604,$A316,'LỆNH ĐIỀU XE'!$C$5:$C$604,$B316))</f>
        <v/>
      </c>
      <c r="V316" s="22" t="str">
        <f t="shared" si="40"/>
        <v/>
      </c>
      <c r="W316" s="28" t="str">
        <f t="shared" si="41"/>
        <v/>
      </c>
      <c r="X316" s="28" t="str">
        <f t="shared" si="42"/>
        <v/>
      </c>
      <c r="Y316" s="28" t="str">
        <f t="shared" si="43"/>
        <v/>
      </c>
      <c r="Z316" s="22" t="str">
        <f t="shared" si="44"/>
        <v/>
      </c>
      <c r="AA316" s="28" t="str">
        <f t="shared" si="45"/>
        <v/>
      </c>
      <c r="AB316" s="28" t="str">
        <f t="shared" si="46"/>
        <v/>
      </c>
      <c r="AC316" s="28" t="str">
        <f>IF($A316="","",SUMIFS('CHẶNG TĂNG CA'!$E$5:$E$304,'CHẶNG TĂNG CA'!$A$5:$A$304,$A316,'CHẶNG TĂNG CA'!$B$5:$B$304,$B316))</f>
        <v/>
      </c>
      <c r="AD316" s="28" t="str">
        <f>IF($A316="","",SUMIFS('CHẶNG TĂNG CA'!$F$5:$F$304,'CHẶNG TĂNG CA'!$A$5:$A$304,$A316,'CHẶNG TĂNG CA'!$B$5:$B$304,$B316))</f>
        <v/>
      </c>
      <c r="AE316" s="28" t="str">
        <f>IF($A316="","",SUMIFS('CHẶNG TĂNG CA'!$G$5:$G$304,'CHẶNG TĂNG CA'!$A$5:$A$304,$A316,'CHẶNG TĂNG CA'!$B$5:$B$304,$B316))</f>
        <v/>
      </c>
      <c r="AF316" s="28" t="str">
        <f>IF($A316="","",SUMIFS('CHẶNG TĂNG CA'!$H$5:$H$304,'CHẶNG TĂNG CA'!$A$5:$A$304,$A316,'CHẶNG TĂNG CA'!$B$5:$B$304,$B316))</f>
        <v/>
      </c>
      <c r="AG316" s="28" t="str">
        <f t="shared" si="47"/>
        <v/>
      </c>
      <c r="AH316" s="16" t="str">
        <f>IF($A316="","",IF(COUNTIFS('LỆNH ĐIỀU XE'!$B$5:$B$604,$A316,'LỆNH ĐIỀU XE'!$C$5:$C$604,$B316,'LỆNH ĐIỀU XE'!$N$5:$N$604,"Có")&gt;0,"Có","Không"))</f>
        <v/>
      </c>
      <c r="AI316" s="16" t="str">
        <f>IF(OR($A316="",H316="",N(T316)=0),"",IF(_xlfn.MAXIFS('LỆNH ĐIỀU XE'!$U$5:$U$604,'LỆNH ĐIỀU XE'!$B$5:$B$604,$A316,'LỆNH ĐIỀU XE'!$C$5:$C$604,$B316)=0,"",ROUND((H316+(H316&lt;4/24)-_xlfn.MAXIFS('LỆNH ĐIỀU XE'!$U$5:$U$604,'LỆNH ĐIỀU XE'!$B$5:$B$604,$A316,'LỆNH ĐIỀU XE'!$C$5:$C$604,$B316))*1440,0)))</f>
        <v/>
      </c>
      <c r="AJ316" s="16" t="str">
        <f>IF($A316="","",IF(OR(AI316="",V316=""),"Thiếu dữ liệu",IF(AND(AI316&lt;='THAM SỐ'!$B$29,ABS(V316)&lt;='THAM SỐ'!$B$28),"Đạt","Không đạt")))</f>
        <v/>
      </c>
      <c r="AK316" s="16" t="str">
        <f t="shared" si="48"/>
        <v/>
      </c>
      <c r="AL316" s="16" t="str">
        <f>IF($A316="","",TRIM(IF(T316=0,"Không có lệnh; ","")&amp;IF(N(N316)&gt;0,"Dừng ngoài lệnh; ","")&amp;IF(N(J316)&gt;0,"Quá tốc độ; ","")&amp;IF(N(K316)&gt;0,"Lái quá 4h; ","")&amp;IF(N(L316)&gt;0,"Không tắt máy; ","")&amp;IF(OR(P316&lt;&gt;"Đủ",Q316&lt;&gt;"Đủ",R316&lt;&gt;"Đủ"),"Thiếu ảnh; ","")&amp;IF(S316&lt;&gt;"Đạt","Lốp chưa đạt; ","")&amp;IF(N(W316)&gt;'THAM SỐ'!$B$27,"Có mặt quá giờ; ","")&amp;IF(N(X316)&gt;'THAM SỐ'!$B$25,"Lái quá giờ ngày; ","")&amp;IF(ISNUMBER(V316),IF(ABS(V316)&gt;'THAM SỐ'!$B$28,"Lệch km; ",""),"")))</f>
        <v/>
      </c>
      <c r="AM316" s="29"/>
      <c r="AN316" s="30"/>
      <c r="AO316" s="28" t="str">
        <f t="shared" si="49"/>
        <v/>
      </c>
      <c r="AP316" s="21" t="str">
        <f>IF(OR($A316="",AO316=""),"",IF(AG316=0,0,ROUND((AC316*'THAM SỐ'!$B$18+AD316*'THAM SỐ'!$B$19+AE316*'THAM SỐ'!$B$20+AF316*'THAM SỐ'!$B$21)*MIN(1,AO316/AG316),0)))</f>
        <v/>
      </c>
      <c r="AQ316" s="18"/>
    </row>
    <row r="317" spans="1:43" x14ac:dyDescent="0.45">
      <c r="A317" s="17"/>
      <c r="B317" s="18"/>
      <c r="C317" s="18"/>
      <c r="D317" s="25"/>
      <c r="E317" s="26"/>
      <c r="F317" s="26"/>
      <c r="G317" s="20"/>
      <c r="H317" s="20"/>
      <c r="I317" s="18"/>
      <c r="J317" s="18"/>
      <c r="K317" s="18"/>
      <c r="L317" s="18"/>
      <c r="M317" s="18"/>
      <c r="N317" s="18"/>
      <c r="O317" s="18"/>
      <c r="P317" s="18"/>
      <c r="Q317" s="18"/>
      <c r="R317" s="18"/>
      <c r="S317" s="18"/>
      <c r="T317" s="16" t="str">
        <f>IF($A317="","",COUNTIFS('LỆNH ĐIỀU XE'!$B$5:$B$604,$A317,'LỆNH ĐIỀU XE'!$C$5:$C$604,$B317))</f>
        <v/>
      </c>
      <c r="U317" s="27" t="str">
        <f>IF($A317="","",SUMIFS('LỆNH ĐIỀU XE'!$J$5:$J$604,'LỆNH ĐIỀU XE'!$B$5:$B$604,$A317,'LỆNH ĐIỀU XE'!$C$5:$C$604,$B317))</f>
        <v/>
      </c>
      <c r="V317" s="22" t="str">
        <f t="shared" si="40"/>
        <v/>
      </c>
      <c r="W317" s="28" t="str">
        <f t="shared" si="41"/>
        <v/>
      </c>
      <c r="X317" s="28" t="str">
        <f t="shared" si="42"/>
        <v/>
      </c>
      <c r="Y317" s="28" t="str">
        <f t="shared" si="43"/>
        <v/>
      </c>
      <c r="Z317" s="22" t="str">
        <f t="shared" si="44"/>
        <v/>
      </c>
      <c r="AA317" s="28" t="str">
        <f t="shared" si="45"/>
        <v/>
      </c>
      <c r="AB317" s="28" t="str">
        <f t="shared" si="46"/>
        <v/>
      </c>
      <c r="AC317" s="28" t="str">
        <f>IF($A317="","",SUMIFS('CHẶNG TĂNG CA'!$E$5:$E$304,'CHẶNG TĂNG CA'!$A$5:$A$304,$A317,'CHẶNG TĂNG CA'!$B$5:$B$304,$B317))</f>
        <v/>
      </c>
      <c r="AD317" s="28" t="str">
        <f>IF($A317="","",SUMIFS('CHẶNG TĂNG CA'!$F$5:$F$304,'CHẶNG TĂNG CA'!$A$5:$A$304,$A317,'CHẶNG TĂNG CA'!$B$5:$B$304,$B317))</f>
        <v/>
      </c>
      <c r="AE317" s="28" t="str">
        <f>IF($A317="","",SUMIFS('CHẶNG TĂNG CA'!$G$5:$G$304,'CHẶNG TĂNG CA'!$A$5:$A$304,$A317,'CHẶNG TĂNG CA'!$B$5:$B$304,$B317))</f>
        <v/>
      </c>
      <c r="AF317" s="28" t="str">
        <f>IF($A317="","",SUMIFS('CHẶNG TĂNG CA'!$H$5:$H$304,'CHẶNG TĂNG CA'!$A$5:$A$304,$A317,'CHẶNG TĂNG CA'!$B$5:$B$304,$B317))</f>
        <v/>
      </c>
      <c r="AG317" s="28" t="str">
        <f t="shared" si="47"/>
        <v/>
      </c>
      <c r="AH317" s="16" t="str">
        <f>IF($A317="","",IF(COUNTIFS('LỆNH ĐIỀU XE'!$B$5:$B$604,$A317,'LỆNH ĐIỀU XE'!$C$5:$C$604,$B317,'LỆNH ĐIỀU XE'!$N$5:$N$604,"Có")&gt;0,"Có","Không"))</f>
        <v/>
      </c>
      <c r="AI317" s="16" t="str">
        <f>IF(OR($A317="",H317="",N(T317)=0),"",IF(_xlfn.MAXIFS('LỆNH ĐIỀU XE'!$U$5:$U$604,'LỆNH ĐIỀU XE'!$B$5:$B$604,$A317,'LỆNH ĐIỀU XE'!$C$5:$C$604,$B317)=0,"",ROUND((H317+(H317&lt;4/24)-_xlfn.MAXIFS('LỆNH ĐIỀU XE'!$U$5:$U$604,'LỆNH ĐIỀU XE'!$B$5:$B$604,$A317,'LỆNH ĐIỀU XE'!$C$5:$C$604,$B317))*1440,0)))</f>
        <v/>
      </c>
      <c r="AJ317" s="16" t="str">
        <f>IF($A317="","",IF(OR(AI317="",V317=""),"Thiếu dữ liệu",IF(AND(AI317&lt;='THAM SỐ'!$B$29,ABS(V317)&lt;='THAM SỐ'!$B$28),"Đạt","Không đạt")))</f>
        <v/>
      </c>
      <c r="AK317" s="16" t="str">
        <f t="shared" si="48"/>
        <v/>
      </c>
      <c r="AL317" s="16" t="str">
        <f>IF($A317="","",TRIM(IF(T317=0,"Không có lệnh; ","")&amp;IF(N(N317)&gt;0,"Dừng ngoài lệnh; ","")&amp;IF(N(J317)&gt;0,"Quá tốc độ; ","")&amp;IF(N(K317)&gt;0,"Lái quá 4h; ","")&amp;IF(N(L317)&gt;0,"Không tắt máy; ","")&amp;IF(OR(P317&lt;&gt;"Đủ",Q317&lt;&gt;"Đủ",R317&lt;&gt;"Đủ"),"Thiếu ảnh; ","")&amp;IF(S317&lt;&gt;"Đạt","Lốp chưa đạt; ","")&amp;IF(N(W317)&gt;'THAM SỐ'!$B$27,"Có mặt quá giờ; ","")&amp;IF(N(X317)&gt;'THAM SỐ'!$B$25,"Lái quá giờ ngày; ","")&amp;IF(ISNUMBER(V317),IF(ABS(V317)&gt;'THAM SỐ'!$B$28,"Lệch km; ",""),"")))</f>
        <v/>
      </c>
      <c r="AM317" s="29"/>
      <c r="AN317" s="30"/>
      <c r="AO317" s="28" t="str">
        <f t="shared" si="49"/>
        <v/>
      </c>
      <c r="AP317" s="21" t="str">
        <f>IF(OR($A317="",AO317=""),"",IF(AG317=0,0,ROUND((AC317*'THAM SỐ'!$B$18+AD317*'THAM SỐ'!$B$19+AE317*'THAM SỐ'!$B$20+AF317*'THAM SỐ'!$B$21)*MIN(1,AO317/AG317),0)))</f>
        <v/>
      </c>
      <c r="AQ317" s="18"/>
    </row>
    <row r="318" spans="1:43" x14ac:dyDescent="0.45">
      <c r="A318" s="17"/>
      <c r="B318" s="18"/>
      <c r="C318" s="18"/>
      <c r="D318" s="25"/>
      <c r="E318" s="26"/>
      <c r="F318" s="26"/>
      <c r="G318" s="20"/>
      <c r="H318" s="20"/>
      <c r="I318" s="18"/>
      <c r="J318" s="18"/>
      <c r="K318" s="18"/>
      <c r="L318" s="18"/>
      <c r="M318" s="18"/>
      <c r="N318" s="18"/>
      <c r="O318" s="18"/>
      <c r="P318" s="18"/>
      <c r="Q318" s="18"/>
      <c r="R318" s="18"/>
      <c r="S318" s="18"/>
      <c r="T318" s="16" t="str">
        <f>IF($A318="","",COUNTIFS('LỆNH ĐIỀU XE'!$B$5:$B$604,$A318,'LỆNH ĐIỀU XE'!$C$5:$C$604,$B318))</f>
        <v/>
      </c>
      <c r="U318" s="27" t="str">
        <f>IF($A318="","",SUMIFS('LỆNH ĐIỀU XE'!$J$5:$J$604,'LỆNH ĐIỀU XE'!$B$5:$B$604,$A318,'LỆNH ĐIỀU XE'!$C$5:$C$604,$B318))</f>
        <v/>
      </c>
      <c r="V318" s="22" t="str">
        <f t="shared" si="40"/>
        <v/>
      </c>
      <c r="W318" s="28" t="str">
        <f t="shared" si="41"/>
        <v/>
      </c>
      <c r="X318" s="28" t="str">
        <f t="shared" si="42"/>
        <v/>
      </c>
      <c r="Y318" s="28" t="str">
        <f t="shared" si="43"/>
        <v/>
      </c>
      <c r="Z318" s="22" t="str">
        <f t="shared" si="44"/>
        <v/>
      </c>
      <c r="AA318" s="28" t="str">
        <f t="shared" si="45"/>
        <v/>
      </c>
      <c r="AB318" s="28" t="str">
        <f t="shared" si="46"/>
        <v/>
      </c>
      <c r="AC318" s="28" t="str">
        <f>IF($A318="","",SUMIFS('CHẶNG TĂNG CA'!$E$5:$E$304,'CHẶNG TĂNG CA'!$A$5:$A$304,$A318,'CHẶNG TĂNG CA'!$B$5:$B$304,$B318))</f>
        <v/>
      </c>
      <c r="AD318" s="28" t="str">
        <f>IF($A318="","",SUMIFS('CHẶNG TĂNG CA'!$F$5:$F$304,'CHẶNG TĂNG CA'!$A$5:$A$304,$A318,'CHẶNG TĂNG CA'!$B$5:$B$304,$B318))</f>
        <v/>
      </c>
      <c r="AE318" s="28" t="str">
        <f>IF($A318="","",SUMIFS('CHẶNG TĂNG CA'!$G$5:$G$304,'CHẶNG TĂNG CA'!$A$5:$A$304,$A318,'CHẶNG TĂNG CA'!$B$5:$B$304,$B318))</f>
        <v/>
      </c>
      <c r="AF318" s="28" t="str">
        <f>IF($A318="","",SUMIFS('CHẶNG TĂNG CA'!$H$5:$H$304,'CHẶNG TĂNG CA'!$A$5:$A$304,$A318,'CHẶNG TĂNG CA'!$B$5:$B$304,$B318))</f>
        <v/>
      </c>
      <c r="AG318" s="28" t="str">
        <f t="shared" si="47"/>
        <v/>
      </c>
      <c r="AH318" s="16" t="str">
        <f>IF($A318="","",IF(COUNTIFS('LỆNH ĐIỀU XE'!$B$5:$B$604,$A318,'LỆNH ĐIỀU XE'!$C$5:$C$604,$B318,'LỆNH ĐIỀU XE'!$N$5:$N$604,"Có")&gt;0,"Có","Không"))</f>
        <v/>
      </c>
      <c r="AI318" s="16" t="str">
        <f>IF(OR($A318="",H318="",N(T318)=0),"",IF(_xlfn.MAXIFS('LỆNH ĐIỀU XE'!$U$5:$U$604,'LỆNH ĐIỀU XE'!$B$5:$B$604,$A318,'LỆNH ĐIỀU XE'!$C$5:$C$604,$B318)=0,"",ROUND((H318+(H318&lt;4/24)-_xlfn.MAXIFS('LỆNH ĐIỀU XE'!$U$5:$U$604,'LỆNH ĐIỀU XE'!$B$5:$B$604,$A318,'LỆNH ĐIỀU XE'!$C$5:$C$604,$B318))*1440,0)))</f>
        <v/>
      </c>
      <c r="AJ318" s="16" t="str">
        <f>IF($A318="","",IF(OR(AI318="",V318=""),"Thiếu dữ liệu",IF(AND(AI318&lt;='THAM SỐ'!$B$29,ABS(V318)&lt;='THAM SỐ'!$B$28),"Đạt","Không đạt")))</f>
        <v/>
      </c>
      <c r="AK318" s="16" t="str">
        <f t="shared" si="48"/>
        <v/>
      </c>
      <c r="AL318" s="16" t="str">
        <f>IF($A318="","",TRIM(IF(T318=0,"Không có lệnh; ","")&amp;IF(N(N318)&gt;0,"Dừng ngoài lệnh; ","")&amp;IF(N(J318)&gt;0,"Quá tốc độ; ","")&amp;IF(N(K318)&gt;0,"Lái quá 4h; ","")&amp;IF(N(L318)&gt;0,"Không tắt máy; ","")&amp;IF(OR(P318&lt;&gt;"Đủ",Q318&lt;&gt;"Đủ",R318&lt;&gt;"Đủ"),"Thiếu ảnh; ","")&amp;IF(S318&lt;&gt;"Đạt","Lốp chưa đạt; ","")&amp;IF(N(W318)&gt;'THAM SỐ'!$B$27,"Có mặt quá giờ; ","")&amp;IF(N(X318)&gt;'THAM SỐ'!$B$25,"Lái quá giờ ngày; ","")&amp;IF(ISNUMBER(V318),IF(ABS(V318)&gt;'THAM SỐ'!$B$28,"Lệch km; ",""),"")))</f>
        <v/>
      </c>
      <c r="AM318" s="29"/>
      <c r="AN318" s="30"/>
      <c r="AO318" s="28" t="str">
        <f t="shared" si="49"/>
        <v/>
      </c>
      <c r="AP318" s="21" t="str">
        <f>IF(OR($A318="",AO318=""),"",IF(AG318=0,0,ROUND((AC318*'THAM SỐ'!$B$18+AD318*'THAM SỐ'!$B$19+AE318*'THAM SỐ'!$B$20+AF318*'THAM SỐ'!$B$21)*MIN(1,AO318/AG318),0)))</f>
        <v/>
      </c>
      <c r="AQ318" s="18"/>
    </row>
    <row r="319" spans="1:43" x14ac:dyDescent="0.45">
      <c r="A319" s="17"/>
      <c r="B319" s="18"/>
      <c r="C319" s="18"/>
      <c r="D319" s="25"/>
      <c r="E319" s="26"/>
      <c r="F319" s="26"/>
      <c r="G319" s="20"/>
      <c r="H319" s="20"/>
      <c r="I319" s="18"/>
      <c r="J319" s="18"/>
      <c r="K319" s="18"/>
      <c r="L319" s="18"/>
      <c r="M319" s="18"/>
      <c r="N319" s="18"/>
      <c r="O319" s="18"/>
      <c r="P319" s="18"/>
      <c r="Q319" s="18"/>
      <c r="R319" s="18"/>
      <c r="S319" s="18"/>
      <c r="T319" s="16" t="str">
        <f>IF($A319="","",COUNTIFS('LỆNH ĐIỀU XE'!$B$5:$B$604,$A319,'LỆNH ĐIỀU XE'!$C$5:$C$604,$B319))</f>
        <v/>
      </c>
      <c r="U319" s="27" t="str">
        <f>IF($A319="","",SUMIFS('LỆNH ĐIỀU XE'!$J$5:$J$604,'LỆNH ĐIỀU XE'!$B$5:$B$604,$A319,'LỆNH ĐIỀU XE'!$C$5:$C$604,$B319))</f>
        <v/>
      </c>
      <c r="V319" s="22" t="str">
        <f t="shared" si="40"/>
        <v/>
      </c>
      <c r="W319" s="28" t="str">
        <f t="shared" si="41"/>
        <v/>
      </c>
      <c r="X319" s="28" t="str">
        <f t="shared" si="42"/>
        <v/>
      </c>
      <c r="Y319" s="28" t="str">
        <f t="shared" si="43"/>
        <v/>
      </c>
      <c r="Z319" s="22" t="str">
        <f t="shared" si="44"/>
        <v/>
      </c>
      <c r="AA319" s="28" t="str">
        <f t="shared" si="45"/>
        <v/>
      </c>
      <c r="AB319" s="28" t="str">
        <f t="shared" si="46"/>
        <v/>
      </c>
      <c r="AC319" s="28" t="str">
        <f>IF($A319="","",SUMIFS('CHẶNG TĂNG CA'!$E$5:$E$304,'CHẶNG TĂNG CA'!$A$5:$A$304,$A319,'CHẶNG TĂNG CA'!$B$5:$B$304,$B319))</f>
        <v/>
      </c>
      <c r="AD319" s="28" t="str">
        <f>IF($A319="","",SUMIFS('CHẶNG TĂNG CA'!$F$5:$F$304,'CHẶNG TĂNG CA'!$A$5:$A$304,$A319,'CHẶNG TĂNG CA'!$B$5:$B$304,$B319))</f>
        <v/>
      </c>
      <c r="AE319" s="28" t="str">
        <f>IF($A319="","",SUMIFS('CHẶNG TĂNG CA'!$G$5:$G$304,'CHẶNG TĂNG CA'!$A$5:$A$304,$A319,'CHẶNG TĂNG CA'!$B$5:$B$304,$B319))</f>
        <v/>
      </c>
      <c r="AF319" s="28" t="str">
        <f>IF($A319="","",SUMIFS('CHẶNG TĂNG CA'!$H$5:$H$304,'CHẶNG TĂNG CA'!$A$5:$A$304,$A319,'CHẶNG TĂNG CA'!$B$5:$B$304,$B319))</f>
        <v/>
      </c>
      <c r="AG319" s="28" t="str">
        <f t="shared" si="47"/>
        <v/>
      </c>
      <c r="AH319" s="16" t="str">
        <f>IF($A319="","",IF(COUNTIFS('LỆNH ĐIỀU XE'!$B$5:$B$604,$A319,'LỆNH ĐIỀU XE'!$C$5:$C$604,$B319,'LỆNH ĐIỀU XE'!$N$5:$N$604,"Có")&gt;0,"Có","Không"))</f>
        <v/>
      </c>
      <c r="AI319" s="16" t="str">
        <f>IF(OR($A319="",H319="",N(T319)=0),"",IF(_xlfn.MAXIFS('LỆNH ĐIỀU XE'!$U$5:$U$604,'LỆNH ĐIỀU XE'!$B$5:$B$604,$A319,'LỆNH ĐIỀU XE'!$C$5:$C$604,$B319)=0,"",ROUND((H319+(H319&lt;4/24)-_xlfn.MAXIFS('LỆNH ĐIỀU XE'!$U$5:$U$604,'LỆNH ĐIỀU XE'!$B$5:$B$604,$A319,'LỆNH ĐIỀU XE'!$C$5:$C$604,$B319))*1440,0)))</f>
        <v/>
      </c>
      <c r="AJ319" s="16" t="str">
        <f>IF($A319="","",IF(OR(AI319="",V319=""),"Thiếu dữ liệu",IF(AND(AI319&lt;='THAM SỐ'!$B$29,ABS(V319)&lt;='THAM SỐ'!$B$28),"Đạt","Không đạt")))</f>
        <v/>
      </c>
      <c r="AK319" s="16" t="str">
        <f t="shared" si="48"/>
        <v/>
      </c>
      <c r="AL319" s="16" t="str">
        <f>IF($A319="","",TRIM(IF(T319=0,"Không có lệnh; ","")&amp;IF(N(N319)&gt;0,"Dừng ngoài lệnh; ","")&amp;IF(N(J319)&gt;0,"Quá tốc độ; ","")&amp;IF(N(K319)&gt;0,"Lái quá 4h; ","")&amp;IF(N(L319)&gt;0,"Không tắt máy; ","")&amp;IF(OR(P319&lt;&gt;"Đủ",Q319&lt;&gt;"Đủ",R319&lt;&gt;"Đủ"),"Thiếu ảnh; ","")&amp;IF(S319&lt;&gt;"Đạt","Lốp chưa đạt; ","")&amp;IF(N(W319)&gt;'THAM SỐ'!$B$27,"Có mặt quá giờ; ","")&amp;IF(N(X319)&gt;'THAM SỐ'!$B$25,"Lái quá giờ ngày; ","")&amp;IF(ISNUMBER(V319),IF(ABS(V319)&gt;'THAM SỐ'!$B$28,"Lệch km; ",""),"")))</f>
        <v/>
      </c>
      <c r="AM319" s="29"/>
      <c r="AN319" s="30"/>
      <c r="AO319" s="28" t="str">
        <f t="shared" si="49"/>
        <v/>
      </c>
      <c r="AP319" s="21" t="str">
        <f>IF(OR($A319="",AO319=""),"",IF(AG319=0,0,ROUND((AC319*'THAM SỐ'!$B$18+AD319*'THAM SỐ'!$B$19+AE319*'THAM SỐ'!$B$20+AF319*'THAM SỐ'!$B$21)*MIN(1,AO319/AG319),0)))</f>
        <v/>
      </c>
      <c r="AQ319" s="18"/>
    </row>
    <row r="320" spans="1:43" x14ac:dyDescent="0.45">
      <c r="A320" s="17"/>
      <c r="B320" s="18"/>
      <c r="C320" s="18"/>
      <c r="D320" s="25"/>
      <c r="E320" s="26"/>
      <c r="F320" s="26"/>
      <c r="G320" s="20"/>
      <c r="H320" s="20"/>
      <c r="I320" s="18"/>
      <c r="J320" s="18"/>
      <c r="K320" s="18"/>
      <c r="L320" s="18"/>
      <c r="M320" s="18"/>
      <c r="N320" s="18"/>
      <c r="O320" s="18"/>
      <c r="P320" s="18"/>
      <c r="Q320" s="18"/>
      <c r="R320" s="18"/>
      <c r="S320" s="18"/>
      <c r="T320" s="16" t="str">
        <f>IF($A320="","",COUNTIFS('LỆNH ĐIỀU XE'!$B$5:$B$604,$A320,'LỆNH ĐIỀU XE'!$C$5:$C$604,$B320))</f>
        <v/>
      </c>
      <c r="U320" s="27" t="str">
        <f>IF($A320="","",SUMIFS('LỆNH ĐIỀU XE'!$J$5:$J$604,'LỆNH ĐIỀU XE'!$B$5:$B$604,$A320,'LỆNH ĐIỀU XE'!$C$5:$C$604,$B320))</f>
        <v/>
      </c>
      <c r="V320" s="22" t="str">
        <f t="shared" si="40"/>
        <v/>
      </c>
      <c r="W320" s="28" t="str">
        <f t="shared" si="41"/>
        <v/>
      </c>
      <c r="X320" s="28" t="str">
        <f t="shared" si="42"/>
        <v/>
      </c>
      <c r="Y320" s="28" t="str">
        <f t="shared" si="43"/>
        <v/>
      </c>
      <c r="Z320" s="22" t="str">
        <f t="shared" si="44"/>
        <v/>
      </c>
      <c r="AA320" s="28" t="str">
        <f t="shared" si="45"/>
        <v/>
      </c>
      <c r="AB320" s="28" t="str">
        <f t="shared" si="46"/>
        <v/>
      </c>
      <c r="AC320" s="28" t="str">
        <f>IF($A320="","",SUMIFS('CHẶNG TĂNG CA'!$E$5:$E$304,'CHẶNG TĂNG CA'!$A$5:$A$304,$A320,'CHẶNG TĂNG CA'!$B$5:$B$304,$B320))</f>
        <v/>
      </c>
      <c r="AD320" s="28" t="str">
        <f>IF($A320="","",SUMIFS('CHẶNG TĂNG CA'!$F$5:$F$304,'CHẶNG TĂNG CA'!$A$5:$A$304,$A320,'CHẶNG TĂNG CA'!$B$5:$B$304,$B320))</f>
        <v/>
      </c>
      <c r="AE320" s="28" t="str">
        <f>IF($A320="","",SUMIFS('CHẶNG TĂNG CA'!$G$5:$G$304,'CHẶNG TĂNG CA'!$A$5:$A$304,$A320,'CHẶNG TĂNG CA'!$B$5:$B$304,$B320))</f>
        <v/>
      </c>
      <c r="AF320" s="28" t="str">
        <f>IF($A320="","",SUMIFS('CHẶNG TĂNG CA'!$H$5:$H$304,'CHẶNG TĂNG CA'!$A$5:$A$304,$A320,'CHẶNG TĂNG CA'!$B$5:$B$304,$B320))</f>
        <v/>
      </c>
      <c r="AG320" s="28" t="str">
        <f t="shared" si="47"/>
        <v/>
      </c>
      <c r="AH320" s="16" t="str">
        <f>IF($A320="","",IF(COUNTIFS('LỆNH ĐIỀU XE'!$B$5:$B$604,$A320,'LỆNH ĐIỀU XE'!$C$5:$C$604,$B320,'LỆNH ĐIỀU XE'!$N$5:$N$604,"Có")&gt;0,"Có","Không"))</f>
        <v/>
      </c>
      <c r="AI320" s="16" t="str">
        <f>IF(OR($A320="",H320="",N(T320)=0),"",IF(_xlfn.MAXIFS('LỆNH ĐIỀU XE'!$U$5:$U$604,'LỆNH ĐIỀU XE'!$B$5:$B$604,$A320,'LỆNH ĐIỀU XE'!$C$5:$C$604,$B320)=0,"",ROUND((H320+(H320&lt;4/24)-_xlfn.MAXIFS('LỆNH ĐIỀU XE'!$U$5:$U$604,'LỆNH ĐIỀU XE'!$B$5:$B$604,$A320,'LỆNH ĐIỀU XE'!$C$5:$C$604,$B320))*1440,0)))</f>
        <v/>
      </c>
      <c r="AJ320" s="16" t="str">
        <f>IF($A320="","",IF(OR(AI320="",V320=""),"Thiếu dữ liệu",IF(AND(AI320&lt;='THAM SỐ'!$B$29,ABS(V320)&lt;='THAM SỐ'!$B$28),"Đạt","Không đạt")))</f>
        <v/>
      </c>
      <c r="AK320" s="16" t="str">
        <f t="shared" si="48"/>
        <v/>
      </c>
      <c r="AL320" s="16" t="str">
        <f>IF($A320="","",TRIM(IF(T320=0,"Không có lệnh; ","")&amp;IF(N(N320)&gt;0,"Dừng ngoài lệnh; ","")&amp;IF(N(J320)&gt;0,"Quá tốc độ; ","")&amp;IF(N(K320)&gt;0,"Lái quá 4h; ","")&amp;IF(N(L320)&gt;0,"Không tắt máy; ","")&amp;IF(OR(P320&lt;&gt;"Đủ",Q320&lt;&gt;"Đủ",R320&lt;&gt;"Đủ"),"Thiếu ảnh; ","")&amp;IF(S320&lt;&gt;"Đạt","Lốp chưa đạt; ","")&amp;IF(N(W320)&gt;'THAM SỐ'!$B$27,"Có mặt quá giờ; ","")&amp;IF(N(X320)&gt;'THAM SỐ'!$B$25,"Lái quá giờ ngày; ","")&amp;IF(ISNUMBER(V320),IF(ABS(V320)&gt;'THAM SỐ'!$B$28,"Lệch km; ",""),"")))</f>
        <v/>
      </c>
      <c r="AM320" s="29"/>
      <c r="AN320" s="30"/>
      <c r="AO320" s="28" t="str">
        <f t="shared" si="49"/>
        <v/>
      </c>
      <c r="AP320" s="21" t="str">
        <f>IF(OR($A320="",AO320=""),"",IF(AG320=0,0,ROUND((AC320*'THAM SỐ'!$B$18+AD320*'THAM SỐ'!$B$19+AE320*'THAM SỐ'!$B$20+AF320*'THAM SỐ'!$B$21)*MIN(1,AO320/AG320),0)))</f>
        <v/>
      </c>
      <c r="AQ320" s="18"/>
    </row>
    <row r="321" spans="1:43" x14ac:dyDescent="0.45">
      <c r="A321" s="17"/>
      <c r="B321" s="18"/>
      <c r="C321" s="18"/>
      <c r="D321" s="25"/>
      <c r="E321" s="26"/>
      <c r="F321" s="26"/>
      <c r="G321" s="20"/>
      <c r="H321" s="20"/>
      <c r="I321" s="18"/>
      <c r="J321" s="18"/>
      <c r="K321" s="18"/>
      <c r="L321" s="18"/>
      <c r="M321" s="18"/>
      <c r="N321" s="18"/>
      <c r="O321" s="18"/>
      <c r="P321" s="18"/>
      <c r="Q321" s="18"/>
      <c r="R321" s="18"/>
      <c r="S321" s="18"/>
      <c r="T321" s="16" t="str">
        <f>IF($A321="","",COUNTIFS('LỆNH ĐIỀU XE'!$B$5:$B$604,$A321,'LỆNH ĐIỀU XE'!$C$5:$C$604,$B321))</f>
        <v/>
      </c>
      <c r="U321" s="27" t="str">
        <f>IF($A321="","",SUMIFS('LỆNH ĐIỀU XE'!$J$5:$J$604,'LỆNH ĐIỀU XE'!$B$5:$B$604,$A321,'LỆNH ĐIỀU XE'!$C$5:$C$604,$B321))</f>
        <v/>
      </c>
      <c r="V321" s="22" t="str">
        <f t="shared" si="40"/>
        <v/>
      </c>
      <c r="W321" s="28" t="str">
        <f t="shared" si="41"/>
        <v/>
      </c>
      <c r="X321" s="28" t="str">
        <f t="shared" si="42"/>
        <v/>
      </c>
      <c r="Y321" s="28" t="str">
        <f t="shared" si="43"/>
        <v/>
      </c>
      <c r="Z321" s="22" t="str">
        <f t="shared" si="44"/>
        <v/>
      </c>
      <c r="AA321" s="28" t="str">
        <f t="shared" si="45"/>
        <v/>
      </c>
      <c r="AB321" s="28" t="str">
        <f t="shared" si="46"/>
        <v/>
      </c>
      <c r="AC321" s="28" t="str">
        <f>IF($A321="","",SUMIFS('CHẶNG TĂNG CA'!$E$5:$E$304,'CHẶNG TĂNG CA'!$A$5:$A$304,$A321,'CHẶNG TĂNG CA'!$B$5:$B$304,$B321))</f>
        <v/>
      </c>
      <c r="AD321" s="28" t="str">
        <f>IF($A321="","",SUMIFS('CHẶNG TĂNG CA'!$F$5:$F$304,'CHẶNG TĂNG CA'!$A$5:$A$304,$A321,'CHẶNG TĂNG CA'!$B$5:$B$304,$B321))</f>
        <v/>
      </c>
      <c r="AE321" s="28" t="str">
        <f>IF($A321="","",SUMIFS('CHẶNG TĂNG CA'!$G$5:$G$304,'CHẶNG TĂNG CA'!$A$5:$A$304,$A321,'CHẶNG TĂNG CA'!$B$5:$B$304,$B321))</f>
        <v/>
      </c>
      <c r="AF321" s="28" t="str">
        <f>IF($A321="","",SUMIFS('CHẶNG TĂNG CA'!$H$5:$H$304,'CHẶNG TĂNG CA'!$A$5:$A$304,$A321,'CHẶNG TĂNG CA'!$B$5:$B$304,$B321))</f>
        <v/>
      </c>
      <c r="AG321" s="28" t="str">
        <f t="shared" si="47"/>
        <v/>
      </c>
      <c r="AH321" s="16" t="str">
        <f>IF($A321="","",IF(COUNTIFS('LỆNH ĐIỀU XE'!$B$5:$B$604,$A321,'LỆNH ĐIỀU XE'!$C$5:$C$604,$B321,'LỆNH ĐIỀU XE'!$N$5:$N$604,"Có")&gt;0,"Có","Không"))</f>
        <v/>
      </c>
      <c r="AI321" s="16" t="str">
        <f>IF(OR($A321="",H321="",N(T321)=0),"",IF(_xlfn.MAXIFS('LỆNH ĐIỀU XE'!$U$5:$U$604,'LỆNH ĐIỀU XE'!$B$5:$B$604,$A321,'LỆNH ĐIỀU XE'!$C$5:$C$604,$B321)=0,"",ROUND((H321+(H321&lt;4/24)-_xlfn.MAXIFS('LỆNH ĐIỀU XE'!$U$5:$U$604,'LỆNH ĐIỀU XE'!$B$5:$B$604,$A321,'LỆNH ĐIỀU XE'!$C$5:$C$604,$B321))*1440,0)))</f>
        <v/>
      </c>
      <c r="AJ321" s="16" t="str">
        <f>IF($A321="","",IF(OR(AI321="",V321=""),"Thiếu dữ liệu",IF(AND(AI321&lt;='THAM SỐ'!$B$29,ABS(V321)&lt;='THAM SỐ'!$B$28),"Đạt","Không đạt")))</f>
        <v/>
      </c>
      <c r="AK321" s="16" t="str">
        <f t="shared" si="48"/>
        <v/>
      </c>
      <c r="AL321" s="16" t="str">
        <f>IF($A321="","",TRIM(IF(T321=0,"Không có lệnh; ","")&amp;IF(N(N321)&gt;0,"Dừng ngoài lệnh; ","")&amp;IF(N(J321)&gt;0,"Quá tốc độ; ","")&amp;IF(N(K321)&gt;0,"Lái quá 4h; ","")&amp;IF(N(L321)&gt;0,"Không tắt máy; ","")&amp;IF(OR(P321&lt;&gt;"Đủ",Q321&lt;&gt;"Đủ",R321&lt;&gt;"Đủ"),"Thiếu ảnh; ","")&amp;IF(S321&lt;&gt;"Đạt","Lốp chưa đạt; ","")&amp;IF(N(W321)&gt;'THAM SỐ'!$B$27,"Có mặt quá giờ; ","")&amp;IF(N(X321)&gt;'THAM SỐ'!$B$25,"Lái quá giờ ngày; ","")&amp;IF(ISNUMBER(V321),IF(ABS(V321)&gt;'THAM SỐ'!$B$28,"Lệch km; ",""),"")))</f>
        <v/>
      </c>
      <c r="AM321" s="29"/>
      <c r="AN321" s="30"/>
      <c r="AO321" s="28" t="str">
        <f t="shared" si="49"/>
        <v/>
      </c>
      <c r="AP321" s="21" t="str">
        <f>IF(OR($A321="",AO321=""),"",IF(AG321=0,0,ROUND((AC321*'THAM SỐ'!$B$18+AD321*'THAM SỐ'!$B$19+AE321*'THAM SỐ'!$B$20+AF321*'THAM SỐ'!$B$21)*MIN(1,AO321/AG321),0)))</f>
        <v/>
      </c>
      <c r="AQ321" s="18"/>
    </row>
    <row r="322" spans="1:43" x14ac:dyDescent="0.45">
      <c r="A322" s="17"/>
      <c r="B322" s="18"/>
      <c r="C322" s="18"/>
      <c r="D322" s="25"/>
      <c r="E322" s="26"/>
      <c r="F322" s="26"/>
      <c r="G322" s="20"/>
      <c r="H322" s="20"/>
      <c r="I322" s="18"/>
      <c r="J322" s="18"/>
      <c r="K322" s="18"/>
      <c r="L322" s="18"/>
      <c r="M322" s="18"/>
      <c r="N322" s="18"/>
      <c r="O322" s="18"/>
      <c r="P322" s="18"/>
      <c r="Q322" s="18"/>
      <c r="R322" s="18"/>
      <c r="S322" s="18"/>
      <c r="T322" s="16" t="str">
        <f>IF($A322="","",COUNTIFS('LỆNH ĐIỀU XE'!$B$5:$B$604,$A322,'LỆNH ĐIỀU XE'!$C$5:$C$604,$B322))</f>
        <v/>
      </c>
      <c r="U322" s="27" t="str">
        <f>IF($A322="","",SUMIFS('LỆNH ĐIỀU XE'!$J$5:$J$604,'LỆNH ĐIỀU XE'!$B$5:$B$604,$A322,'LỆNH ĐIỀU XE'!$C$5:$C$604,$B322))</f>
        <v/>
      </c>
      <c r="V322" s="22" t="str">
        <f t="shared" si="40"/>
        <v/>
      </c>
      <c r="W322" s="28" t="str">
        <f t="shared" si="41"/>
        <v/>
      </c>
      <c r="X322" s="28" t="str">
        <f t="shared" si="42"/>
        <v/>
      </c>
      <c r="Y322" s="28" t="str">
        <f t="shared" si="43"/>
        <v/>
      </c>
      <c r="Z322" s="22" t="str">
        <f t="shared" si="44"/>
        <v/>
      </c>
      <c r="AA322" s="28" t="str">
        <f t="shared" si="45"/>
        <v/>
      </c>
      <c r="AB322" s="28" t="str">
        <f t="shared" si="46"/>
        <v/>
      </c>
      <c r="AC322" s="28" t="str">
        <f>IF($A322="","",SUMIFS('CHẶNG TĂNG CA'!$E$5:$E$304,'CHẶNG TĂNG CA'!$A$5:$A$304,$A322,'CHẶNG TĂNG CA'!$B$5:$B$304,$B322))</f>
        <v/>
      </c>
      <c r="AD322" s="28" t="str">
        <f>IF($A322="","",SUMIFS('CHẶNG TĂNG CA'!$F$5:$F$304,'CHẶNG TĂNG CA'!$A$5:$A$304,$A322,'CHẶNG TĂNG CA'!$B$5:$B$304,$B322))</f>
        <v/>
      </c>
      <c r="AE322" s="28" t="str">
        <f>IF($A322="","",SUMIFS('CHẶNG TĂNG CA'!$G$5:$G$304,'CHẶNG TĂNG CA'!$A$5:$A$304,$A322,'CHẶNG TĂNG CA'!$B$5:$B$304,$B322))</f>
        <v/>
      </c>
      <c r="AF322" s="28" t="str">
        <f>IF($A322="","",SUMIFS('CHẶNG TĂNG CA'!$H$5:$H$304,'CHẶNG TĂNG CA'!$A$5:$A$304,$A322,'CHẶNG TĂNG CA'!$B$5:$B$304,$B322))</f>
        <v/>
      </c>
      <c r="AG322" s="28" t="str">
        <f t="shared" si="47"/>
        <v/>
      </c>
      <c r="AH322" s="16" t="str">
        <f>IF($A322="","",IF(COUNTIFS('LỆNH ĐIỀU XE'!$B$5:$B$604,$A322,'LỆNH ĐIỀU XE'!$C$5:$C$604,$B322,'LỆNH ĐIỀU XE'!$N$5:$N$604,"Có")&gt;0,"Có","Không"))</f>
        <v/>
      </c>
      <c r="AI322" s="16" t="str">
        <f>IF(OR($A322="",H322="",N(T322)=0),"",IF(_xlfn.MAXIFS('LỆNH ĐIỀU XE'!$U$5:$U$604,'LỆNH ĐIỀU XE'!$B$5:$B$604,$A322,'LỆNH ĐIỀU XE'!$C$5:$C$604,$B322)=0,"",ROUND((H322+(H322&lt;4/24)-_xlfn.MAXIFS('LỆNH ĐIỀU XE'!$U$5:$U$604,'LỆNH ĐIỀU XE'!$B$5:$B$604,$A322,'LỆNH ĐIỀU XE'!$C$5:$C$604,$B322))*1440,0)))</f>
        <v/>
      </c>
      <c r="AJ322" s="16" t="str">
        <f>IF($A322="","",IF(OR(AI322="",V322=""),"Thiếu dữ liệu",IF(AND(AI322&lt;='THAM SỐ'!$B$29,ABS(V322)&lt;='THAM SỐ'!$B$28),"Đạt","Không đạt")))</f>
        <v/>
      </c>
      <c r="AK322" s="16" t="str">
        <f t="shared" si="48"/>
        <v/>
      </c>
      <c r="AL322" s="16" t="str">
        <f>IF($A322="","",TRIM(IF(T322=0,"Không có lệnh; ","")&amp;IF(N(N322)&gt;0,"Dừng ngoài lệnh; ","")&amp;IF(N(J322)&gt;0,"Quá tốc độ; ","")&amp;IF(N(K322)&gt;0,"Lái quá 4h; ","")&amp;IF(N(L322)&gt;0,"Không tắt máy; ","")&amp;IF(OR(P322&lt;&gt;"Đủ",Q322&lt;&gt;"Đủ",R322&lt;&gt;"Đủ"),"Thiếu ảnh; ","")&amp;IF(S322&lt;&gt;"Đạt","Lốp chưa đạt; ","")&amp;IF(N(W322)&gt;'THAM SỐ'!$B$27,"Có mặt quá giờ; ","")&amp;IF(N(X322)&gt;'THAM SỐ'!$B$25,"Lái quá giờ ngày; ","")&amp;IF(ISNUMBER(V322),IF(ABS(V322)&gt;'THAM SỐ'!$B$28,"Lệch km; ",""),"")))</f>
        <v/>
      </c>
      <c r="AM322" s="29"/>
      <c r="AN322" s="30"/>
      <c r="AO322" s="28" t="str">
        <f t="shared" si="49"/>
        <v/>
      </c>
      <c r="AP322" s="21" t="str">
        <f>IF(OR($A322="",AO322=""),"",IF(AG322=0,0,ROUND((AC322*'THAM SỐ'!$B$18+AD322*'THAM SỐ'!$B$19+AE322*'THAM SỐ'!$B$20+AF322*'THAM SỐ'!$B$21)*MIN(1,AO322/AG322),0)))</f>
        <v/>
      </c>
      <c r="AQ322" s="18"/>
    </row>
    <row r="323" spans="1:43" x14ac:dyDescent="0.45">
      <c r="A323" s="17"/>
      <c r="B323" s="18"/>
      <c r="C323" s="18"/>
      <c r="D323" s="25"/>
      <c r="E323" s="26"/>
      <c r="F323" s="26"/>
      <c r="G323" s="20"/>
      <c r="H323" s="20"/>
      <c r="I323" s="18"/>
      <c r="J323" s="18"/>
      <c r="K323" s="18"/>
      <c r="L323" s="18"/>
      <c r="M323" s="18"/>
      <c r="N323" s="18"/>
      <c r="O323" s="18"/>
      <c r="P323" s="18"/>
      <c r="Q323" s="18"/>
      <c r="R323" s="18"/>
      <c r="S323" s="18"/>
      <c r="T323" s="16" t="str">
        <f>IF($A323="","",COUNTIFS('LỆNH ĐIỀU XE'!$B$5:$B$604,$A323,'LỆNH ĐIỀU XE'!$C$5:$C$604,$B323))</f>
        <v/>
      </c>
      <c r="U323" s="27" t="str">
        <f>IF($A323="","",SUMIFS('LỆNH ĐIỀU XE'!$J$5:$J$604,'LỆNH ĐIỀU XE'!$B$5:$B$604,$A323,'LỆNH ĐIỀU XE'!$C$5:$C$604,$B323))</f>
        <v/>
      </c>
      <c r="V323" s="22" t="str">
        <f t="shared" si="40"/>
        <v/>
      </c>
      <c r="W323" s="28" t="str">
        <f t="shared" si="41"/>
        <v/>
      </c>
      <c r="X323" s="28" t="str">
        <f t="shared" si="42"/>
        <v/>
      </c>
      <c r="Y323" s="28" t="str">
        <f t="shared" si="43"/>
        <v/>
      </c>
      <c r="Z323" s="22" t="str">
        <f t="shared" si="44"/>
        <v/>
      </c>
      <c r="AA323" s="28" t="str">
        <f t="shared" si="45"/>
        <v/>
      </c>
      <c r="AB323" s="28" t="str">
        <f t="shared" si="46"/>
        <v/>
      </c>
      <c r="AC323" s="28" t="str">
        <f>IF($A323="","",SUMIFS('CHẶNG TĂNG CA'!$E$5:$E$304,'CHẶNG TĂNG CA'!$A$5:$A$304,$A323,'CHẶNG TĂNG CA'!$B$5:$B$304,$B323))</f>
        <v/>
      </c>
      <c r="AD323" s="28" t="str">
        <f>IF($A323="","",SUMIFS('CHẶNG TĂNG CA'!$F$5:$F$304,'CHẶNG TĂNG CA'!$A$5:$A$304,$A323,'CHẶNG TĂNG CA'!$B$5:$B$304,$B323))</f>
        <v/>
      </c>
      <c r="AE323" s="28" t="str">
        <f>IF($A323="","",SUMIFS('CHẶNG TĂNG CA'!$G$5:$G$304,'CHẶNG TĂNG CA'!$A$5:$A$304,$A323,'CHẶNG TĂNG CA'!$B$5:$B$304,$B323))</f>
        <v/>
      </c>
      <c r="AF323" s="28" t="str">
        <f>IF($A323="","",SUMIFS('CHẶNG TĂNG CA'!$H$5:$H$304,'CHẶNG TĂNG CA'!$A$5:$A$304,$A323,'CHẶNG TĂNG CA'!$B$5:$B$304,$B323))</f>
        <v/>
      </c>
      <c r="AG323" s="28" t="str">
        <f t="shared" si="47"/>
        <v/>
      </c>
      <c r="AH323" s="16" t="str">
        <f>IF($A323="","",IF(COUNTIFS('LỆNH ĐIỀU XE'!$B$5:$B$604,$A323,'LỆNH ĐIỀU XE'!$C$5:$C$604,$B323,'LỆNH ĐIỀU XE'!$N$5:$N$604,"Có")&gt;0,"Có","Không"))</f>
        <v/>
      </c>
      <c r="AI323" s="16" t="str">
        <f>IF(OR($A323="",H323="",N(T323)=0),"",IF(_xlfn.MAXIFS('LỆNH ĐIỀU XE'!$U$5:$U$604,'LỆNH ĐIỀU XE'!$B$5:$B$604,$A323,'LỆNH ĐIỀU XE'!$C$5:$C$604,$B323)=0,"",ROUND((H323+(H323&lt;4/24)-_xlfn.MAXIFS('LỆNH ĐIỀU XE'!$U$5:$U$604,'LỆNH ĐIỀU XE'!$B$5:$B$604,$A323,'LỆNH ĐIỀU XE'!$C$5:$C$604,$B323))*1440,0)))</f>
        <v/>
      </c>
      <c r="AJ323" s="16" t="str">
        <f>IF($A323="","",IF(OR(AI323="",V323=""),"Thiếu dữ liệu",IF(AND(AI323&lt;='THAM SỐ'!$B$29,ABS(V323)&lt;='THAM SỐ'!$B$28),"Đạt","Không đạt")))</f>
        <v/>
      </c>
      <c r="AK323" s="16" t="str">
        <f t="shared" si="48"/>
        <v/>
      </c>
      <c r="AL323" s="16" t="str">
        <f>IF($A323="","",TRIM(IF(T323=0,"Không có lệnh; ","")&amp;IF(N(N323)&gt;0,"Dừng ngoài lệnh; ","")&amp;IF(N(J323)&gt;0,"Quá tốc độ; ","")&amp;IF(N(K323)&gt;0,"Lái quá 4h; ","")&amp;IF(N(L323)&gt;0,"Không tắt máy; ","")&amp;IF(OR(P323&lt;&gt;"Đủ",Q323&lt;&gt;"Đủ",R323&lt;&gt;"Đủ"),"Thiếu ảnh; ","")&amp;IF(S323&lt;&gt;"Đạt","Lốp chưa đạt; ","")&amp;IF(N(W323)&gt;'THAM SỐ'!$B$27,"Có mặt quá giờ; ","")&amp;IF(N(X323)&gt;'THAM SỐ'!$B$25,"Lái quá giờ ngày; ","")&amp;IF(ISNUMBER(V323),IF(ABS(V323)&gt;'THAM SỐ'!$B$28,"Lệch km; ",""),"")))</f>
        <v/>
      </c>
      <c r="AM323" s="29"/>
      <c r="AN323" s="30"/>
      <c r="AO323" s="28" t="str">
        <f t="shared" si="49"/>
        <v/>
      </c>
      <c r="AP323" s="21" t="str">
        <f>IF(OR($A323="",AO323=""),"",IF(AG323=0,0,ROUND((AC323*'THAM SỐ'!$B$18+AD323*'THAM SỐ'!$B$19+AE323*'THAM SỐ'!$B$20+AF323*'THAM SỐ'!$B$21)*MIN(1,AO323/AG323),0)))</f>
        <v/>
      </c>
      <c r="AQ323" s="18"/>
    </row>
    <row r="324" spans="1:43" x14ac:dyDescent="0.45">
      <c r="A324" s="17"/>
      <c r="B324" s="18"/>
      <c r="C324" s="18"/>
      <c r="D324" s="25"/>
      <c r="E324" s="26"/>
      <c r="F324" s="26"/>
      <c r="G324" s="20"/>
      <c r="H324" s="20"/>
      <c r="I324" s="18"/>
      <c r="J324" s="18"/>
      <c r="K324" s="18"/>
      <c r="L324" s="18"/>
      <c r="M324" s="18"/>
      <c r="N324" s="18"/>
      <c r="O324" s="18"/>
      <c r="P324" s="18"/>
      <c r="Q324" s="18"/>
      <c r="R324" s="18"/>
      <c r="S324" s="18"/>
      <c r="T324" s="16" t="str">
        <f>IF($A324="","",COUNTIFS('LỆNH ĐIỀU XE'!$B$5:$B$604,$A324,'LỆNH ĐIỀU XE'!$C$5:$C$604,$B324))</f>
        <v/>
      </c>
      <c r="U324" s="27" t="str">
        <f>IF($A324="","",SUMIFS('LỆNH ĐIỀU XE'!$J$5:$J$604,'LỆNH ĐIỀU XE'!$B$5:$B$604,$A324,'LỆNH ĐIỀU XE'!$C$5:$C$604,$B324))</f>
        <v/>
      </c>
      <c r="V324" s="22" t="str">
        <f t="shared" si="40"/>
        <v/>
      </c>
      <c r="W324" s="28" t="str">
        <f t="shared" si="41"/>
        <v/>
      </c>
      <c r="X324" s="28" t="str">
        <f t="shared" si="42"/>
        <v/>
      </c>
      <c r="Y324" s="28" t="str">
        <f t="shared" si="43"/>
        <v/>
      </c>
      <c r="Z324" s="22" t="str">
        <f t="shared" si="44"/>
        <v/>
      </c>
      <c r="AA324" s="28" t="str">
        <f t="shared" si="45"/>
        <v/>
      </c>
      <c r="AB324" s="28" t="str">
        <f t="shared" si="46"/>
        <v/>
      </c>
      <c r="AC324" s="28" t="str">
        <f>IF($A324="","",SUMIFS('CHẶNG TĂNG CA'!$E$5:$E$304,'CHẶNG TĂNG CA'!$A$5:$A$304,$A324,'CHẶNG TĂNG CA'!$B$5:$B$304,$B324))</f>
        <v/>
      </c>
      <c r="AD324" s="28" t="str">
        <f>IF($A324="","",SUMIFS('CHẶNG TĂNG CA'!$F$5:$F$304,'CHẶNG TĂNG CA'!$A$5:$A$304,$A324,'CHẶNG TĂNG CA'!$B$5:$B$304,$B324))</f>
        <v/>
      </c>
      <c r="AE324" s="28" t="str">
        <f>IF($A324="","",SUMIFS('CHẶNG TĂNG CA'!$G$5:$G$304,'CHẶNG TĂNG CA'!$A$5:$A$304,$A324,'CHẶNG TĂNG CA'!$B$5:$B$304,$B324))</f>
        <v/>
      </c>
      <c r="AF324" s="28" t="str">
        <f>IF($A324="","",SUMIFS('CHẶNG TĂNG CA'!$H$5:$H$304,'CHẶNG TĂNG CA'!$A$5:$A$304,$A324,'CHẶNG TĂNG CA'!$B$5:$B$304,$B324))</f>
        <v/>
      </c>
      <c r="AG324" s="28" t="str">
        <f t="shared" si="47"/>
        <v/>
      </c>
      <c r="AH324" s="16" t="str">
        <f>IF($A324="","",IF(COUNTIFS('LỆNH ĐIỀU XE'!$B$5:$B$604,$A324,'LỆNH ĐIỀU XE'!$C$5:$C$604,$B324,'LỆNH ĐIỀU XE'!$N$5:$N$604,"Có")&gt;0,"Có","Không"))</f>
        <v/>
      </c>
      <c r="AI324" s="16" t="str">
        <f>IF(OR($A324="",H324="",N(T324)=0),"",IF(_xlfn.MAXIFS('LỆNH ĐIỀU XE'!$U$5:$U$604,'LỆNH ĐIỀU XE'!$B$5:$B$604,$A324,'LỆNH ĐIỀU XE'!$C$5:$C$604,$B324)=0,"",ROUND((H324+(H324&lt;4/24)-_xlfn.MAXIFS('LỆNH ĐIỀU XE'!$U$5:$U$604,'LỆNH ĐIỀU XE'!$B$5:$B$604,$A324,'LỆNH ĐIỀU XE'!$C$5:$C$604,$B324))*1440,0)))</f>
        <v/>
      </c>
      <c r="AJ324" s="16" t="str">
        <f>IF($A324="","",IF(OR(AI324="",V324=""),"Thiếu dữ liệu",IF(AND(AI324&lt;='THAM SỐ'!$B$29,ABS(V324)&lt;='THAM SỐ'!$B$28),"Đạt","Không đạt")))</f>
        <v/>
      </c>
      <c r="AK324" s="16" t="str">
        <f t="shared" si="48"/>
        <v/>
      </c>
      <c r="AL324" s="16" t="str">
        <f>IF($A324="","",TRIM(IF(T324=0,"Không có lệnh; ","")&amp;IF(N(N324)&gt;0,"Dừng ngoài lệnh; ","")&amp;IF(N(J324)&gt;0,"Quá tốc độ; ","")&amp;IF(N(K324)&gt;0,"Lái quá 4h; ","")&amp;IF(N(L324)&gt;0,"Không tắt máy; ","")&amp;IF(OR(P324&lt;&gt;"Đủ",Q324&lt;&gt;"Đủ",R324&lt;&gt;"Đủ"),"Thiếu ảnh; ","")&amp;IF(S324&lt;&gt;"Đạt","Lốp chưa đạt; ","")&amp;IF(N(W324)&gt;'THAM SỐ'!$B$27,"Có mặt quá giờ; ","")&amp;IF(N(X324)&gt;'THAM SỐ'!$B$25,"Lái quá giờ ngày; ","")&amp;IF(ISNUMBER(V324),IF(ABS(V324)&gt;'THAM SỐ'!$B$28,"Lệch km; ",""),"")))</f>
        <v/>
      </c>
      <c r="AM324" s="29"/>
      <c r="AN324" s="30"/>
      <c r="AO324" s="28" t="str">
        <f t="shared" si="49"/>
        <v/>
      </c>
      <c r="AP324" s="21" t="str">
        <f>IF(OR($A324="",AO324=""),"",IF(AG324=0,0,ROUND((AC324*'THAM SỐ'!$B$18+AD324*'THAM SỐ'!$B$19+AE324*'THAM SỐ'!$B$20+AF324*'THAM SỐ'!$B$21)*MIN(1,AO324/AG324),0)))</f>
        <v/>
      </c>
      <c r="AQ324" s="18"/>
    </row>
    <row r="325" spans="1:43" x14ac:dyDescent="0.45">
      <c r="A325" s="17"/>
      <c r="B325" s="18"/>
      <c r="C325" s="18"/>
      <c r="D325" s="25"/>
      <c r="E325" s="26"/>
      <c r="F325" s="26"/>
      <c r="G325" s="20"/>
      <c r="H325" s="20"/>
      <c r="I325" s="18"/>
      <c r="J325" s="18"/>
      <c r="K325" s="18"/>
      <c r="L325" s="18"/>
      <c r="M325" s="18"/>
      <c r="N325" s="18"/>
      <c r="O325" s="18"/>
      <c r="P325" s="18"/>
      <c r="Q325" s="18"/>
      <c r="R325" s="18"/>
      <c r="S325" s="18"/>
      <c r="T325" s="16" t="str">
        <f>IF($A325="","",COUNTIFS('LỆNH ĐIỀU XE'!$B$5:$B$604,$A325,'LỆNH ĐIỀU XE'!$C$5:$C$604,$B325))</f>
        <v/>
      </c>
      <c r="U325" s="27" t="str">
        <f>IF($A325="","",SUMIFS('LỆNH ĐIỀU XE'!$J$5:$J$604,'LỆNH ĐIỀU XE'!$B$5:$B$604,$A325,'LỆNH ĐIỀU XE'!$C$5:$C$604,$B325))</f>
        <v/>
      </c>
      <c r="V325" s="22" t="str">
        <f t="shared" ref="V325:V388" si="50">IF(OR($A325="",D325="",N(U325)=0),"",(D325-U325)/U325)</f>
        <v/>
      </c>
      <c r="W325" s="28" t="str">
        <f t="shared" ref="W325:W388" si="51">IF(OR($A325="",G325="",H325=""),"",ROUND((H325+(H325&lt;G325)-G325)*24,2))</f>
        <v/>
      </c>
      <c r="X325" s="28" t="str">
        <f t="shared" ref="X325:X388" si="52">IF(OR($A325="",E325=""),"",ROUND(E325*24,2))</f>
        <v/>
      </c>
      <c r="Y325" s="28" t="str">
        <f t="shared" ref="Y325:Y388" si="53">IF(OR(W325="",X325=""),"",MAX(0,W325-X325))</f>
        <v/>
      </c>
      <c r="Z325" s="22" t="str">
        <f t="shared" ref="Z325:Z388" si="54">IF(OR(W325="",X325="",N(W325)=0),"",X325/W325)</f>
        <v/>
      </c>
      <c r="AA325" s="28" t="str">
        <f t="shared" ref="AA325:AA388" si="55">IF(OR($A325="",F325="",X325=""),"",MAX(0,ROUND(F325*24-X325,2)))</f>
        <v/>
      </c>
      <c r="AB325" s="28" t="str">
        <f t="shared" ref="AB325:AB388" si="56">IF(OR($A325="",M325="",N(D325)=0),"",M325/D325*100)</f>
        <v/>
      </c>
      <c r="AC325" s="28" t="str">
        <f>IF($A325="","",SUMIFS('CHẶNG TĂNG CA'!$E$5:$E$304,'CHẶNG TĂNG CA'!$A$5:$A$304,$A325,'CHẶNG TĂNG CA'!$B$5:$B$304,$B325))</f>
        <v/>
      </c>
      <c r="AD325" s="28" t="str">
        <f>IF($A325="","",SUMIFS('CHẶNG TĂNG CA'!$F$5:$F$304,'CHẶNG TĂNG CA'!$A$5:$A$304,$A325,'CHẶNG TĂNG CA'!$B$5:$B$304,$B325))</f>
        <v/>
      </c>
      <c r="AE325" s="28" t="str">
        <f>IF($A325="","",SUMIFS('CHẶNG TĂNG CA'!$G$5:$G$304,'CHẶNG TĂNG CA'!$A$5:$A$304,$A325,'CHẶNG TĂNG CA'!$B$5:$B$304,$B325))</f>
        <v/>
      </c>
      <c r="AF325" s="28" t="str">
        <f>IF($A325="","",SUMIFS('CHẶNG TĂNG CA'!$H$5:$H$304,'CHẶNG TĂNG CA'!$A$5:$A$304,$A325,'CHẶNG TĂNG CA'!$B$5:$B$304,$B325))</f>
        <v/>
      </c>
      <c r="AG325" s="28" t="str">
        <f t="shared" ref="AG325:AG388" si="57">IF($A325="","",SUM(AC325:AF325))</f>
        <v/>
      </c>
      <c r="AH325" s="16" t="str">
        <f>IF($A325="","",IF(COUNTIFS('LỆNH ĐIỀU XE'!$B$5:$B$604,$A325,'LỆNH ĐIỀU XE'!$C$5:$C$604,$B325,'LỆNH ĐIỀU XE'!$N$5:$N$604,"Có")&gt;0,"Có","Không"))</f>
        <v/>
      </c>
      <c r="AI325" s="16" t="str">
        <f>IF(OR($A325="",H325="",N(T325)=0),"",IF(_xlfn.MAXIFS('LỆNH ĐIỀU XE'!$U$5:$U$604,'LỆNH ĐIỀU XE'!$B$5:$B$604,$A325,'LỆNH ĐIỀU XE'!$C$5:$C$604,$B325)=0,"",ROUND((H325+(H325&lt;4/24)-_xlfn.MAXIFS('LỆNH ĐIỀU XE'!$U$5:$U$604,'LỆNH ĐIỀU XE'!$B$5:$B$604,$A325,'LỆNH ĐIỀU XE'!$C$5:$C$604,$B325))*1440,0)))</f>
        <v/>
      </c>
      <c r="AJ325" s="16" t="str">
        <f>IF($A325="","",IF(OR(AI325="",V325=""),"Thiếu dữ liệu",IF(AND(AI325&lt;='THAM SỐ'!$B$29,ABS(V325)&lt;='THAM SỐ'!$B$28),"Đạt","Không đạt")))</f>
        <v/>
      </c>
      <c r="AK325" s="16" t="str">
        <f t="shared" ref="AK325:AK388" si="58">IF($A325="","",IF(AG325=0,"Không có OT",IF(AND(AH325="Có",AJ325="Đạt"),"Đủ điều kiện","Cần giải trình")))</f>
        <v/>
      </c>
      <c r="AL325" s="16" t="str">
        <f>IF($A325="","",TRIM(IF(T325=0,"Không có lệnh; ","")&amp;IF(N(N325)&gt;0,"Dừng ngoài lệnh; ","")&amp;IF(N(J325)&gt;0,"Quá tốc độ; ","")&amp;IF(N(K325)&gt;0,"Lái quá 4h; ","")&amp;IF(N(L325)&gt;0,"Không tắt máy; ","")&amp;IF(OR(P325&lt;&gt;"Đủ",Q325&lt;&gt;"Đủ",R325&lt;&gt;"Đủ"),"Thiếu ảnh; ","")&amp;IF(S325&lt;&gt;"Đạt","Lốp chưa đạt; ","")&amp;IF(N(W325)&gt;'THAM SỐ'!$B$27,"Có mặt quá giờ; ","")&amp;IF(N(X325)&gt;'THAM SỐ'!$B$25,"Lái quá giờ ngày; ","")&amp;IF(ISNUMBER(V325),IF(ABS(V325)&gt;'THAM SỐ'!$B$28,"Lệch km; ",""),"")))</f>
        <v/>
      </c>
      <c r="AM325" s="29"/>
      <c r="AN325" s="30"/>
      <c r="AO325" s="28" t="str">
        <f t="shared" ref="AO325:AO388" si="59">IF($A325="","",IF(AM325="Duyệt đủ",AG325,IF(AM325="Duyệt một phần",N(AN325),IF(AM325="Không duyệt",0,""))))</f>
        <v/>
      </c>
      <c r="AP325" s="21" t="str">
        <f>IF(OR($A325="",AO325=""),"",IF(AG325=0,0,ROUND((AC325*'THAM SỐ'!$B$18+AD325*'THAM SỐ'!$B$19+AE325*'THAM SỐ'!$B$20+AF325*'THAM SỐ'!$B$21)*MIN(1,AO325/AG325),0)))</f>
        <v/>
      </c>
      <c r="AQ325" s="18"/>
    </row>
    <row r="326" spans="1:43" x14ac:dyDescent="0.45">
      <c r="A326" s="17"/>
      <c r="B326" s="18"/>
      <c r="C326" s="18"/>
      <c r="D326" s="25"/>
      <c r="E326" s="26"/>
      <c r="F326" s="26"/>
      <c r="G326" s="20"/>
      <c r="H326" s="20"/>
      <c r="I326" s="18"/>
      <c r="J326" s="18"/>
      <c r="K326" s="18"/>
      <c r="L326" s="18"/>
      <c r="M326" s="18"/>
      <c r="N326" s="18"/>
      <c r="O326" s="18"/>
      <c r="P326" s="18"/>
      <c r="Q326" s="18"/>
      <c r="R326" s="18"/>
      <c r="S326" s="18"/>
      <c r="T326" s="16" t="str">
        <f>IF($A326="","",COUNTIFS('LỆNH ĐIỀU XE'!$B$5:$B$604,$A326,'LỆNH ĐIỀU XE'!$C$5:$C$604,$B326))</f>
        <v/>
      </c>
      <c r="U326" s="27" t="str">
        <f>IF($A326="","",SUMIFS('LỆNH ĐIỀU XE'!$J$5:$J$604,'LỆNH ĐIỀU XE'!$B$5:$B$604,$A326,'LỆNH ĐIỀU XE'!$C$5:$C$604,$B326))</f>
        <v/>
      </c>
      <c r="V326" s="22" t="str">
        <f t="shared" si="50"/>
        <v/>
      </c>
      <c r="W326" s="28" t="str">
        <f t="shared" si="51"/>
        <v/>
      </c>
      <c r="X326" s="28" t="str">
        <f t="shared" si="52"/>
        <v/>
      </c>
      <c r="Y326" s="28" t="str">
        <f t="shared" si="53"/>
        <v/>
      </c>
      <c r="Z326" s="22" t="str">
        <f t="shared" si="54"/>
        <v/>
      </c>
      <c r="AA326" s="28" t="str">
        <f t="shared" si="55"/>
        <v/>
      </c>
      <c r="AB326" s="28" t="str">
        <f t="shared" si="56"/>
        <v/>
      </c>
      <c r="AC326" s="28" t="str">
        <f>IF($A326="","",SUMIFS('CHẶNG TĂNG CA'!$E$5:$E$304,'CHẶNG TĂNG CA'!$A$5:$A$304,$A326,'CHẶNG TĂNG CA'!$B$5:$B$304,$B326))</f>
        <v/>
      </c>
      <c r="AD326" s="28" t="str">
        <f>IF($A326="","",SUMIFS('CHẶNG TĂNG CA'!$F$5:$F$304,'CHẶNG TĂNG CA'!$A$5:$A$304,$A326,'CHẶNG TĂNG CA'!$B$5:$B$304,$B326))</f>
        <v/>
      </c>
      <c r="AE326" s="28" t="str">
        <f>IF($A326="","",SUMIFS('CHẶNG TĂNG CA'!$G$5:$G$304,'CHẶNG TĂNG CA'!$A$5:$A$304,$A326,'CHẶNG TĂNG CA'!$B$5:$B$304,$B326))</f>
        <v/>
      </c>
      <c r="AF326" s="28" t="str">
        <f>IF($A326="","",SUMIFS('CHẶNG TĂNG CA'!$H$5:$H$304,'CHẶNG TĂNG CA'!$A$5:$A$304,$A326,'CHẶNG TĂNG CA'!$B$5:$B$304,$B326))</f>
        <v/>
      </c>
      <c r="AG326" s="28" t="str">
        <f t="shared" si="57"/>
        <v/>
      </c>
      <c r="AH326" s="16" t="str">
        <f>IF($A326="","",IF(COUNTIFS('LỆNH ĐIỀU XE'!$B$5:$B$604,$A326,'LỆNH ĐIỀU XE'!$C$5:$C$604,$B326,'LỆNH ĐIỀU XE'!$N$5:$N$604,"Có")&gt;0,"Có","Không"))</f>
        <v/>
      </c>
      <c r="AI326" s="16" t="str">
        <f>IF(OR($A326="",H326="",N(T326)=0),"",IF(_xlfn.MAXIFS('LỆNH ĐIỀU XE'!$U$5:$U$604,'LỆNH ĐIỀU XE'!$B$5:$B$604,$A326,'LỆNH ĐIỀU XE'!$C$5:$C$604,$B326)=0,"",ROUND((H326+(H326&lt;4/24)-_xlfn.MAXIFS('LỆNH ĐIỀU XE'!$U$5:$U$604,'LỆNH ĐIỀU XE'!$B$5:$B$604,$A326,'LỆNH ĐIỀU XE'!$C$5:$C$604,$B326))*1440,0)))</f>
        <v/>
      </c>
      <c r="AJ326" s="16" t="str">
        <f>IF($A326="","",IF(OR(AI326="",V326=""),"Thiếu dữ liệu",IF(AND(AI326&lt;='THAM SỐ'!$B$29,ABS(V326)&lt;='THAM SỐ'!$B$28),"Đạt","Không đạt")))</f>
        <v/>
      </c>
      <c r="AK326" s="16" t="str">
        <f t="shared" si="58"/>
        <v/>
      </c>
      <c r="AL326" s="16" t="str">
        <f>IF($A326="","",TRIM(IF(T326=0,"Không có lệnh; ","")&amp;IF(N(N326)&gt;0,"Dừng ngoài lệnh; ","")&amp;IF(N(J326)&gt;0,"Quá tốc độ; ","")&amp;IF(N(K326)&gt;0,"Lái quá 4h; ","")&amp;IF(N(L326)&gt;0,"Không tắt máy; ","")&amp;IF(OR(P326&lt;&gt;"Đủ",Q326&lt;&gt;"Đủ",R326&lt;&gt;"Đủ"),"Thiếu ảnh; ","")&amp;IF(S326&lt;&gt;"Đạt","Lốp chưa đạt; ","")&amp;IF(N(W326)&gt;'THAM SỐ'!$B$27,"Có mặt quá giờ; ","")&amp;IF(N(X326)&gt;'THAM SỐ'!$B$25,"Lái quá giờ ngày; ","")&amp;IF(ISNUMBER(V326),IF(ABS(V326)&gt;'THAM SỐ'!$B$28,"Lệch km; ",""),"")))</f>
        <v/>
      </c>
      <c r="AM326" s="29"/>
      <c r="AN326" s="30"/>
      <c r="AO326" s="28" t="str">
        <f t="shared" si="59"/>
        <v/>
      </c>
      <c r="AP326" s="21" t="str">
        <f>IF(OR($A326="",AO326=""),"",IF(AG326=0,0,ROUND((AC326*'THAM SỐ'!$B$18+AD326*'THAM SỐ'!$B$19+AE326*'THAM SỐ'!$B$20+AF326*'THAM SỐ'!$B$21)*MIN(1,AO326/AG326),0)))</f>
        <v/>
      </c>
      <c r="AQ326" s="18"/>
    </row>
    <row r="327" spans="1:43" x14ac:dyDescent="0.45">
      <c r="A327" s="17"/>
      <c r="B327" s="18"/>
      <c r="C327" s="18"/>
      <c r="D327" s="25"/>
      <c r="E327" s="26"/>
      <c r="F327" s="26"/>
      <c r="G327" s="20"/>
      <c r="H327" s="20"/>
      <c r="I327" s="18"/>
      <c r="J327" s="18"/>
      <c r="K327" s="18"/>
      <c r="L327" s="18"/>
      <c r="M327" s="18"/>
      <c r="N327" s="18"/>
      <c r="O327" s="18"/>
      <c r="P327" s="18"/>
      <c r="Q327" s="18"/>
      <c r="R327" s="18"/>
      <c r="S327" s="18"/>
      <c r="T327" s="16" t="str">
        <f>IF($A327="","",COUNTIFS('LỆNH ĐIỀU XE'!$B$5:$B$604,$A327,'LỆNH ĐIỀU XE'!$C$5:$C$604,$B327))</f>
        <v/>
      </c>
      <c r="U327" s="27" t="str">
        <f>IF($A327="","",SUMIFS('LỆNH ĐIỀU XE'!$J$5:$J$604,'LỆNH ĐIỀU XE'!$B$5:$B$604,$A327,'LỆNH ĐIỀU XE'!$C$5:$C$604,$B327))</f>
        <v/>
      </c>
      <c r="V327" s="22" t="str">
        <f t="shared" si="50"/>
        <v/>
      </c>
      <c r="W327" s="28" t="str">
        <f t="shared" si="51"/>
        <v/>
      </c>
      <c r="X327" s="28" t="str">
        <f t="shared" si="52"/>
        <v/>
      </c>
      <c r="Y327" s="28" t="str">
        <f t="shared" si="53"/>
        <v/>
      </c>
      <c r="Z327" s="22" t="str">
        <f t="shared" si="54"/>
        <v/>
      </c>
      <c r="AA327" s="28" t="str">
        <f t="shared" si="55"/>
        <v/>
      </c>
      <c r="AB327" s="28" t="str">
        <f t="shared" si="56"/>
        <v/>
      </c>
      <c r="AC327" s="28" t="str">
        <f>IF($A327="","",SUMIFS('CHẶNG TĂNG CA'!$E$5:$E$304,'CHẶNG TĂNG CA'!$A$5:$A$304,$A327,'CHẶNG TĂNG CA'!$B$5:$B$304,$B327))</f>
        <v/>
      </c>
      <c r="AD327" s="28" t="str">
        <f>IF($A327="","",SUMIFS('CHẶNG TĂNG CA'!$F$5:$F$304,'CHẶNG TĂNG CA'!$A$5:$A$304,$A327,'CHẶNG TĂNG CA'!$B$5:$B$304,$B327))</f>
        <v/>
      </c>
      <c r="AE327" s="28" t="str">
        <f>IF($A327="","",SUMIFS('CHẶNG TĂNG CA'!$G$5:$G$304,'CHẶNG TĂNG CA'!$A$5:$A$304,$A327,'CHẶNG TĂNG CA'!$B$5:$B$304,$B327))</f>
        <v/>
      </c>
      <c r="AF327" s="28" t="str">
        <f>IF($A327="","",SUMIFS('CHẶNG TĂNG CA'!$H$5:$H$304,'CHẶNG TĂNG CA'!$A$5:$A$304,$A327,'CHẶNG TĂNG CA'!$B$5:$B$304,$B327))</f>
        <v/>
      </c>
      <c r="AG327" s="28" t="str">
        <f t="shared" si="57"/>
        <v/>
      </c>
      <c r="AH327" s="16" t="str">
        <f>IF($A327="","",IF(COUNTIFS('LỆNH ĐIỀU XE'!$B$5:$B$604,$A327,'LỆNH ĐIỀU XE'!$C$5:$C$604,$B327,'LỆNH ĐIỀU XE'!$N$5:$N$604,"Có")&gt;0,"Có","Không"))</f>
        <v/>
      </c>
      <c r="AI327" s="16" t="str">
        <f>IF(OR($A327="",H327="",N(T327)=0),"",IF(_xlfn.MAXIFS('LỆNH ĐIỀU XE'!$U$5:$U$604,'LỆNH ĐIỀU XE'!$B$5:$B$604,$A327,'LỆNH ĐIỀU XE'!$C$5:$C$604,$B327)=0,"",ROUND((H327+(H327&lt;4/24)-_xlfn.MAXIFS('LỆNH ĐIỀU XE'!$U$5:$U$604,'LỆNH ĐIỀU XE'!$B$5:$B$604,$A327,'LỆNH ĐIỀU XE'!$C$5:$C$604,$B327))*1440,0)))</f>
        <v/>
      </c>
      <c r="AJ327" s="16" t="str">
        <f>IF($A327="","",IF(OR(AI327="",V327=""),"Thiếu dữ liệu",IF(AND(AI327&lt;='THAM SỐ'!$B$29,ABS(V327)&lt;='THAM SỐ'!$B$28),"Đạt","Không đạt")))</f>
        <v/>
      </c>
      <c r="AK327" s="16" t="str">
        <f t="shared" si="58"/>
        <v/>
      </c>
      <c r="AL327" s="16" t="str">
        <f>IF($A327="","",TRIM(IF(T327=0,"Không có lệnh; ","")&amp;IF(N(N327)&gt;0,"Dừng ngoài lệnh; ","")&amp;IF(N(J327)&gt;0,"Quá tốc độ; ","")&amp;IF(N(K327)&gt;0,"Lái quá 4h; ","")&amp;IF(N(L327)&gt;0,"Không tắt máy; ","")&amp;IF(OR(P327&lt;&gt;"Đủ",Q327&lt;&gt;"Đủ",R327&lt;&gt;"Đủ"),"Thiếu ảnh; ","")&amp;IF(S327&lt;&gt;"Đạt","Lốp chưa đạt; ","")&amp;IF(N(W327)&gt;'THAM SỐ'!$B$27,"Có mặt quá giờ; ","")&amp;IF(N(X327)&gt;'THAM SỐ'!$B$25,"Lái quá giờ ngày; ","")&amp;IF(ISNUMBER(V327),IF(ABS(V327)&gt;'THAM SỐ'!$B$28,"Lệch km; ",""),"")))</f>
        <v/>
      </c>
      <c r="AM327" s="29"/>
      <c r="AN327" s="30"/>
      <c r="AO327" s="28" t="str">
        <f t="shared" si="59"/>
        <v/>
      </c>
      <c r="AP327" s="21" t="str">
        <f>IF(OR($A327="",AO327=""),"",IF(AG327=0,0,ROUND((AC327*'THAM SỐ'!$B$18+AD327*'THAM SỐ'!$B$19+AE327*'THAM SỐ'!$B$20+AF327*'THAM SỐ'!$B$21)*MIN(1,AO327/AG327),0)))</f>
        <v/>
      </c>
      <c r="AQ327" s="18"/>
    </row>
    <row r="328" spans="1:43" x14ac:dyDescent="0.45">
      <c r="A328" s="17"/>
      <c r="B328" s="18"/>
      <c r="C328" s="18"/>
      <c r="D328" s="25"/>
      <c r="E328" s="26"/>
      <c r="F328" s="26"/>
      <c r="G328" s="20"/>
      <c r="H328" s="20"/>
      <c r="I328" s="18"/>
      <c r="J328" s="18"/>
      <c r="K328" s="18"/>
      <c r="L328" s="18"/>
      <c r="M328" s="18"/>
      <c r="N328" s="18"/>
      <c r="O328" s="18"/>
      <c r="P328" s="18"/>
      <c r="Q328" s="18"/>
      <c r="R328" s="18"/>
      <c r="S328" s="18"/>
      <c r="T328" s="16" t="str">
        <f>IF($A328="","",COUNTIFS('LỆNH ĐIỀU XE'!$B$5:$B$604,$A328,'LỆNH ĐIỀU XE'!$C$5:$C$604,$B328))</f>
        <v/>
      </c>
      <c r="U328" s="27" t="str">
        <f>IF($A328="","",SUMIFS('LỆNH ĐIỀU XE'!$J$5:$J$604,'LỆNH ĐIỀU XE'!$B$5:$B$604,$A328,'LỆNH ĐIỀU XE'!$C$5:$C$604,$B328))</f>
        <v/>
      </c>
      <c r="V328" s="22" t="str">
        <f t="shared" si="50"/>
        <v/>
      </c>
      <c r="W328" s="28" t="str">
        <f t="shared" si="51"/>
        <v/>
      </c>
      <c r="X328" s="28" t="str">
        <f t="shared" si="52"/>
        <v/>
      </c>
      <c r="Y328" s="28" t="str">
        <f t="shared" si="53"/>
        <v/>
      </c>
      <c r="Z328" s="22" t="str">
        <f t="shared" si="54"/>
        <v/>
      </c>
      <c r="AA328" s="28" t="str">
        <f t="shared" si="55"/>
        <v/>
      </c>
      <c r="AB328" s="28" t="str">
        <f t="shared" si="56"/>
        <v/>
      </c>
      <c r="AC328" s="28" t="str">
        <f>IF($A328="","",SUMIFS('CHẶNG TĂNG CA'!$E$5:$E$304,'CHẶNG TĂNG CA'!$A$5:$A$304,$A328,'CHẶNG TĂNG CA'!$B$5:$B$304,$B328))</f>
        <v/>
      </c>
      <c r="AD328" s="28" t="str">
        <f>IF($A328="","",SUMIFS('CHẶNG TĂNG CA'!$F$5:$F$304,'CHẶNG TĂNG CA'!$A$5:$A$304,$A328,'CHẶNG TĂNG CA'!$B$5:$B$304,$B328))</f>
        <v/>
      </c>
      <c r="AE328" s="28" t="str">
        <f>IF($A328="","",SUMIFS('CHẶNG TĂNG CA'!$G$5:$G$304,'CHẶNG TĂNG CA'!$A$5:$A$304,$A328,'CHẶNG TĂNG CA'!$B$5:$B$304,$B328))</f>
        <v/>
      </c>
      <c r="AF328" s="28" t="str">
        <f>IF($A328="","",SUMIFS('CHẶNG TĂNG CA'!$H$5:$H$304,'CHẶNG TĂNG CA'!$A$5:$A$304,$A328,'CHẶNG TĂNG CA'!$B$5:$B$304,$B328))</f>
        <v/>
      </c>
      <c r="AG328" s="28" t="str">
        <f t="shared" si="57"/>
        <v/>
      </c>
      <c r="AH328" s="16" t="str">
        <f>IF($A328="","",IF(COUNTIFS('LỆNH ĐIỀU XE'!$B$5:$B$604,$A328,'LỆNH ĐIỀU XE'!$C$5:$C$604,$B328,'LỆNH ĐIỀU XE'!$N$5:$N$604,"Có")&gt;0,"Có","Không"))</f>
        <v/>
      </c>
      <c r="AI328" s="16" t="str">
        <f>IF(OR($A328="",H328="",N(T328)=0),"",IF(_xlfn.MAXIFS('LỆNH ĐIỀU XE'!$U$5:$U$604,'LỆNH ĐIỀU XE'!$B$5:$B$604,$A328,'LỆNH ĐIỀU XE'!$C$5:$C$604,$B328)=0,"",ROUND((H328+(H328&lt;4/24)-_xlfn.MAXIFS('LỆNH ĐIỀU XE'!$U$5:$U$604,'LỆNH ĐIỀU XE'!$B$5:$B$604,$A328,'LỆNH ĐIỀU XE'!$C$5:$C$604,$B328))*1440,0)))</f>
        <v/>
      </c>
      <c r="AJ328" s="16" t="str">
        <f>IF($A328="","",IF(OR(AI328="",V328=""),"Thiếu dữ liệu",IF(AND(AI328&lt;='THAM SỐ'!$B$29,ABS(V328)&lt;='THAM SỐ'!$B$28),"Đạt","Không đạt")))</f>
        <v/>
      </c>
      <c r="AK328" s="16" t="str">
        <f t="shared" si="58"/>
        <v/>
      </c>
      <c r="AL328" s="16" t="str">
        <f>IF($A328="","",TRIM(IF(T328=0,"Không có lệnh; ","")&amp;IF(N(N328)&gt;0,"Dừng ngoài lệnh; ","")&amp;IF(N(J328)&gt;0,"Quá tốc độ; ","")&amp;IF(N(K328)&gt;0,"Lái quá 4h; ","")&amp;IF(N(L328)&gt;0,"Không tắt máy; ","")&amp;IF(OR(P328&lt;&gt;"Đủ",Q328&lt;&gt;"Đủ",R328&lt;&gt;"Đủ"),"Thiếu ảnh; ","")&amp;IF(S328&lt;&gt;"Đạt","Lốp chưa đạt; ","")&amp;IF(N(W328)&gt;'THAM SỐ'!$B$27,"Có mặt quá giờ; ","")&amp;IF(N(X328)&gt;'THAM SỐ'!$B$25,"Lái quá giờ ngày; ","")&amp;IF(ISNUMBER(V328),IF(ABS(V328)&gt;'THAM SỐ'!$B$28,"Lệch km; ",""),"")))</f>
        <v/>
      </c>
      <c r="AM328" s="29"/>
      <c r="AN328" s="30"/>
      <c r="AO328" s="28" t="str">
        <f t="shared" si="59"/>
        <v/>
      </c>
      <c r="AP328" s="21" t="str">
        <f>IF(OR($A328="",AO328=""),"",IF(AG328=0,0,ROUND((AC328*'THAM SỐ'!$B$18+AD328*'THAM SỐ'!$B$19+AE328*'THAM SỐ'!$B$20+AF328*'THAM SỐ'!$B$21)*MIN(1,AO328/AG328),0)))</f>
        <v/>
      </c>
      <c r="AQ328" s="18"/>
    </row>
    <row r="329" spans="1:43" x14ac:dyDescent="0.45">
      <c r="A329" s="17"/>
      <c r="B329" s="18"/>
      <c r="C329" s="18"/>
      <c r="D329" s="25"/>
      <c r="E329" s="26"/>
      <c r="F329" s="26"/>
      <c r="G329" s="20"/>
      <c r="H329" s="20"/>
      <c r="I329" s="18"/>
      <c r="J329" s="18"/>
      <c r="K329" s="18"/>
      <c r="L329" s="18"/>
      <c r="M329" s="18"/>
      <c r="N329" s="18"/>
      <c r="O329" s="18"/>
      <c r="P329" s="18"/>
      <c r="Q329" s="18"/>
      <c r="R329" s="18"/>
      <c r="S329" s="18"/>
      <c r="T329" s="16" t="str">
        <f>IF($A329="","",COUNTIFS('LỆNH ĐIỀU XE'!$B$5:$B$604,$A329,'LỆNH ĐIỀU XE'!$C$5:$C$604,$B329))</f>
        <v/>
      </c>
      <c r="U329" s="27" t="str">
        <f>IF($A329="","",SUMIFS('LỆNH ĐIỀU XE'!$J$5:$J$604,'LỆNH ĐIỀU XE'!$B$5:$B$604,$A329,'LỆNH ĐIỀU XE'!$C$5:$C$604,$B329))</f>
        <v/>
      </c>
      <c r="V329" s="22" t="str">
        <f t="shared" si="50"/>
        <v/>
      </c>
      <c r="W329" s="28" t="str">
        <f t="shared" si="51"/>
        <v/>
      </c>
      <c r="X329" s="28" t="str">
        <f t="shared" si="52"/>
        <v/>
      </c>
      <c r="Y329" s="28" t="str">
        <f t="shared" si="53"/>
        <v/>
      </c>
      <c r="Z329" s="22" t="str">
        <f t="shared" si="54"/>
        <v/>
      </c>
      <c r="AA329" s="28" t="str">
        <f t="shared" si="55"/>
        <v/>
      </c>
      <c r="AB329" s="28" t="str">
        <f t="shared" si="56"/>
        <v/>
      </c>
      <c r="AC329" s="28" t="str">
        <f>IF($A329="","",SUMIFS('CHẶNG TĂNG CA'!$E$5:$E$304,'CHẶNG TĂNG CA'!$A$5:$A$304,$A329,'CHẶNG TĂNG CA'!$B$5:$B$304,$B329))</f>
        <v/>
      </c>
      <c r="AD329" s="28" t="str">
        <f>IF($A329="","",SUMIFS('CHẶNG TĂNG CA'!$F$5:$F$304,'CHẶNG TĂNG CA'!$A$5:$A$304,$A329,'CHẶNG TĂNG CA'!$B$5:$B$304,$B329))</f>
        <v/>
      </c>
      <c r="AE329" s="28" t="str">
        <f>IF($A329="","",SUMIFS('CHẶNG TĂNG CA'!$G$5:$G$304,'CHẶNG TĂNG CA'!$A$5:$A$304,$A329,'CHẶNG TĂNG CA'!$B$5:$B$304,$B329))</f>
        <v/>
      </c>
      <c r="AF329" s="28" t="str">
        <f>IF($A329="","",SUMIFS('CHẶNG TĂNG CA'!$H$5:$H$304,'CHẶNG TĂNG CA'!$A$5:$A$304,$A329,'CHẶNG TĂNG CA'!$B$5:$B$304,$B329))</f>
        <v/>
      </c>
      <c r="AG329" s="28" t="str">
        <f t="shared" si="57"/>
        <v/>
      </c>
      <c r="AH329" s="16" t="str">
        <f>IF($A329="","",IF(COUNTIFS('LỆNH ĐIỀU XE'!$B$5:$B$604,$A329,'LỆNH ĐIỀU XE'!$C$5:$C$604,$B329,'LỆNH ĐIỀU XE'!$N$5:$N$604,"Có")&gt;0,"Có","Không"))</f>
        <v/>
      </c>
      <c r="AI329" s="16" t="str">
        <f>IF(OR($A329="",H329="",N(T329)=0),"",IF(_xlfn.MAXIFS('LỆNH ĐIỀU XE'!$U$5:$U$604,'LỆNH ĐIỀU XE'!$B$5:$B$604,$A329,'LỆNH ĐIỀU XE'!$C$5:$C$604,$B329)=0,"",ROUND((H329+(H329&lt;4/24)-_xlfn.MAXIFS('LỆNH ĐIỀU XE'!$U$5:$U$604,'LỆNH ĐIỀU XE'!$B$5:$B$604,$A329,'LỆNH ĐIỀU XE'!$C$5:$C$604,$B329))*1440,0)))</f>
        <v/>
      </c>
      <c r="AJ329" s="16" t="str">
        <f>IF($A329="","",IF(OR(AI329="",V329=""),"Thiếu dữ liệu",IF(AND(AI329&lt;='THAM SỐ'!$B$29,ABS(V329)&lt;='THAM SỐ'!$B$28),"Đạt","Không đạt")))</f>
        <v/>
      </c>
      <c r="AK329" s="16" t="str">
        <f t="shared" si="58"/>
        <v/>
      </c>
      <c r="AL329" s="16" t="str">
        <f>IF($A329="","",TRIM(IF(T329=0,"Không có lệnh; ","")&amp;IF(N(N329)&gt;0,"Dừng ngoài lệnh; ","")&amp;IF(N(J329)&gt;0,"Quá tốc độ; ","")&amp;IF(N(K329)&gt;0,"Lái quá 4h; ","")&amp;IF(N(L329)&gt;0,"Không tắt máy; ","")&amp;IF(OR(P329&lt;&gt;"Đủ",Q329&lt;&gt;"Đủ",R329&lt;&gt;"Đủ"),"Thiếu ảnh; ","")&amp;IF(S329&lt;&gt;"Đạt","Lốp chưa đạt; ","")&amp;IF(N(W329)&gt;'THAM SỐ'!$B$27,"Có mặt quá giờ; ","")&amp;IF(N(X329)&gt;'THAM SỐ'!$B$25,"Lái quá giờ ngày; ","")&amp;IF(ISNUMBER(V329),IF(ABS(V329)&gt;'THAM SỐ'!$B$28,"Lệch km; ",""),"")))</f>
        <v/>
      </c>
      <c r="AM329" s="29"/>
      <c r="AN329" s="30"/>
      <c r="AO329" s="28" t="str">
        <f t="shared" si="59"/>
        <v/>
      </c>
      <c r="AP329" s="21" t="str">
        <f>IF(OR($A329="",AO329=""),"",IF(AG329=0,0,ROUND((AC329*'THAM SỐ'!$B$18+AD329*'THAM SỐ'!$B$19+AE329*'THAM SỐ'!$B$20+AF329*'THAM SỐ'!$B$21)*MIN(1,AO329/AG329),0)))</f>
        <v/>
      </c>
      <c r="AQ329" s="18"/>
    </row>
    <row r="330" spans="1:43" x14ac:dyDescent="0.45">
      <c r="A330" s="17"/>
      <c r="B330" s="18"/>
      <c r="C330" s="18"/>
      <c r="D330" s="25"/>
      <c r="E330" s="26"/>
      <c r="F330" s="26"/>
      <c r="G330" s="20"/>
      <c r="H330" s="20"/>
      <c r="I330" s="18"/>
      <c r="J330" s="18"/>
      <c r="K330" s="18"/>
      <c r="L330" s="18"/>
      <c r="M330" s="18"/>
      <c r="N330" s="18"/>
      <c r="O330" s="18"/>
      <c r="P330" s="18"/>
      <c r="Q330" s="18"/>
      <c r="R330" s="18"/>
      <c r="S330" s="18"/>
      <c r="T330" s="16" t="str">
        <f>IF($A330="","",COUNTIFS('LỆNH ĐIỀU XE'!$B$5:$B$604,$A330,'LỆNH ĐIỀU XE'!$C$5:$C$604,$B330))</f>
        <v/>
      </c>
      <c r="U330" s="27" t="str">
        <f>IF($A330="","",SUMIFS('LỆNH ĐIỀU XE'!$J$5:$J$604,'LỆNH ĐIỀU XE'!$B$5:$B$604,$A330,'LỆNH ĐIỀU XE'!$C$5:$C$604,$B330))</f>
        <v/>
      </c>
      <c r="V330" s="22" t="str">
        <f t="shared" si="50"/>
        <v/>
      </c>
      <c r="W330" s="28" t="str">
        <f t="shared" si="51"/>
        <v/>
      </c>
      <c r="X330" s="28" t="str">
        <f t="shared" si="52"/>
        <v/>
      </c>
      <c r="Y330" s="28" t="str">
        <f t="shared" si="53"/>
        <v/>
      </c>
      <c r="Z330" s="22" t="str">
        <f t="shared" si="54"/>
        <v/>
      </c>
      <c r="AA330" s="28" t="str">
        <f t="shared" si="55"/>
        <v/>
      </c>
      <c r="AB330" s="28" t="str">
        <f t="shared" si="56"/>
        <v/>
      </c>
      <c r="AC330" s="28" t="str">
        <f>IF($A330="","",SUMIFS('CHẶNG TĂNG CA'!$E$5:$E$304,'CHẶNG TĂNG CA'!$A$5:$A$304,$A330,'CHẶNG TĂNG CA'!$B$5:$B$304,$B330))</f>
        <v/>
      </c>
      <c r="AD330" s="28" t="str">
        <f>IF($A330="","",SUMIFS('CHẶNG TĂNG CA'!$F$5:$F$304,'CHẶNG TĂNG CA'!$A$5:$A$304,$A330,'CHẶNG TĂNG CA'!$B$5:$B$304,$B330))</f>
        <v/>
      </c>
      <c r="AE330" s="28" t="str">
        <f>IF($A330="","",SUMIFS('CHẶNG TĂNG CA'!$G$5:$G$304,'CHẶNG TĂNG CA'!$A$5:$A$304,$A330,'CHẶNG TĂNG CA'!$B$5:$B$304,$B330))</f>
        <v/>
      </c>
      <c r="AF330" s="28" t="str">
        <f>IF($A330="","",SUMIFS('CHẶNG TĂNG CA'!$H$5:$H$304,'CHẶNG TĂNG CA'!$A$5:$A$304,$A330,'CHẶNG TĂNG CA'!$B$5:$B$304,$B330))</f>
        <v/>
      </c>
      <c r="AG330" s="28" t="str">
        <f t="shared" si="57"/>
        <v/>
      </c>
      <c r="AH330" s="16" t="str">
        <f>IF($A330="","",IF(COUNTIFS('LỆNH ĐIỀU XE'!$B$5:$B$604,$A330,'LỆNH ĐIỀU XE'!$C$5:$C$604,$B330,'LỆNH ĐIỀU XE'!$N$5:$N$604,"Có")&gt;0,"Có","Không"))</f>
        <v/>
      </c>
      <c r="AI330" s="16" t="str">
        <f>IF(OR($A330="",H330="",N(T330)=0),"",IF(_xlfn.MAXIFS('LỆNH ĐIỀU XE'!$U$5:$U$604,'LỆNH ĐIỀU XE'!$B$5:$B$604,$A330,'LỆNH ĐIỀU XE'!$C$5:$C$604,$B330)=0,"",ROUND((H330+(H330&lt;4/24)-_xlfn.MAXIFS('LỆNH ĐIỀU XE'!$U$5:$U$604,'LỆNH ĐIỀU XE'!$B$5:$B$604,$A330,'LỆNH ĐIỀU XE'!$C$5:$C$604,$B330))*1440,0)))</f>
        <v/>
      </c>
      <c r="AJ330" s="16" t="str">
        <f>IF($A330="","",IF(OR(AI330="",V330=""),"Thiếu dữ liệu",IF(AND(AI330&lt;='THAM SỐ'!$B$29,ABS(V330)&lt;='THAM SỐ'!$B$28),"Đạt","Không đạt")))</f>
        <v/>
      </c>
      <c r="AK330" s="16" t="str">
        <f t="shared" si="58"/>
        <v/>
      </c>
      <c r="AL330" s="16" t="str">
        <f>IF($A330="","",TRIM(IF(T330=0,"Không có lệnh; ","")&amp;IF(N(N330)&gt;0,"Dừng ngoài lệnh; ","")&amp;IF(N(J330)&gt;0,"Quá tốc độ; ","")&amp;IF(N(K330)&gt;0,"Lái quá 4h; ","")&amp;IF(N(L330)&gt;0,"Không tắt máy; ","")&amp;IF(OR(P330&lt;&gt;"Đủ",Q330&lt;&gt;"Đủ",R330&lt;&gt;"Đủ"),"Thiếu ảnh; ","")&amp;IF(S330&lt;&gt;"Đạt","Lốp chưa đạt; ","")&amp;IF(N(W330)&gt;'THAM SỐ'!$B$27,"Có mặt quá giờ; ","")&amp;IF(N(X330)&gt;'THAM SỐ'!$B$25,"Lái quá giờ ngày; ","")&amp;IF(ISNUMBER(V330),IF(ABS(V330)&gt;'THAM SỐ'!$B$28,"Lệch km; ",""),"")))</f>
        <v/>
      </c>
      <c r="AM330" s="29"/>
      <c r="AN330" s="30"/>
      <c r="AO330" s="28" t="str">
        <f t="shared" si="59"/>
        <v/>
      </c>
      <c r="AP330" s="21" t="str">
        <f>IF(OR($A330="",AO330=""),"",IF(AG330=0,0,ROUND((AC330*'THAM SỐ'!$B$18+AD330*'THAM SỐ'!$B$19+AE330*'THAM SỐ'!$B$20+AF330*'THAM SỐ'!$B$21)*MIN(1,AO330/AG330),0)))</f>
        <v/>
      </c>
      <c r="AQ330" s="18"/>
    </row>
    <row r="331" spans="1:43" x14ac:dyDescent="0.45">
      <c r="A331" s="17"/>
      <c r="B331" s="18"/>
      <c r="C331" s="18"/>
      <c r="D331" s="25"/>
      <c r="E331" s="26"/>
      <c r="F331" s="26"/>
      <c r="G331" s="20"/>
      <c r="H331" s="20"/>
      <c r="I331" s="18"/>
      <c r="J331" s="18"/>
      <c r="K331" s="18"/>
      <c r="L331" s="18"/>
      <c r="M331" s="18"/>
      <c r="N331" s="18"/>
      <c r="O331" s="18"/>
      <c r="P331" s="18"/>
      <c r="Q331" s="18"/>
      <c r="R331" s="18"/>
      <c r="S331" s="18"/>
      <c r="T331" s="16" t="str">
        <f>IF($A331="","",COUNTIFS('LỆNH ĐIỀU XE'!$B$5:$B$604,$A331,'LỆNH ĐIỀU XE'!$C$5:$C$604,$B331))</f>
        <v/>
      </c>
      <c r="U331" s="27" t="str">
        <f>IF($A331="","",SUMIFS('LỆNH ĐIỀU XE'!$J$5:$J$604,'LỆNH ĐIỀU XE'!$B$5:$B$604,$A331,'LỆNH ĐIỀU XE'!$C$5:$C$604,$B331))</f>
        <v/>
      </c>
      <c r="V331" s="22" t="str">
        <f t="shared" si="50"/>
        <v/>
      </c>
      <c r="W331" s="28" t="str">
        <f t="shared" si="51"/>
        <v/>
      </c>
      <c r="X331" s="28" t="str">
        <f t="shared" si="52"/>
        <v/>
      </c>
      <c r="Y331" s="28" t="str">
        <f t="shared" si="53"/>
        <v/>
      </c>
      <c r="Z331" s="22" t="str">
        <f t="shared" si="54"/>
        <v/>
      </c>
      <c r="AA331" s="28" t="str">
        <f t="shared" si="55"/>
        <v/>
      </c>
      <c r="AB331" s="28" t="str">
        <f t="shared" si="56"/>
        <v/>
      </c>
      <c r="AC331" s="28" t="str">
        <f>IF($A331="","",SUMIFS('CHẶNG TĂNG CA'!$E$5:$E$304,'CHẶNG TĂNG CA'!$A$5:$A$304,$A331,'CHẶNG TĂNG CA'!$B$5:$B$304,$B331))</f>
        <v/>
      </c>
      <c r="AD331" s="28" t="str">
        <f>IF($A331="","",SUMIFS('CHẶNG TĂNG CA'!$F$5:$F$304,'CHẶNG TĂNG CA'!$A$5:$A$304,$A331,'CHẶNG TĂNG CA'!$B$5:$B$304,$B331))</f>
        <v/>
      </c>
      <c r="AE331" s="28" t="str">
        <f>IF($A331="","",SUMIFS('CHẶNG TĂNG CA'!$G$5:$G$304,'CHẶNG TĂNG CA'!$A$5:$A$304,$A331,'CHẶNG TĂNG CA'!$B$5:$B$304,$B331))</f>
        <v/>
      </c>
      <c r="AF331" s="28" t="str">
        <f>IF($A331="","",SUMIFS('CHẶNG TĂNG CA'!$H$5:$H$304,'CHẶNG TĂNG CA'!$A$5:$A$304,$A331,'CHẶNG TĂNG CA'!$B$5:$B$304,$B331))</f>
        <v/>
      </c>
      <c r="AG331" s="28" t="str">
        <f t="shared" si="57"/>
        <v/>
      </c>
      <c r="AH331" s="16" t="str">
        <f>IF($A331="","",IF(COUNTIFS('LỆNH ĐIỀU XE'!$B$5:$B$604,$A331,'LỆNH ĐIỀU XE'!$C$5:$C$604,$B331,'LỆNH ĐIỀU XE'!$N$5:$N$604,"Có")&gt;0,"Có","Không"))</f>
        <v/>
      </c>
      <c r="AI331" s="16" t="str">
        <f>IF(OR($A331="",H331="",N(T331)=0),"",IF(_xlfn.MAXIFS('LỆNH ĐIỀU XE'!$U$5:$U$604,'LỆNH ĐIỀU XE'!$B$5:$B$604,$A331,'LỆNH ĐIỀU XE'!$C$5:$C$604,$B331)=0,"",ROUND((H331+(H331&lt;4/24)-_xlfn.MAXIFS('LỆNH ĐIỀU XE'!$U$5:$U$604,'LỆNH ĐIỀU XE'!$B$5:$B$604,$A331,'LỆNH ĐIỀU XE'!$C$5:$C$604,$B331))*1440,0)))</f>
        <v/>
      </c>
      <c r="AJ331" s="16" t="str">
        <f>IF($A331="","",IF(OR(AI331="",V331=""),"Thiếu dữ liệu",IF(AND(AI331&lt;='THAM SỐ'!$B$29,ABS(V331)&lt;='THAM SỐ'!$B$28),"Đạt","Không đạt")))</f>
        <v/>
      </c>
      <c r="AK331" s="16" t="str">
        <f t="shared" si="58"/>
        <v/>
      </c>
      <c r="AL331" s="16" t="str">
        <f>IF($A331="","",TRIM(IF(T331=0,"Không có lệnh; ","")&amp;IF(N(N331)&gt;0,"Dừng ngoài lệnh; ","")&amp;IF(N(J331)&gt;0,"Quá tốc độ; ","")&amp;IF(N(K331)&gt;0,"Lái quá 4h; ","")&amp;IF(N(L331)&gt;0,"Không tắt máy; ","")&amp;IF(OR(P331&lt;&gt;"Đủ",Q331&lt;&gt;"Đủ",R331&lt;&gt;"Đủ"),"Thiếu ảnh; ","")&amp;IF(S331&lt;&gt;"Đạt","Lốp chưa đạt; ","")&amp;IF(N(W331)&gt;'THAM SỐ'!$B$27,"Có mặt quá giờ; ","")&amp;IF(N(X331)&gt;'THAM SỐ'!$B$25,"Lái quá giờ ngày; ","")&amp;IF(ISNUMBER(V331),IF(ABS(V331)&gt;'THAM SỐ'!$B$28,"Lệch km; ",""),"")))</f>
        <v/>
      </c>
      <c r="AM331" s="29"/>
      <c r="AN331" s="30"/>
      <c r="AO331" s="28" t="str">
        <f t="shared" si="59"/>
        <v/>
      </c>
      <c r="AP331" s="21" t="str">
        <f>IF(OR($A331="",AO331=""),"",IF(AG331=0,0,ROUND((AC331*'THAM SỐ'!$B$18+AD331*'THAM SỐ'!$B$19+AE331*'THAM SỐ'!$B$20+AF331*'THAM SỐ'!$B$21)*MIN(1,AO331/AG331),0)))</f>
        <v/>
      </c>
      <c r="AQ331" s="18"/>
    </row>
    <row r="332" spans="1:43" x14ac:dyDescent="0.45">
      <c r="A332" s="17"/>
      <c r="B332" s="18"/>
      <c r="C332" s="18"/>
      <c r="D332" s="25"/>
      <c r="E332" s="26"/>
      <c r="F332" s="26"/>
      <c r="G332" s="20"/>
      <c r="H332" s="20"/>
      <c r="I332" s="18"/>
      <c r="J332" s="18"/>
      <c r="K332" s="18"/>
      <c r="L332" s="18"/>
      <c r="M332" s="18"/>
      <c r="N332" s="18"/>
      <c r="O332" s="18"/>
      <c r="P332" s="18"/>
      <c r="Q332" s="18"/>
      <c r="R332" s="18"/>
      <c r="S332" s="18"/>
      <c r="T332" s="16" t="str">
        <f>IF($A332="","",COUNTIFS('LỆNH ĐIỀU XE'!$B$5:$B$604,$A332,'LỆNH ĐIỀU XE'!$C$5:$C$604,$B332))</f>
        <v/>
      </c>
      <c r="U332" s="27" t="str">
        <f>IF($A332="","",SUMIFS('LỆNH ĐIỀU XE'!$J$5:$J$604,'LỆNH ĐIỀU XE'!$B$5:$B$604,$A332,'LỆNH ĐIỀU XE'!$C$5:$C$604,$B332))</f>
        <v/>
      </c>
      <c r="V332" s="22" t="str">
        <f t="shared" si="50"/>
        <v/>
      </c>
      <c r="W332" s="28" t="str">
        <f t="shared" si="51"/>
        <v/>
      </c>
      <c r="X332" s="28" t="str">
        <f t="shared" si="52"/>
        <v/>
      </c>
      <c r="Y332" s="28" t="str">
        <f t="shared" si="53"/>
        <v/>
      </c>
      <c r="Z332" s="22" t="str">
        <f t="shared" si="54"/>
        <v/>
      </c>
      <c r="AA332" s="28" t="str">
        <f t="shared" si="55"/>
        <v/>
      </c>
      <c r="AB332" s="28" t="str">
        <f t="shared" si="56"/>
        <v/>
      </c>
      <c r="AC332" s="28" t="str">
        <f>IF($A332="","",SUMIFS('CHẶNG TĂNG CA'!$E$5:$E$304,'CHẶNG TĂNG CA'!$A$5:$A$304,$A332,'CHẶNG TĂNG CA'!$B$5:$B$304,$B332))</f>
        <v/>
      </c>
      <c r="AD332" s="28" t="str">
        <f>IF($A332="","",SUMIFS('CHẶNG TĂNG CA'!$F$5:$F$304,'CHẶNG TĂNG CA'!$A$5:$A$304,$A332,'CHẶNG TĂNG CA'!$B$5:$B$304,$B332))</f>
        <v/>
      </c>
      <c r="AE332" s="28" t="str">
        <f>IF($A332="","",SUMIFS('CHẶNG TĂNG CA'!$G$5:$G$304,'CHẶNG TĂNG CA'!$A$5:$A$304,$A332,'CHẶNG TĂNG CA'!$B$5:$B$304,$B332))</f>
        <v/>
      </c>
      <c r="AF332" s="28" t="str">
        <f>IF($A332="","",SUMIFS('CHẶNG TĂNG CA'!$H$5:$H$304,'CHẶNG TĂNG CA'!$A$5:$A$304,$A332,'CHẶNG TĂNG CA'!$B$5:$B$304,$B332))</f>
        <v/>
      </c>
      <c r="AG332" s="28" t="str">
        <f t="shared" si="57"/>
        <v/>
      </c>
      <c r="AH332" s="16" t="str">
        <f>IF($A332="","",IF(COUNTIFS('LỆNH ĐIỀU XE'!$B$5:$B$604,$A332,'LỆNH ĐIỀU XE'!$C$5:$C$604,$B332,'LỆNH ĐIỀU XE'!$N$5:$N$604,"Có")&gt;0,"Có","Không"))</f>
        <v/>
      </c>
      <c r="AI332" s="16" t="str">
        <f>IF(OR($A332="",H332="",N(T332)=0),"",IF(_xlfn.MAXIFS('LỆNH ĐIỀU XE'!$U$5:$U$604,'LỆNH ĐIỀU XE'!$B$5:$B$604,$A332,'LỆNH ĐIỀU XE'!$C$5:$C$604,$B332)=0,"",ROUND((H332+(H332&lt;4/24)-_xlfn.MAXIFS('LỆNH ĐIỀU XE'!$U$5:$U$604,'LỆNH ĐIỀU XE'!$B$5:$B$604,$A332,'LỆNH ĐIỀU XE'!$C$5:$C$604,$B332))*1440,0)))</f>
        <v/>
      </c>
      <c r="AJ332" s="16" t="str">
        <f>IF($A332="","",IF(OR(AI332="",V332=""),"Thiếu dữ liệu",IF(AND(AI332&lt;='THAM SỐ'!$B$29,ABS(V332)&lt;='THAM SỐ'!$B$28),"Đạt","Không đạt")))</f>
        <v/>
      </c>
      <c r="AK332" s="16" t="str">
        <f t="shared" si="58"/>
        <v/>
      </c>
      <c r="AL332" s="16" t="str">
        <f>IF($A332="","",TRIM(IF(T332=0,"Không có lệnh; ","")&amp;IF(N(N332)&gt;0,"Dừng ngoài lệnh; ","")&amp;IF(N(J332)&gt;0,"Quá tốc độ; ","")&amp;IF(N(K332)&gt;0,"Lái quá 4h; ","")&amp;IF(N(L332)&gt;0,"Không tắt máy; ","")&amp;IF(OR(P332&lt;&gt;"Đủ",Q332&lt;&gt;"Đủ",R332&lt;&gt;"Đủ"),"Thiếu ảnh; ","")&amp;IF(S332&lt;&gt;"Đạt","Lốp chưa đạt; ","")&amp;IF(N(W332)&gt;'THAM SỐ'!$B$27,"Có mặt quá giờ; ","")&amp;IF(N(X332)&gt;'THAM SỐ'!$B$25,"Lái quá giờ ngày; ","")&amp;IF(ISNUMBER(V332),IF(ABS(V332)&gt;'THAM SỐ'!$B$28,"Lệch km; ",""),"")))</f>
        <v/>
      </c>
      <c r="AM332" s="29"/>
      <c r="AN332" s="30"/>
      <c r="AO332" s="28" t="str">
        <f t="shared" si="59"/>
        <v/>
      </c>
      <c r="AP332" s="21" t="str">
        <f>IF(OR($A332="",AO332=""),"",IF(AG332=0,0,ROUND((AC332*'THAM SỐ'!$B$18+AD332*'THAM SỐ'!$B$19+AE332*'THAM SỐ'!$B$20+AF332*'THAM SỐ'!$B$21)*MIN(1,AO332/AG332),0)))</f>
        <v/>
      </c>
      <c r="AQ332" s="18"/>
    </row>
    <row r="333" spans="1:43" x14ac:dyDescent="0.45">
      <c r="A333" s="17"/>
      <c r="B333" s="18"/>
      <c r="C333" s="18"/>
      <c r="D333" s="25"/>
      <c r="E333" s="26"/>
      <c r="F333" s="26"/>
      <c r="G333" s="20"/>
      <c r="H333" s="20"/>
      <c r="I333" s="18"/>
      <c r="J333" s="18"/>
      <c r="K333" s="18"/>
      <c r="L333" s="18"/>
      <c r="M333" s="18"/>
      <c r="N333" s="18"/>
      <c r="O333" s="18"/>
      <c r="P333" s="18"/>
      <c r="Q333" s="18"/>
      <c r="R333" s="18"/>
      <c r="S333" s="18"/>
      <c r="T333" s="16" t="str">
        <f>IF($A333="","",COUNTIFS('LỆNH ĐIỀU XE'!$B$5:$B$604,$A333,'LỆNH ĐIỀU XE'!$C$5:$C$604,$B333))</f>
        <v/>
      </c>
      <c r="U333" s="27" t="str">
        <f>IF($A333="","",SUMIFS('LỆNH ĐIỀU XE'!$J$5:$J$604,'LỆNH ĐIỀU XE'!$B$5:$B$604,$A333,'LỆNH ĐIỀU XE'!$C$5:$C$604,$B333))</f>
        <v/>
      </c>
      <c r="V333" s="22" t="str">
        <f t="shared" si="50"/>
        <v/>
      </c>
      <c r="W333" s="28" t="str">
        <f t="shared" si="51"/>
        <v/>
      </c>
      <c r="X333" s="28" t="str">
        <f t="shared" si="52"/>
        <v/>
      </c>
      <c r="Y333" s="28" t="str">
        <f t="shared" si="53"/>
        <v/>
      </c>
      <c r="Z333" s="22" t="str">
        <f t="shared" si="54"/>
        <v/>
      </c>
      <c r="AA333" s="28" t="str">
        <f t="shared" si="55"/>
        <v/>
      </c>
      <c r="AB333" s="28" t="str">
        <f t="shared" si="56"/>
        <v/>
      </c>
      <c r="AC333" s="28" t="str">
        <f>IF($A333="","",SUMIFS('CHẶNG TĂNG CA'!$E$5:$E$304,'CHẶNG TĂNG CA'!$A$5:$A$304,$A333,'CHẶNG TĂNG CA'!$B$5:$B$304,$B333))</f>
        <v/>
      </c>
      <c r="AD333" s="28" t="str">
        <f>IF($A333="","",SUMIFS('CHẶNG TĂNG CA'!$F$5:$F$304,'CHẶNG TĂNG CA'!$A$5:$A$304,$A333,'CHẶNG TĂNG CA'!$B$5:$B$304,$B333))</f>
        <v/>
      </c>
      <c r="AE333" s="28" t="str">
        <f>IF($A333="","",SUMIFS('CHẶNG TĂNG CA'!$G$5:$G$304,'CHẶNG TĂNG CA'!$A$5:$A$304,$A333,'CHẶNG TĂNG CA'!$B$5:$B$304,$B333))</f>
        <v/>
      </c>
      <c r="AF333" s="28" t="str">
        <f>IF($A333="","",SUMIFS('CHẶNG TĂNG CA'!$H$5:$H$304,'CHẶNG TĂNG CA'!$A$5:$A$304,$A333,'CHẶNG TĂNG CA'!$B$5:$B$304,$B333))</f>
        <v/>
      </c>
      <c r="AG333" s="28" t="str">
        <f t="shared" si="57"/>
        <v/>
      </c>
      <c r="AH333" s="16" t="str">
        <f>IF($A333="","",IF(COUNTIFS('LỆNH ĐIỀU XE'!$B$5:$B$604,$A333,'LỆNH ĐIỀU XE'!$C$5:$C$604,$B333,'LỆNH ĐIỀU XE'!$N$5:$N$604,"Có")&gt;0,"Có","Không"))</f>
        <v/>
      </c>
      <c r="AI333" s="16" t="str">
        <f>IF(OR($A333="",H333="",N(T333)=0),"",IF(_xlfn.MAXIFS('LỆNH ĐIỀU XE'!$U$5:$U$604,'LỆNH ĐIỀU XE'!$B$5:$B$604,$A333,'LỆNH ĐIỀU XE'!$C$5:$C$604,$B333)=0,"",ROUND((H333+(H333&lt;4/24)-_xlfn.MAXIFS('LỆNH ĐIỀU XE'!$U$5:$U$604,'LỆNH ĐIỀU XE'!$B$5:$B$604,$A333,'LỆNH ĐIỀU XE'!$C$5:$C$604,$B333))*1440,0)))</f>
        <v/>
      </c>
      <c r="AJ333" s="16" t="str">
        <f>IF($A333="","",IF(OR(AI333="",V333=""),"Thiếu dữ liệu",IF(AND(AI333&lt;='THAM SỐ'!$B$29,ABS(V333)&lt;='THAM SỐ'!$B$28),"Đạt","Không đạt")))</f>
        <v/>
      </c>
      <c r="AK333" s="16" t="str">
        <f t="shared" si="58"/>
        <v/>
      </c>
      <c r="AL333" s="16" t="str">
        <f>IF($A333="","",TRIM(IF(T333=0,"Không có lệnh; ","")&amp;IF(N(N333)&gt;0,"Dừng ngoài lệnh; ","")&amp;IF(N(J333)&gt;0,"Quá tốc độ; ","")&amp;IF(N(K333)&gt;0,"Lái quá 4h; ","")&amp;IF(N(L333)&gt;0,"Không tắt máy; ","")&amp;IF(OR(P333&lt;&gt;"Đủ",Q333&lt;&gt;"Đủ",R333&lt;&gt;"Đủ"),"Thiếu ảnh; ","")&amp;IF(S333&lt;&gt;"Đạt","Lốp chưa đạt; ","")&amp;IF(N(W333)&gt;'THAM SỐ'!$B$27,"Có mặt quá giờ; ","")&amp;IF(N(X333)&gt;'THAM SỐ'!$B$25,"Lái quá giờ ngày; ","")&amp;IF(ISNUMBER(V333),IF(ABS(V333)&gt;'THAM SỐ'!$B$28,"Lệch km; ",""),"")))</f>
        <v/>
      </c>
      <c r="AM333" s="29"/>
      <c r="AN333" s="30"/>
      <c r="AO333" s="28" t="str">
        <f t="shared" si="59"/>
        <v/>
      </c>
      <c r="AP333" s="21" t="str">
        <f>IF(OR($A333="",AO333=""),"",IF(AG333=0,0,ROUND((AC333*'THAM SỐ'!$B$18+AD333*'THAM SỐ'!$B$19+AE333*'THAM SỐ'!$B$20+AF333*'THAM SỐ'!$B$21)*MIN(1,AO333/AG333),0)))</f>
        <v/>
      </c>
      <c r="AQ333" s="18"/>
    </row>
    <row r="334" spans="1:43" x14ac:dyDescent="0.45">
      <c r="A334" s="17"/>
      <c r="B334" s="18"/>
      <c r="C334" s="18"/>
      <c r="D334" s="25"/>
      <c r="E334" s="26"/>
      <c r="F334" s="26"/>
      <c r="G334" s="20"/>
      <c r="H334" s="20"/>
      <c r="I334" s="18"/>
      <c r="J334" s="18"/>
      <c r="K334" s="18"/>
      <c r="L334" s="18"/>
      <c r="M334" s="18"/>
      <c r="N334" s="18"/>
      <c r="O334" s="18"/>
      <c r="P334" s="18"/>
      <c r="Q334" s="18"/>
      <c r="R334" s="18"/>
      <c r="S334" s="18"/>
      <c r="T334" s="16" t="str">
        <f>IF($A334="","",COUNTIFS('LỆNH ĐIỀU XE'!$B$5:$B$604,$A334,'LỆNH ĐIỀU XE'!$C$5:$C$604,$B334))</f>
        <v/>
      </c>
      <c r="U334" s="27" t="str">
        <f>IF($A334="","",SUMIFS('LỆNH ĐIỀU XE'!$J$5:$J$604,'LỆNH ĐIỀU XE'!$B$5:$B$604,$A334,'LỆNH ĐIỀU XE'!$C$5:$C$604,$B334))</f>
        <v/>
      </c>
      <c r="V334" s="22" t="str">
        <f t="shared" si="50"/>
        <v/>
      </c>
      <c r="W334" s="28" t="str">
        <f t="shared" si="51"/>
        <v/>
      </c>
      <c r="X334" s="28" t="str">
        <f t="shared" si="52"/>
        <v/>
      </c>
      <c r="Y334" s="28" t="str">
        <f t="shared" si="53"/>
        <v/>
      </c>
      <c r="Z334" s="22" t="str">
        <f t="shared" si="54"/>
        <v/>
      </c>
      <c r="AA334" s="28" t="str">
        <f t="shared" si="55"/>
        <v/>
      </c>
      <c r="AB334" s="28" t="str">
        <f t="shared" si="56"/>
        <v/>
      </c>
      <c r="AC334" s="28" t="str">
        <f>IF($A334="","",SUMIFS('CHẶNG TĂNG CA'!$E$5:$E$304,'CHẶNG TĂNG CA'!$A$5:$A$304,$A334,'CHẶNG TĂNG CA'!$B$5:$B$304,$B334))</f>
        <v/>
      </c>
      <c r="AD334" s="28" t="str">
        <f>IF($A334="","",SUMIFS('CHẶNG TĂNG CA'!$F$5:$F$304,'CHẶNG TĂNG CA'!$A$5:$A$304,$A334,'CHẶNG TĂNG CA'!$B$5:$B$304,$B334))</f>
        <v/>
      </c>
      <c r="AE334" s="28" t="str">
        <f>IF($A334="","",SUMIFS('CHẶNG TĂNG CA'!$G$5:$G$304,'CHẶNG TĂNG CA'!$A$5:$A$304,$A334,'CHẶNG TĂNG CA'!$B$5:$B$304,$B334))</f>
        <v/>
      </c>
      <c r="AF334" s="28" t="str">
        <f>IF($A334="","",SUMIFS('CHẶNG TĂNG CA'!$H$5:$H$304,'CHẶNG TĂNG CA'!$A$5:$A$304,$A334,'CHẶNG TĂNG CA'!$B$5:$B$304,$B334))</f>
        <v/>
      </c>
      <c r="AG334" s="28" t="str">
        <f t="shared" si="57"/>
        <v/>
      </c>
      <c r="AH334" s="16" t="str">
        <f>IF($A334="","",IF(COUNTIFS('LỆNH ĐIỀU XE'!$B$5:$B$604,$A334,'LỆNH ĐIỀU XE'!$C$5:$C$604,$B334,'LỆNH ĐIỀU XE'!$N$5:$N$604,"Có")&gt;0,"Có","Không"))</f>
        <v/>
      </c>
      <c r="AI334" s="16" t="str">
        <f>IF(OR($A334="",H334="",N(T334)=0),"",IF(_xlfn.MAXIFS('LỆNH ĐIỀU XE'!$U$5:$U$604,'LỆNH ĐIỀU XE'!$B$5:$B$604,$A334,'LỆNH ĐIỀU XE'!$C$5:$C$604,$B334)=0,"",ROUND((H334+(H334&lt;4/24)-_xlfn.MAXIFS('LỆNH ĐIỀU XE'!$U$5:$U$604,'LỆNH ĐIỀU XE'!$B$5:$B$604,$A334,'LỆNH ĐIỀU XE'!$C$5:$C$604,$B334))*1440,0)))</f>
        <v/>
      </c>
      <c r="AJ334" s="16" t="str">
        <f>IF($A334="","",IF(OR(AI334="",V334=""),"Thiếu dữ liệu",IF(AND(AI334&lt;='THAM SỐ'!$B$29,ABS(V334)&lt;='THAM SỐ'!$B$28),"Đạt","Không đạt")))</f>
        <v/>
      </c>
      <c r="AK334" s="16" t="str">
        <f t="shared" si="58"/>
        <v/>
      </c>
      <c r="AL334" s="16" t="str">
        <f>IF($A334="","",TRIM(IF(T334=0,"Không có lệnh; ","")&amp;IF(N(N334)&gt;0,"Dừng ngoài lệnh; ","")&amp;IF(N(J334)&gt;0,"Quá tốc độ; ","")&amp;IF(N(K334)&gt;0,"Lái quá 4h; ","")&amp;IF(N(L334)&gt;0,"Không tắt máy; ","")&amp;IF(OR(P334&lt;&gt;"Đủ",Q334&lt;&gt;"Đủ",R334&lt;&gt;"Đủ"),"Thiếu ảnh; ","")&amp;IF(S334&lt;&gt;"Đạt","Lốp chưa đạt; ","")&amp;IF(N(W334)&gt;'THAM SỐ'!$B$27,"Có mặt quá giờ; ","")&amp;IF(N(X334)&gt;'THAM SỐ'!$B$25,"Lái quá giờ ngày; ","")&amp;IF(ISNUMBER(V334),IF(ABS(V334)&gt;'THAM SỐ'!$B$28,"Lệch km; ",""),"")))</f>
        <v/>
      </c>
      <c r="AM334" s="29"/>
      <c r="AN334" s="30"/>
      <c r="AO334" s="28" t="str">
        <f t="shared" si="59"/>
        <v/>
      </c>
      <c r="AP334" s="21" t="str">
        <f>IF(OR($A334="",AO334=""),"",IF(AG334=0,0,ROUND((AC334*'THAM SỐ'!$B$18+AD334*'THAM SỐ'!$B$19+AE334*'THAM SỐ'!$B$20+AF334*'THAM SỐ'!$B$21)*MIN(1,AO334/AG334),0)))</f>
        <v/>
      </c>
      <c r="AQ334" s="18"/>
    </row>
    <row r="335" spans="1:43" x14ac:dyDescent="0.45">
      <c r="A335" s="17"/>
      <c r="B335" s="18"/>
      <c r="C335" s="18"/>
      <c r="D335" s="25"/>
      <c r="E335" s="26"/>
      <c r="F335" s="26"/>
      <c r="G335" s="20"/>
      <c r="H335" s="20"/>
      <c r="I335" s="18"/>
      <c r="J335" s="18"/>
      <c r="K335" s="18"/>
      <c r="L335" s="18"/>
      <c r="M335" s="18"/>
      <c r="N335" s="18"/>
      <c r="O335" s="18"/>
      <c r="P335" s="18"/>
      <c r="Q335" s="18"/>
      <c r="R335" s="18"/>
      <c r="S335" s="18"/>
      <c r="T335" s="16" t="str">
        <f>IF($A335="","",COUNTIFS('LỆNH ĐIỀU XE'!$B$5:$B$604,$A335,'LỆNH ĐIỀU XE'!$C$5:$C$604,$B335))</f>
        <v/>
      </c>
      <c r="U335" s="27" t="str">
        <f>IF($A335="","",SUMIFS('LỆNH ĐIỀU XE'!$J$5:$J$604,'LỆNH ĐIỀU XE'!$B$5:$B$604,$A335,'LỆNH ĐIỀU XE'!$C$5:$C$604,$B335))</f>
        <v/>
      </c>
      <c r="V335" s="22" t="str">
        <f t="shared" si="50"/>
        <v/>
      </c>
      <c r="W335" s="28" t="str">
        <f t="shared" si="51"/>
        <v/>
      </c>
      <c r="X335" s="28" t="str">
        <f t="shared" si="52"/>
        <v/>
      </c>
      <c r="Y335" s="28" t="str">
        <f t="shared" si="53"/>
        <v/>
      </c>
      <c r="Z335" s="22" t="str">
        <f t="shared" si="54"/>
        <v/>
      </c>
      <c r="AA335" s="28" t="str">
        <f t="shared" si="55"/>
        <v/>
      </c>
      <c r="AB335" s="28" t="str">
        <f t="shared" si="56"/>
        <v/>
      </c>
      <c r="AC335" s="28" t="str">
        <f>IF($A335="","",SUMIFS('CHẶNG TĂNG CA'!$E$5:$E$304,'CHẶNG TĂNG CA'!$A$5:$A$304,$A335,'CHẶNG TĂNG CA'!$B$5:$B$304,$B335))</f>
        <v/>
      </c>
      <c r="AD335" s="28" t="str">
        <f>IF($A335="","",SUMIFS('CHẶNG TĂNG CA'!$F$5:$F$304,'CHẶNG TĂNG CA'!$A$5:$A$304,$A335,'CHẶNG TĂNG CA'!$B$5:$B$304,$B335))</f>
        <v/>
      </c>
      <c r="AE335" s="28" t="str">
        <f>IF($A335="","",SUMIFS('CHẶNG TĂNG CA'!$G$5:$G$304,'CHẶNG TĂNG CA'!$A$5:$A$304,$A335,'CHẶNG TĂNG CA'!$B$5:$B$304,$B335))</f>
        <v/>
      </c>
      <c r="AF335" s="28" t="str">
        <f>IF($A335="","",SUMIFS('CHẶNG TĂNG CA'!$H$5:$H$304,'CHẶNG TĂNG CA'!$A$5:$A$304,$A335,'CHẶNG TĂNG CA'!$B$5:$B$304,$B335))</f>
        <v/>
      </c>
      <c r="AG335" s="28" t="str">
        <f t="shared" si="57"/>
        <v/>
      </c>
      <c r="AH335" s="16" t="str">
        <f>IF($A335="","",IF(COUNTIFS('LỆNH ĐIỀU XE'!$B$5:$B$604,$A335,'LỆNH ĐIỀU XE'!$C$5:$C$604,$B335,'LỆNH ĐIỀU XE'!$N$5:$N$604,"Có")&gt;0,"Có","Không"))</f>
        <v/>
      </c>
      <c r="AI335" s="16" t="str">
        <f>IF(OR($A335="",H335="",N(T335)=0),"",IF(_xlfn.MAXIFS('LỆNH ĐIỀU XE'!$U$5:$U$604,'LỆNH ĐIỀU XE'!$B$5:$B$604,$A335,'LỆNH ĐIỀU XE'!$C$5:$C$604,$B335)=0,"",ROUND((H335+(H335&lt;4/24)-_xlfn.MAXIFS('LỆNH ĐIỀU XE'!$U$5:$U$604,'LỆNH ĐIỀU XE'!$B$5:$B$604,$A335,'LỆNH ĐIỀU XE'!$C$5:$C$604,$B335))*1440,0)))</f>
        <v/>
      </c>
      <c r="AJ335" s="16" t="str">
        <f>IF($A335="","",IF(OR(AI335="",V335=""),"Thiếu dữ liệu",IF(AND(AI335&lt;='THAM SỐ'!$B$29,ABS(V335)&lt;='THAM SỐ'!$B$28),"Đạt","Không đạt")))</f>
        <v/>
      </c>
      <c r="AK335" s="16" t="str">
        <f t="shared" si="58"/>
        <v/>
      </c>
      <c r="AL335" s="16" t="str">
        <f>IF($A335="","",TRIM(IF(T335=0,"Không có lệnh; ","")&amp;IF(N(N335)&gt;0,"Dừng ngoài lệnh; ","")&amp;IF(N(J335)&gt;0,"Quá tốc độ; ","")&amp;IF(N(K335)&gt;0,"Lái quá 4h; ","")&amp;IF(N(L335)&gt;0,"Không tắt máy; ","")&amp;IF(OR(P335&lt;&gt;"Đủ",Q335&lt;&gt;"Đủ",R335&lt;&gt;"Đủ"),"Thiếu ảnh; ","")&amp;IF(S335&lt;&gt;"Đạt","Lốp chưa đạt; ","")&amp;IF(N(W335)&gt;'THAM SỐ'!$B$27,"Có mặt quá giờ; ","")&amp;IF(N(X335)&gt;'THAM SỐ'!$B$25,"Lái quá giờ ngày; ","")&amp;IF(ISNUMBER(V335),IF(ABS(V335)&gt;'THAM SỐ'!$B$28,"Lệch km; ",""),"")))</f>
        <v/>
      </c>
      <c r="AM335" s="29"/>
      <c r="AN335" s="30"/>
      <c r="AO335" s="28" t="str">
        <f t="shared" si="59"/>
        <v/>
      </c>
      <c r="AP335" s="21" t="str">
        <f>IF(OR($A335="",AO335=""),"",IF(AG335=0,0,ROUND((AC335*'THAM SỐ'!$B$18+AD335*'THAM SỐ'!$B$19+AE335*'THAM SỐ'!$B$20+AF335*'THAM SỐ'!$B$21)*MIN(1,AO335/AG335),0)))</f>
        <v/>
      </c>
      <c r="AQ335" s="18"/>
    </row>
    <row r="336" spans="1:43" x14ac:dyDescent="0.45">
      <c r="A336" s="17"/>
      <c r="B336" s="18"/>
      <c r="C336" s="18"/>
      <c r="D336" s="25"/>
      <c r="E336" s="26"/>
      <c r="F336" s="26"/>
      <c r="G336" s="20"/>
      <c r="H336" s="20"/>
      <c r="I336" s="18"/>
      <c r="J336" s="18"/>
      <c r="K336" s="18"/>
      <c r="L336" s="18"/>
      <c r="M336" s="18"/>
      <c r="N336" s="18"/>
      <c r="O336" s="18"/>
      <c r="P336" s="18"/>
      <c r="Q336" s="18"/>
      <c r="R336" s="18"/>
      <c r="S336" s="18"/>
      <c r="T336" s="16" t="str">
        <f>IF($A336="","",COUNTIFS('LỆNH ĐIỀU XE'!$B$5:$B$604,$A336,'LỆNH ĐIỀU XE'!$C$5:$C$604,$B336))</f>
        <v/>
      </c>
      <c r="U336" s="27" t="str">
        <f>IF($A336="","",SUMIFS('LỆNH ĐIỀU XE'!$J$5:$J$604,'LỆNH ĐIỀU XE'!$B$5:$B$604,$A336,'LỆNH ĐIỀU XE'!$C$5:$C$604,$B336))</f>
        <v/>
      </c>
      <c r="V336" s="22" t="str">
        <f t="shared" si="50"/>
        <v/>
      </c>
      <c r="W336" s="28" t="str">
        <f t="shared" si="51"/>
        <v/>
      </c>
      <c r="X336" s="28" t="str">
        <f t="shared" si="52"/>
        <v/>
      </c>
      <c r="Y336" s="28" t="str">
        <f t="shared" si="53"/>
        <v/>
      </c>
      <c r="Z336" s="22" t="str">
        <f t="shared" si="54"/>
        <v/>
      </c>
      <c r="AA336" s="28" t="str">
        <f t="shared" si="55"/>
        <v/>
      </c>
      <c r="AB336" s="28" t="str">
        <f t="shared" si="56"/>
        <v/>
      </c>
      <c r="AC336" s="28" t="str">
        <f>IF($A336="","",SUMIFS('CHẶNG TĂNG CA'!$E$5:$E$304,'CHẶNG TĂNG CA'!$A$5:$A$304,$A336,'CHẶNG TĂNG CA'!$B$5:$B$304,$B336))</f>
        <v/>
      </c>
      <c r="AD336" s="28" t="str">
        <f>IF($A336="","",SUMIFS('CHẶNG TĂNG CA'!$F$5:$F$304,'CHẶNG TĂNG CA'!$A$5:$A$304,$A336,'CHẶNG TĂNG CA'!$B$5:$B$304,$B336))</f>
        <v/>
      </c>
      <c r="AE336" s="28" t="str">
        <f>IF($A336="","",SUMIFS('CHẶNG TĂNG CA'!$G$5:$G$304,'CHẶNG TĂNG CA'!$A$5:$A$304,$A336,'CHẶNG TĂNG CA'!$B$5:$B$304,$B336))</f>
        <v/>
      </c>
      <c r="AF336" s="28" t="str">
        <f>IF($A336="","",SUMIFS('CHẶNG TĂNG CA'!$H$5:$H$304,'CHẶNG TĂNG CA'!$A$5:$A$304,$A336,'CHẶNG TĂNG CA'!$B$5:$B$304,$B336))</f>
        <v/>
      </c>
      <c r="AG336" s="28" t="str">
        <f t="shared" si="57"/>
        <v/>
      </c>
      <c r="AH336" s="16" t="str">
        <f>IF($A336="","",IF(COUNTIFS('LỆNH ĐIỀU XE'!$B$5:$B$604,$A336,'LỆNH ĐIỀU XE'!$C$5:$C$604,$B336,'LỆNH ĐIỀU XE'!$N$5:$N$604,"Có")&gt;0,"Có","Không"))</f>
        <v/>
      </c>
      <c r="AI336" s="16" t="str">
        <f>IF(OR($A336="",H336="",N(T336)=0),"",IF(_xlfn.MAXIFS('LỆNH ĐIỀU XE'!$U$5:$U$604,'LỆNH ĐIỀU XE'!$B$5:$B$604,$A336,'LỆNH ĐIỀU XE'!$C$5:$C$604,$B336)=0,"",ROUND((H336+(H336&lt;4/24)-_xlfn.MAXIFS('LỆNH ĐIỀU XE'!$U$5:$U$604,'LỆNH ĐIỀU XE'!$B$5:$B$604,$A336,'LỆNH ĐIỀU XE'!$C$5:$C$604,$B336))*1440,0)))</f>
        <v/>
      </c>
      <c r="AJ336" s="16" t="str">
        <f>IF($A336="","",IF(OR(AI336="",V336=""),"Thiếu dữ liệu",IF(AND(AI336&lt;='THAM SỐ'!$B$29,ABS(V336)&lt;='THAM SỐ'!$B$28),"Đạt","Không đạt")))</f>
        <v/>
      </c>
      <c r="AK336" s="16" t="str">
        <f t="shared" si="58"/>
        <v/>
      </c>
      <c r="AL336" s="16" t="str">
        <f>IF($A336="","",TRIM(IF(T336=0,"Không có lệnh; ","")&amp;IF(N(N336)&gt;0,"Dừng ngoài lệnh; ","")&amp;IF(N(J336)&gt;0,"Quá tốc độ; ","")&amp;IF(N(K336)&gt;0,"Lái quá 4h; ","")&amp;IF(N(L336)&gt;0,"Không tắt máy; ","")&amp;IF(OR(P336&lt;&gt;"Đủ",Q336&lt;&gt;"Đủ",R336&lt;&gt;"Đủ"),"Thiếu ảnh; ","")&amp;IF(S336&lt;&gt;"Đạt","Lốp chưa đạt; ","")&amp;IF(N(W336)&gt;'THAM SỐ'!$B$27,"Có mặt quá giờ; ","")&amp;IF(N(X336)&gt;'THAM SỐ'!$B$25,"Lái quá giờ ngày; ","")&amp;IF(ISNUMBER(V336),IF(ABS(V336)&gt;'THAM SỐ'!$B$28,"Lệch km; ",""),"")))</f>
        <v/>
      </c>
      <c r="AM336" s="29"/>
      <c r="AN336" s="30"/>
      <c r="AO336" s="28" t="str">
        <f t="shared" si="59"/>
        <v/>
      </c>
      <c r="AP336" s="21" t="str">
        <f>IF(OR($A336="",AO336=""),"",IF(AG336=0,0,ROUND((AC336*'THAM SỐ'!$B$18+AD336*'THAM SỐ'!$B$19+AE336*'THAM SỐ'!$B$20+AF336*'THAM SỐ'!$B$21)*MIN(1,AO336/AG336),0)))</f>
        <v/>
      </c>
      <c r="AQ336" s="18"/>
    </row>
    <row r="337" spans="1:43" x14ac:dyDescent="0.45">
      <c r="A337" s="17"/>
      <c r="B337" s="18"/>
      <c r="C337" s="18"/>
      <c r="D337" s="25"/>
      <c r="E337" s="26"/>
      <c r="F337" s="26"/>
      <c r="G337" s="20"/>
      <c r="H337" s="20"/>
      <c r="I337" s="18"/>
      <c r="J337" s="18"/>
      <c r="K337" s="18"/>
      <c r="L337" s="18"/>
      <c r="M337" s="18"/>
      <c r="N337" s="18"/>
      <c r="O337" s="18"/>
      <c r="P337" s="18"/>
      <c r="Q337" s="18"/>
      <c r="R337" s="18"/>
      <c r="S337" s="18"/>
      <c r="T337" s="16" t="str">
        <f>IF($A337="","",COUNTIFS('LỆNH ĐIỀU XE'!$B$5:$B$604,$A337,'LỆNH ĐIỀU XE'!$C$5:$C$604,$B337))</f>
        <v/>
      </c>
      <c r="U337" s="27" t="str">
        <f>IF($A337="","",SUMIFS('LỆNH ĐIỀU XE'!$J$5:$J$604,'LỆNH ĐIỀU XE'!$B$5:$B$604,$A337,'LỆNH ĐIỀU XE'!$C$5:$C$604,$B337))</f>
        <v/>
      </c>
      <c r="V337" s="22" t="str">
        <f t="shared" si="50"/>
        <v/>
      </c>
      <c r="W337" s="28" t="str">
        <f t="shared" si="51"/>
        <v/>
      </c>
      <c r="X337" s="28" t="str">
        <f t="shared" si="52"/>
        <v/>
      </c>
      <c r="Y337" s="28" t="str">
        <f t="shared" si="53"/>
        <v/>
      </c>
      <c r="Z337" s="22" t="str">
        <f t="shared" si="54"/>
        <v/>
      </c>
      <c r="AA337" s="28" t="str">
        <f t="shared" si="55"/>
        <v/>
      </c>
      <c r="AB337" s="28" t="str">
        <f t="shared" si="56"/>
        <v/>
      </c>
      <c r="AC337" s="28" t="str">
        <f>IF($A337="","",SUMIFS('CHẶNG TĂNG CA'!$E$5:$E$304,'CHẶNG TĂNG CA'!$A$5:$A$304,$A337,'CHẶNG TĂNG CA'!$B$5:$B$304,$B337))</f>
        <v/>
      </c>
      <c r="AD337" s="28" t="str">
        <f>IF($A337="","",SUMIFS('CHẶNG TĂNG CA'!$F$5:$F$304,'CHẶNG TĂNG CA'!$A$5:$A$304,$A337,'CHẶNG TĂNG CA'!$B$5:$B$304,$B337))</f>
        <v/>
      </c>
      <c r="AE337" s="28" t="str">
        <f>IF($A337="","",SUMIFS('CHẶNG TĂNG CA'!$G$5:$G$304,'CHẶNG TĂNG CA'!$A$5:$A$304,$A337,'CHẶNG TĂNG CA'!$B$5:$B$304,$B337))</f>
        <v/>
      </c>
      <c r="AF337" s="28" t="str">
        <f>IF($A337="","",SUMIFS('CHẶNG TĂNG CA'!$H$5:$H$304,'CHẶNG TĂNG CA'!$A$5:$A$304,$A337,'CHẶNG TĂNG CA'!$B$5:$B$304,$B337))</f>
        <v/>
      </c>
      <c r="AG337" s="28" t="str">
        <f t="shared" si="57"/>
        <v/>
      </c>
      <c r="AH337" s="16" t="str">
        <f>IF($A337="","",IF(COUNTIFS('LỆNH ĐIỀU XE'!$B$5:$B$604,$A337,'LỆNH ĐIỀU XE'!$C$5:$C$604,$B337,'LỆNH ĐIỀU XE'!$N$5:$N$604,"Có")&gt;0,"Có","Không"))</f>
        <v/>
      </c>
      <c r="AI337" s="16" t="str">
        <f>IF(OR($A337="",H337="",N(T337)=0),"",IF(_xlfn.MAXIFS('LỆNH ĐIỀU XE'!$U$5:$U$604,'LỆNH ĐIỀU XE'!$B$5:$B$604,$A337,'LỆNH ĐIỀU XE'!$C$5:$C$604,$B337)=0,"",ROUND((H337+(H337&lt;4/24)-_xlfn.MAXIFS('LỆNH ĐIỀU XE'!$U$5:$U$604,'LỆNH ĐIỀU XE'!$B$5:$B$604,$A337,'LỆNH ĐIỀU XE'!$C$5:$C$604,$B337))*1440,0)))</f>
        <v/>
      </c>
      <c r="AJ337" s="16" t="str">
        <f>IF($A337="","",IF(OR(AI337="",V337=""),"Thiếu dữ liệu",IF(AND(AI337&lt;='THAM SỐ'!$B$29,ABS(V337)&lt;='THAM SỐ'!$B$28),"Đạt","Không đạt")))</f>
        <v/>
      </c>
      <c r="AK337" s="16" t="str">
        <f t="shared" si="58"/>
        <v/>
      </c>
      <c r="AL337" s="16" t="str">
        <f>IF($A337="","",TRIM(IF(T337=0,"Không có lệnh; ","")&amp;IF(N(N337)&gt;0,"Dừng ngoài lệnh; ","")&amp;IF(N(J337)&gt;0,"Quá tốc độ; ","")&amp;IF(N(K337)&gt;0,"Lái quá 4h; ","")&amp;IF(N(L337)&gt;0,"Không tắt máy; ","")&amp;IF(OR(P337&lt;&gt;"Đủ",Q337&lt;&gt;"Đủ",R337&lt;&gt;"Đủ"),"Thiếu ảnh; ","")&amp;IF(S337&lt;&gt;"Đạt","Lốp chưa đạt; ","")&amp;IF(N(W337)&gt;'THAM SỐ'!$B$27,"Có mặt quá giờ; ","")&amp;IF(N(X337)&gt;'THAM SỐ'!$B$25,"Lái quá giờ ngày; ","")&amp;IF(ISNUMBER(V337),IF(ABS(V337)&gt;'THAM SỐ'!$B$28,"Lệch km; ",""),"")))</f>
        <v/>
      </c>
      <c r="AM337" s="29"/>
      <c r="AN337" s="30"/>
      <c r="AO337" s="28" t="str">
        <f t="shared" si="59"/>
        <v/>
      </c>
      <c r="AP337" s="21" t="str">
        <f>IF(OR($A337="",AO337=""),"",IF(AG337=0,0,ROUND((AC337*'THAM SỐ'!$B$18+AD337*'THAM SỐ'!$B$19+AE337*'THAM SỐ'!$B$20+AF337*'THAM SỐ'!$B$21)*MIN(1,AO337/AG337),0)))</f>
        <v/>
      </c>
      <c r="AQ337" s="18"/>
    </row>
    <row r="338" spans="1:43" x14ac:dyDescent="0.45">
      <c r="A338" s="17"/>
      <c r="B338" s="18"/>
      <c r="C338" s="18"/>
      <c r="D338" s="25"/>
      <c r="E338" s="26"/>
      <c r="F338" s="26"/>
      <c r="G338" s="20"/>
      <c r="H338" s="20"/>
      <c r="I338" s="18"/>
      <c r="J338" s="18"/>
      <c r="K338" s="18"/>
      <c r="L338" s="18"/>
      <c r="M338" s="18"/>
      <c r="N338" s="18"/>
      <c r="O338" s="18"/>
      <c r="P338" s="18"/>
      <c r="Q338" s="18"/>
      <c r="R338" s="18"/>
      <c r="S338" s="18"/>
      <c r="T338" s="16" t="str">
        <f>IF($A338="","",COUNTIFS('LỆNH ĐIỀU XE'!$B$5:$B$604,$A338,'LỆNH ĐIỀU XE'!$C$5:$C$604,$B338))</f>
        <v/>
      </c>
      <c r="U338" s="27" t="str">
        <f>IF($A338="","",SUMIFS('LỆNH ĐIỀU XE'!$J$5:$J$604,'LỆNH ĐIỀU XE'!$B$5:$B$604,$A338,'LỆNH ĐIỀU XE'!$C$5:$C$604,$B338))</f>
        <v/>
      </c>
      <c r="V338" s="22" t="str">
        <f t="shared" si="50"/>
        <v/>
      </c>
      <c r="W338" s="28" t="str">
        <f t="shared" si="51"/>
        <v/>
      </c>
      <c r="X338" s="28" t="str">
        <f t="shared" si="52"/>
        <v/>
      </c>
      <c r="Y338" s="28" t="str">
        <f t="shared" si="53"/>
        <v/>
      </c>
      <c r="Z338" s="22" t="str">
        <f t="shared" si="54"/>
        <v/>
      </c>
      <c r="AA338" s="28" t="str">
        <f t="shared" si="55"/>
        <v/>
      </c>
      <c r="AB338" s="28" t="str">
        <f t="shared" si="56"/>
        <v/>
      </c>
      <c r="AC338" s="28" t="str">
        <f>IF($A338="","",SUMIFS('CHẶNG TĂNG CA'!$E$5:$E$304,'CHẶNG TĂNG CA'!$A$5:$A$304,$A338,'CHẶNG TĂNG CA'!$B$5:$B$304,$B338))</f>
        <v/>
      </c>
      <c r="AD338" s="28" t="str">
        <f>IF($A338="","",SUMIFS('CHẶNG TĂNG CA'!$F$5:$F$304,'CHẶNG TĂNG CA'!$A$5:$A$304,$A338,'CHẶNG TĂNG CA'!$B$5:$B$304,$B338))</f>
        <v/>
      </c>
      <c r="AE338" s="28" t="str">
        <f>IF($A338="","",SUMIFS('CHẶNG TĂNG CA'!$G$5:$G$304,'CHẶNG TĂNG CA'!$A$5:$A$304,$A338,'CHẶNG TĂNG CA'!$B$5:$B$304,$B338))</f>
        <v/>
      </c>
      <c r="AF338" s="28" t="str">
        <f>IF($A338="","",SUMIFS('CHẶNG TĂNG CA'!$H$5:$H$304,'CHẶNG TĂNG CA'!$A$5:$A$304,$A338,'CHẶNG TĂNG CA'!$B$5:$B$304,$B338))</f>
        <v/>
      </c>
      <c r="AG338" s="28" t="str">
        <f t="shared" si="57"/>
        <v/>
      </c>
      <c r="AH338" s="16" t="str">
        <f>IF($A338="","",IF(COUNTIFS('LỆNH ĐIỀU XE'!$B$5:$B$604,$A338,'LỆNH ĐIỀU XE'!$C$5:$C$604,$B338,'LỆNH ĐIỀU XE'!$N$5:$N$604,"Có")&gt;0,"Có","Không"))</f>
        <v/>
      </c>
      <c r="AI338" s="16" t="str">
        <f>IF(OR($A338="",H338="",N(T338)=0),"",IF(_xlfn.MAXIFS('LỆNH ĐIỀU XE'!$U$5:$U$604,'LỆNH ĐIỀU XE'!$B$5:$B$604,$A338,'LỆNH ĐIỀU XE'!$C$5:$C$604,$B338)=0,"",ROUND((H338+(H338&lt;4/24)-_xlfn.MAXIFS('LỆNH ĐIỀU XE'!$U$5:$U$604,'LỆNH ĐIỀU XE'!$B$5:$B$604,$A338,'LỆNH ĐIỀU XE'!$C$5:$C$604,$B338))*1440,0)))</f>
        <v/>
      </c>
      <c r="AJ338" s="16" t="str">
        <f>IF($A338="","",IF(OR(AI338="",V338=""),"Thiếu dữ liệu",IF(AND(AI338&lt;='THAM SỐ'!$B$29,ABS(V338)&lt;='THAM SỐ'!$B$28),"Đạt","Không đạt")))</f>
        <v/>
      </c>
      <c r="AK338" s="16" t="str">
        <f t="shared" si="58"/>
        <v/>
      </c>
      <c r="AL338" s="16" t="str">
        <f>IF($A338="","",TRIM(IF(T338=0,"Không có lệnh; ","")&amp;IF(N(N338)&gt;0,"Dừng ngoài lệnh; ","")&amp;IF(N(J338)&gt;0,"Quá tốc độ; ","")&amp;IF(N(K338)&gt;0,"Lái quá 4h; ","")&amp;IF(N(L338)&gt;0,"Không tắt máy; ","")&amp;IF(OR(P338&lt;&gt;"Đủ",Q338&lt;&gt;"Đủ",R338&lt;&gt;"Đủ"),"Thiếu ảnh; ","")&amp;IF(S338&lt;&gt;"Đạt","Lốp chưa đạt; ","")&amp;IF(N(W338)&gt;'THAM SỐ'!$B$27,"Có mặt quá giờ; ","")&amp;IF(N(X338)&gt;'THAM SỐ'!$B$25,"Lái quá giờ ngày; ","")&amp;IF(ISNUMBER(V338),IF(ABS(V338)&gt;'THAM SỐ'!$B$28,"Lệch km; ",""),"")))</f>
        <v/>
      </c>
      <c r="AM338" s="29"/>
      <c r="AN338" s="30"/>
      <c r="AO338" s="28" t="str">
        <f t="shared" si="59"/>
        <v/>
      </c>
      <c r="AP338" s="21" t="str">
        <f>IF(OR($A338="",AO338=""),"",IF(AG338=0,0,ROUND((AC338*'THAM SỐ'!$B$18+AD338*'THAM SỐ'!$B$19+AE338*'THAM SỐ'!$B$20+AF338*'THAM SỐ'!$B$21)*MIN(1,AO338/AG338),0)))</f>
        <v/>
      </c>
      <c r="AQ338" s="18"/>
    </row>
    <row r="339" spans="1:43" x14ac:dyDescent="0.45">
      <c r="A339" s="17"/>
      <c r="B339" s="18"/>
      <c r="C339" s="18"/>
      <c r="D339" s="25"/>
      <c r="E339" s="26"/>
      <c r="F339" s="26"/>
      <c r="G339" s="20"/>
      <c r="H339" s="20"/>
      <c r="I339" s="18"/>
      <c r="J339" s="18"/>
      <c r="K339" s="18"/>
      <c r="L339" s="18"/>
      <c r="M339" s="18"/>
      <c r="N339" s="18"/>
      <c r="O339" s="18"/>
      <c r="P339" s="18"/>
      <c r="Q339" s="18"/>
      <c r="R339" s="18"/>
      <c r="S339" s="18"/>
      <c r="T339" s="16" t="str">
        <f>IF($A339="","",COUNTIFS('LỆNH ĐIỀU XE'!$B$5:$B$604,$A339,'LỆNH ĐIỀU XE'!$C$5:$C$604,$B339))</f>
        <v/>
      </c>
      <c r="U339" s="27" t="str">
        <f>IF($A339="","",SUMIFS('LỆNH ĐIỀU XE'!$J$5:$J$604,'LỆNH ĐIỀU XE'!$B$5:$B$604,$A339,'LỆNH ĐIỀU XE'!$C$5:$C$604,$B339))</f>
        <v/>
      </c>
      <c r="V339" s="22" t="str">
        <f t="shared" si="50"/>
        <v/>
      </c>
      <c r="W339" s="28" t="str">
        <f t="shared" si="51"/>
        <v/>
      </c>
      <c r="X339" s="28" t="str">
        <f t="shared" si="52"/>
        <v/>
      </c>
      <c r="Y339" s="28" t="str">
        <f t="shared" si="53"/>
        <v/>
      </c>
      <c r="Z339" s="22" t="str">
        <f t="shared" si="54"/>
        <v/>
      </c>
      <c r="AA339" s="28" t="str">
        <f t="shared" si="55"/>
        <v/>
      </c>
      <c r="AB339" s="28" t="str">
        <f t="shared" si="56"/>
        <v/>
      </c>
      <c r="AC339" s="28" t="str">
        <f>IF($A339="","",SUMIFS('CHẶNG TĂNG CA'!$E$5:$E$304,'CHẶNG TĂNG CA'!$A$5:$A$304,$A339,'CHẶNG TĂNG CA'!$B$5:$B$304,$B339))</f>
        <v/>
      </c>
      <c r="AD339" s="28" t="str">
        <f>IF($A339="","",SUMIFS('CHẶNG TĂNG CA'!$F$5:$F$304,'CHẶNG TĂNG CA'!$A$5:$A$304,$A339,'CHẶNG TĂNG CA'!$B$5:$B$304,$B339))</f>
        <v/>
      </c>
      <c r="AE339" s="28" t="str">
        <f>IF($A339="","",SUMIFS('CHẶNG TĂNG CA'!$G$5:$G$304,'CHẶNG TĂNG CA'!$A$5:$A$304,$A339,'CHẶNG TĂNG CA'!$B$5:$B$304,$B339))</f>
        <v/>
      </c>
      <c r="AF339" s="28" t="str">
        <f>IF($A339="","",SUMIFS('CHẶNG TĂNG CA'!$H$5:$H$304,'CHẶNG TĂNG CA'!$A$5:$A$304,$A339,'CHẶNG TĂNG CA'!$B$5:$B$304,$B339))</f>
        <v/>
      </c>
      <c r="AG339" s="28" t="str">
        <f t="shared" si="57"/>
        <v/>
      </c>
      <c r="AH339" s="16" t="str">
        <f>IF($A339="","",IF(COUNTIFS('LỆNH ĐIỀU XE'!$B$5:$B$604,$A339,'LỆNH ĐIỀU XE'!$C$5:$C$604,$B339,'LỆNH ĐIỀU XE'!$N$5:$N$604,"Có")&gt;0,"Có","Không"))</f>
        <v/>
      </c>
      <c r="AI339" s="16" t="str">
        <f>IF(OR($A339="",H339="",N(T339)=0),"",IF(_xlfn.MAXIFS('LỆNH ĐIỀU XE'!$U$5:$U$604,'LỆNH ĐIỀU XE'!$B$5:$B$604,$A339,'LỆNH ĐIỀU XE'!$C$5:$C$604,$B339)=0,"",ROUND((H339+(H339&lt;4/24)-_xlfn.MAXIFS('LỆNH ĐIỀU XE'!$U$5:$U$604,'LỆNH ĐIỀU XE'!$B$5:$B$604,$A339,'LỆNH ĐIỀU XE'!$C$5:$C$604,$B339))*1440,0)))</f>
        <v/>
      </c>
      <c r="AJ339" s="16" t="str">
        <f>IF($A339="","",IF(OR(AI339="",V339=""),"Thiếu dữ liệu",IF(AND(AI339&lt;='THAM SỐ'!$B$29,ABS(V339)&lt;='THAM SỐ'!$B$28),"Đạt","Không đạt")))</f>
        <v/>
      </c>
      <c r="AK339" s="16" t="str">
        <f t="shared" si="58"/>
        <v/>
      </c>
      <c r="AL339" s="16" t="str">
        <f>IF($A339="","",TRIM(IF(T339=0,"Không có lệnh; ","")&amp;IF(N(N339)&gt;0,"Dừng ngoài lệnh; ","")&amp;IF(N(J339)&gt;0,"Quá tốc độ; ","")&amp;IF(N(K339)&gt;0,"Lái quá 4h; ","")&amp;IF(N(L339)&gt;0,"Không tắt máy; ","")&amp;IF(OR(P339&lt;&gt;"Đủ",Q339&lt;&gt;"Đủ",R339&lt;&gt;"Đủ"),"Thiếu ảnh; ","")&amp;IF(S339&lt;&gt;"Đạt","Lốp chưa đạt; ","")&amp;IF(N(W339)&gt;'THAM SỐ'!$B$27,"Có mặt quá giờ; ","")&amp;IF(N(X339)&gt;'THAM SỐ'!$B$25,"Lái quá giờ ngày; ","")&amp;IF(ISNUMBER(V339),IF(ABS(V339)&gt;'THAM SỐ'!$B$28,"Lệch km; ",""),"")))</f>
        <v/>
      </c>
      <c r="AM339" s="29"/>
      <c r="AN339" s="30"/>
      <c r="AO339" s="28" t="str">
        <f t="shared" si="59"/>
        <v/>
      </c>
      <c r="AP339" s="21" t="str">
        <f>IF(OR($A339="",AO339=""),"",IF(AG339=0,0,ROUND((AC339*'THAM SỐ'!$B$18+AD339*'THAM SỐ'!$B$19+AE339*'THAM SỐ'!$B$20+AF339*'THAM SỐ'!$B$21)*MIN(1,AO339/AG339),0)))</f>
        <v/>
      </c>
      <c r="AQ339" s="18"/>
    </row>
    <row r="340" spans="1:43" x14ac:dyDescent="0.45">
      <c r="A340" s="17"/>
      <c r="B340" s="18"/>
      <c r="C340" s="18"/>
      <c r="D340" s="25"/>
      <c r="E340" s="26"/>
      <c r="F340" s="26"/>
      <c r="G340" s="20"/>
      <c r="H340" s="20"/>
      <c r="I340" s="18"/>
      <c r="J340" s="18"/>
      <c r="K340" s="18"/>
      <c r="L340" s="18"/>
      <c r="M340" s="18"/>
      <c r="N340" s="18"/>
      <c r="O340" s="18"/>
      <c r="P340" s="18"/>
      <c r="Q340" s="18"/>
      <c r="R340" s="18"/>
      <c r="S340" s="18"/>
      <c r="T340" s="16" t="str">
        <f>IF($A340="","",COUNTIFS('LỆNH ĐIỀU XE'!$B$5:$B$604,$A340,'LỆNH ĐIỀU XE'!$C$5:$C$604,$B340))</f>
        <v/>
      </c>
      <c r="U340" s="27" t="str">
        <f>IF($A340="","",SUMIFS('LỆNH ĐIỀU XE'!$J$5:$J$604,'LỆNH ĐIỀU XE'!$B$5:$B$604,$A340,'LỆNH ĐIỀU XE'!$C$5:$C$604,$B340))</f>
        <v/>
      </c>
      <c r="V340" s="22" t="str">
        <f t="shared" si="50"/>
        <v/>
      </c>
      <c r="W340" s="28" t="str">
        <f t="shared" si="51"/>
        <v/>
      </c>
      <c r="X340" s="28" t="str">
        <f t="shared" si="52"/>
        <v/>
      </c>
      <c r="Y340" s="28" t="str">
        <f t="shared" si="53"/>
        <v/>
      </c>
      <c r="Z340" s="22" t="str">
        <f t="shared" si="54"/>
        <v/>
      </c>
      <c r="AA340" s="28" t="str">
        <f t="shared" si="55"/>
        <v/>
      </c>
      <c r="AB340" s="28" t="str">
        <f t="shared" si="56"/>
        <v/>
      </c>
      <c r="AC340" s="28" t="str">
        <f>IF($A340="","",SUMIFS('CHẶNG TĂNG CA'!$E$5:$E$304,'CHẶNG TĂNG CA'!$A$5:$A$304,$A340,'CHẶNG TĂNG CA'!$B$5:$B$304,$B340))</f>
        <v/>
      </c>
      <c r="AD340" s="28" t="str">
        <f>IF($A340="","",SUMIFS('CHẶNG TĂNG CA'!$F$5:$F$304,'CHẶNG TĂNG CA'!$A$5:$A$304,$A340,'CHẶNG TĂNG CA'!$B$5:$B$304,$B340))</f>
        <v/>
      </c>
      <c r="AE340" s="28" t="str">
        <f>IF($A340="","",SUMIFS('CHẶNG TĂNG CA'!$G$5:$G$304,'CHẶNG TĂNG CA'!$A$5:$A$304,$A340,'CHẶNG TĂNG CA'!$B$5:$B$304,$B340))</f>
        <v/>
      </c>
      <c r="AF340" s="28" t="str">
        <f>IF($A340="","",SUMIFS('CHẶNG TĂNG CA'!$H$5:$H$304,'CHẶNG TĂNG CA'!$A$5:$A$304,$A340,'CHẶNG TĂNG CA'!$B$5:$B$304,$B340))</f>
        <v/>
      </c>
      <c r="AG340" s="28" t="str">
        <f t="shared" si="57"/>
        <v/>
      </c>
      <c r="AH340" s="16" t="str">
        <f>IF($A340="","",IF(COUNTIFS('LỆNH ĐIỀU XE'!$B$5:$B$604,$A340,'LỆNH ĐIỀU XE'!$C$5:$C$604,$B340,'LỆNH ĐIỀU XE'!$N$5:$N$604,"Có")&gt;0,"Có","Không"))</f>
        <v/>
      </c>
      <c r="AI340" s="16" t="str">
        <f>IF(OR($A340="",H340="",N(T340)=0),"",IF(_xlfn.MAXIFS('LỆNH ĐIỀU XE'!$U$5:$U$604,'LỆNH ĐIỀU XE'!$B$5:$B$604,$A340,'LỆNH ĐIỀU XE'!$C$5:$C$604,$B340)=0,"",ROUND((H340+(H340&lt;4/24)-_xlfn.MAXIFS('LỆNH ĐIỀU XE'!$U$5:$U$604,'LỆNH ĐIỀU XE'!$B$5:$B$604,$A340,'LỆNH ĐIỀU XE'!$C$5:$C$604,$B340))*1440,0)))</f>
        <v/>
      </c>
      <c r="AJ340" s="16" t="str">
        <f>IF($A340="","",IF(OR(AI340="",V340=""),"Thiếu dữ liệu",IF(AND(AI340&lt;='THAM SỐ'!$B$29,ABS(V340)&lt;='THAM SỐ'!$B$28),"Đạt","Không đạt")))</f>
        <v/>
      </c>
      <c r="AK340" s="16" t="str">
        <f t="shared" si="58"/>
        <v/>
      </c>
      <c r="AL340" s="16" t="str">
        <f>IF($A340="","",TRIM(IF(T340=0,"Không có lệnh; ","")&amp;IF(N(N340)&gt;0,"Dừng ngoài lệnh; ","")&amp;IF(N(J340)&gt;0,"Quá tốc độ; ","")&amp;IF(N(K340)&gt;0,"Lái quá 4h; ","")&amp;IF(N(L340)&gt;0,"Không tắt máy; ","")&amp;IF(OR(P340&lt;&gt;"Đủ",Q340&lt;&gt;"Đủ",R340&lt;&gt;"Đủ"),"Thiếu ảnh; ","")&amp;IF(S340&lt;&gt;"Đạt","Lốp chưa đạt; ","")&amp;IF(N(W340)&gt;'THAM SỐ'!$B$27,"Có mặt quá giờ; ","")&amp;IF(N(X340)&gt;'THAM SỐ'!$B$25,"Lái quá giờ ngày; ","")&amp;IF(ISNUMBER(V340),IF(ABS(V340)&gt;'THAM SỐ'!$B$28,"Lệch km; ",""),"")))</f>
        <v/>
      </c>
      <c r="AM340" s="29"/>
      <c r="AN340" s="30"/>
      <c r="AO340" s="28" t="str">
        <f t="shared" si="59"/>
        <v/>
      </c>
      <c r="AP340" s="21" t="str">
        <f>IF(OR($A340="",AO340=""),"",IF(AG340=0,0,ROUND((AC340*'THAM SỐ'!$B$18+AD340*'THAM SỐ'!$B$19+AE340*'THAM SỐ'!$B$20+AF340*'THAM SỐ'!$B$21)*MIN(1,AO340/AG340),0)))</f>
        <v/>
      </c>
      <c r="AQ340" s="18"/>
    </row>
    <row r="341" spans="1:43" x14ac:dyDescent="0.45">
      <c r="A341" s="17"/>
      <c r="B341" s="18"/>
      <c r="C341" s="18"/>
      <c r="D341" s="25"/>
      <c r="E341" s="26"/>
      <c r="F341" s="26"/>
      <c r="G341" s="20"/>
      <c r="H341" s="20"/>
      <c r="I341" s="18"/>
      <c r="J341" s="18"/>
      <c r="K341" s="18"/>
      <c r="L341" s="18"/>
      <c r="M341" s="18"/>
      <c r="N341" s="18"/>
      <c r="O341" s="18"/>
      <c r="P341" s="18"/>
      <c r="Q341" s="18"/>
      <c r="R341" s="18"/>
      <c r="S341" s="18"/>
      <c r="T341" s="16" t="str">
        <f>IF($A341="","",COUNTIFS('LỆNH ĐIỀU XE'!$B$5:$B$604,$A341,'LỆNH ĐIỀU XE'!$C$5:$C$604,$B341))</f>
        <v/>
      </c>
      <c r="U341" s="27" t="str">
        <f>IF($A341="","",SUMIFS('LỆNH ĐIỀU XE'!$J$5:$J$604,'LỆNH ĐIỀU XE'!$B$5:$B$604,$A341,'LỆNH ĐIỀU XE'!$C$5:$C$604,$B341))</f>
        <v/>
      </c>
      <c r="V341" s="22" t="str">
        <f t="shared" si="50"/>
        <v/>
      </c>
      <c r="W341" s="28" t="str">
        <f t="shared" si="51"/>
        <v/>
      </c>
      <c r="X341" s="28" t="str">
        <f t="shared" si="52"/>
        <v/>
      </c>
      <c r="Y341" s="28" t="str">
        <f t="shared" si="53"/>
        <v/>
      </c>
      <c r="Z341" s="22" t="str">
        <f t="shared" si="54"/>
        <v/>
      </c>
      <c r="AA341" s="28" t="str">
        <f t="shared" si="55"/>
        <v/>
      </c>
      <c r="AB341" s="28" t="str">
        <f t="shared" si="56"/>
        <v/>
      </c>
      <c r="AC341" s="28" t="str">
        <f>IF($A341="","",SUMIFS('CHẶNG TĂNG CA'!$E$5:$E$304,'CHẶNG TĂNG CA'!$A$5:$A$304,$A341,'CHẶNG TĂNG CA'!$B$5:$B$304,$B341))</f>
        <v/>
      </c>
      <c r="AD341" s="28" t="str">
        <f>IF($A341="","",SUMIFS('CHẶNG TĂNG CA'!$F$5:$F$304,'CHẶNG TĂNG CA'!$A$5:$A$304,$A341,'CHẶNG TĂNG CA'!$B$5:$B$304,$B341))</f>
        <v/>
      </c>
      <c r="AE341" s="28" t="str">
        <f>IF($A341="","",SUMIFS('CHẶNG TĂNG CA'!$G$5:$G$304,'CHẶNG TĂNG CA'!$A$5:$A$304,$A341,'CHẶNG TĂNG CA'!$B$5:$B$304,$B341))</f>
        <v/>
      </c>
      <c r="AF341" s="28" t="str">
        <f>IF($A341="","",SUMIFS('CHẶNG TĂNG CA'!$H$5:$H$304,'CHẶNG TĂNG CA'!$A$5:$A$304,$A341,'CHẶNG TĂNG CA'!$B$5:$B$304,$B341))</f>
        <v/>
      </c>
      <c r="AG341" s="28" t="str">
        <f t="shared" si="57"/>
        <v/>
      </c>
      <c r="AH341" s="16" t="str">
        <f>IF($A341="","",IF(COUNTIFS('LỆNH ĐIỀU XE'!$B$5:$B$604,$A341,'LỆNH ĐIỀU XE'!$C$5:$C$604,$B341,'LỆNH ĐIỀU XE'!$N$5:$N$604,"Có")&gt;0,"Có","Không"))</f>
        <v/>
      </c>
      <c r="AI341" s="16" t="str">
        <f>IF(OR($A341="",H341="",N(T341)=0),"",IF(_xlfn.MAXIFS('LỆNH ĐIỀU XE'!$U$5:$U$604,'LỆNH ĐIỀU XE'!$B$5:$B$604,$A341,'LỆNH ĐIỀU XE'!$C$5:$C$604,$B341)=0,"",ROUND((H341+(H341&lt;4/24)-_xlfn.MAXIFS('LỆNH ĐIỀU XE'!$U$5:$U$604,'LỆNH ĐIỀU XE'!$B$5:$B$604,$A341,'LỆNH ĐIỀU XE'!$C$5:$C$604,$B341))*1440,0)))</f>
        <v/>
      </c>
      <c r="AJ341" s="16" t="str">
        <f>IF($A341="","",IF(OR(AI341="",V341=""),"Thiếu dữ liệu",IF(AND(AI341&lt;='THAM SỐ'!$B$29,ABS(V341)&lt;='THAM SỐ'!$B$28),"Đạt","Không đạt")))</f>
        <v/>
      </c>
      <c r="AK341" s="16" t="str">
        <f t="shared" si="58"/>
        <v/>
      </c>
      <c r="AL341" s="16" t="str">
        <f>IF($A341="","",TRIM(IF(T341=0,"Không có lệnh; ","")&amp;IF(N(N341)&gt;0,"Dừng ngoài lệnh; ","")&amp;IF(N(J341)&gt;0,"Quá tốc độ; ","")&amp;IF(N(K341)&gt;0,"Lái quá 4h; ","")&amp;IF(N(L341)&gt;0,"Không tắt máy; ","")&amp;IF(OR(P341&lt;&gt;"Đủ",Q341&lt;&gt;"Đủ",R341&lt;&gt;"Đủ"),"Thiếu ảnh; ","")&amp;IF(S341&lt;&gt;"Đạt","Lốp chưa đạt; ","")&amp;IF(N(W341)&gt;'THAM SỐ'!$B$27,"Có mặt quá giờ; ","")&amp;IF(N(X341)&gt;'THAM SỐ'!$B$25,"Lái quá giờ ngày; ","")&amp;IF(ISNUMBER(V341),IF(ABS(V341)&gt;'THAM SỐ'!$B$28,"Lệch km; ",""),"")))</f>
        <v/>
      </c>
      <c r="AM341" s="29"/>
      <c r="AN341" s="30"/>
      <c r="AO341" s="28" t="str">
        <f t="shared" si="59"/>
        <v/>
      </c>
      <c r="AP341" s="21" t="str">
        <f>IF(OR($A341="",AO341=""),"",IF(AG341=0,0,ROUND((AC341*'THAM SỐ'!$B$18+AD341*'THAM SỐ'!$B$19+AE341*'THAM SỐ'!$B$20+AF341*'THAM SỐ'!$B$21)*MIN(1,AO341/AG341),0)))</f>
        <v/>
      </c>
      <c r="AQ341" s="18"/>
    </row>
    <row r="342" spans="1:43" x14ac:dyDescent="0.45">
      <c r="A342" s="17"/>
      <c r="B342" s="18"/>
      <c r="C342" s="18"/>
      <c r="D342" s="25"/>
      <c r="E342" s="26"/>
      <c r="F342" s="26"/>
      <c r="G342" s="20"/>
      <c r="H342" s="20"/>
      <c r="I342" s="18"/>
      <c r="J342" s="18"/>
      <c r="K342" s="18"/>
      <c r="L342" s="18"/>
      <c r="M342" s="18"/>
      <c r="N342" s="18"/>
      <c r="O342" s="18"/>
      <c r="P342" s="18"/>
      <c r="Q342" s="18"/>
      <c r="R342" s="18"/>
      <c r="S342" s="18"/>
      <c r="T342" s="16" t="str">
        <f>IF($A342="","",COUNTIFS('LỆNH ĐIỀU XE'!$B$5:$B$604,$A342,'LỆNH ĐIỀU XE'!$C$5:$C$604,$B342))</f>
        <v/>
      </c>
      <c r="U342" s="27" t="str">
        <f>IF($A342="","",SUMIFS('LỆNH ĐIỀU XE'!$J$5:$J$604,'LỆNH ĐIỀU XE'!$B$5:$B$604,$A342,'LỆNH ĐIỀU XE'!$C$5:$C$604,$B342))</f>
        <v/>
      </c>
      <c r="V342" s="22" t="str">
        <f t="shared" si="50"/>
        <v/>
      </c>
      <c r="W342" s="28" t="str">
        <f t="shared" si="51"/>
        <v/>
      </c>
      <c r="X342" s="28" t="str">
        <f t="shared" si="52"/>
        <v/>
      </c>
      <c r="Y342" s="28" t="str">
        <f t="shared" si="53"/>
        <v/>
      </c>
      <c r="Z342" s="22" t="str">
        <f t="shared" si="54"/>
        <v/>
      </c>
      <c r="AA342" s="28" t="str">
        <f t="shared" si="55"/>
        <v/>
      </c>
      <c r="AB342" s="28" t="str">
        <f t="shared" si="56"/>
        <v/>
      </c>
      <c r="AC342" s="28" t="str">
        <f>IF($A342="","",SUMIFS('CHẶNG TĂNG CA'!$E$5:$E$304,'CHẶNG TĂNG CA'!$A$5:$A$304,$A342,'CHẶNG TĂNG CA'!$B$5:$B$304,$B342))</f>
        <v/>
      </c>
      <c r="AD342" s="28" t="str">
        <f>IF($A342="","",SUMIFS('CHẶNG TĂNG CA'!$F$5:$F$304,'CHẶNG TĂNG CA'!$A$5:$A$304,$A342,'CHẶNG TĂNG CA'!$B$5:$B$304,$B342))</f>
        <v/>
      </c>
      <c r="AE342" s="28" t="str">
        <f>IF($A342="","",SUMIFS('CHẶNG TĂNG CA'!$G$5:$G$304,'CHẶNG TĂNG CA'!$A$5:$A$304,$A342,'CHẶNG TĂNG CA'!$B$5:$B$304,$B342))</f>
        <v/>
      </c>
      <c r="AF342" s="28" t="str">
        <f>IF($A342="","",SUMIFS('CHẶNG TĂNG CA'!$H$5:$H$304,'CHẶNG TĂNG CA'!$A$5:$A$304,$A342,'CHẶNG TĂNG CA'!$B$5:$B$304,$B342))</f>
        <v/>
      </c>
      <c r="AG342" s="28" t="str">
        <f t="shared" si="57"/>
        <v/>
      </c>
      <c r="AH342" s="16" t="str">
        <f>IF($A342="","",IF(COUNTIFS('LỆNH ĐIỀU XE'!$B$5:$B$604,$A342,'LỆNH ĐIỀU XE'!$C$5:$C$604,$B342,'LỆNH ĐIỀU XE'!$N$5:$N$604,"Có")&gt;0,"Có","Không"))</f>
        <v/>
      </c>
      <c r="AI342" s="16" t="str">
        <f>IF(OR($A342="",H342="",N(T342)=0),"",IF(_xlfn.MAXIFS('LỆNH ĐIỀU XE'!$U$5:$U$604,'LỆNH ĐIỀU XE'!$B$5:$B$604,$A342,'LỆNH ĐIỀU XE'!$C$5:$C$604,$B342)=0,"",ROUND((H342+(H342&lt;4/24)-_xlfn.MAXIFS('LỆNH ĐIỀU XE'!$U$5:$U$604,'LỆNH ĐIỀU XE'!$B$5:$B$604,$A342,'LỆNH ĐIỀU XE'!$C$5:$C$604,$B342))*1440,0)))</f>
        <v/>
      </c>
      <c r="AJ342" s="16" t="str">
        <f>IF($A342="","",IF(OR(AI342="",V342=""),"Thiếu dữ liệu",IF(AND(AI342&lt;='THAM SỐ'!$B$29,ABS(V342)&lt;='THAM SỐ'!$B$28),"Đạt","Không đạt")))</f>
        <v/>
      </c>
      <c r="AK342" s="16" t="str">
        <f t="shared" si="58"/>
        <v/>
      </c>
      <c r="AL342" s="16" t="str">
        <f>IF($A342="","",TRIM(IF(T342=0,"Không có lệnh; ","")&amp;IF(N(N342)&gt;0,"Dừng ngoài lệnh; ","")&amp;IF(N(J342)&gt;0,"Quá tốc độ; ","")&amp;IF(N(K342)&gt;0,"Lái quá 4h; ","")&amp;IF(N(L342)&gt;0,"Không tắt máy; ","")&amp;IF(OR(P342&lt;&gt;"Đủ",Q342&lt;&gt;"Đủ",R342&lt;&gt;"Đủ"),"Thiếu ảnh; ","")&amp;IF(S342&lt;&gt;"Đạt","Lốp chưa đạt; ","")&amp;IF(N(W342)&gt;'THAM SỐ'!$B$27,"Có mặt quá giờ; ","")&amp;IF(N(X342)&gt;'THAM SỐ'!$B$25,"Lái quá giờ ngày; ","")&amp;IF(ISNUMBER(V342),IF(ABS(V342)&gt;'THAM SỐ'!$B$28,"Lệch km; ",""),"")))</f>
        <v/>
      </c>
      <c r="AM342" s="29"/>
      <c r="AN342" s="30"/>
      <c r="AO342" s="28" t="str">
        <f t="shared" si="59"/>
        <v/>
      </c>
      <c r="AP342" s="21" t="str">
        <f>IF(OR($A342="",AO342=""),"",IF(AG342=0,0,ROUND((AC342*'THAM SỐ'!$B$18+AD342*'THAM SỐ'!$B$19+AE342*'THAM SỐ'!$B$20+AF342*'THAM SỐ'!$B$21)*MIN(1,AO342/AG342),0)))</f>
        <v/>
      </c>
      <c r="AQ342" s="18"/>
    </row>
    <row r="343" spans="1:43" x14ac:dyDescent="0.45">
      <c r="A343" s="17"/>
      <c r="B343" s="18"/>
      <c r="C343" s="18"/>
      <c r="D343" s="25"/>
      <c r="E343" s="26"/>
      <c r="F343" s="26"/>
      <c r="G343" s="20"/>
      <c r="H343" s="20"/>
      <c r="I343" s="18"/>
      <c r="J343" s="18"/>
      <c r="K343" s="18"/>
      <c r="L343" s="18"/>
      <c r="M343" s="18"/>
      <c r="N343" s="18"/>
      <c r="O343" s="18"/>
      <c r="P343" s="18"/>
      <c r="Q343" s="18"/>
      <c r="R343" s="18"/>
      <c r="S343" s="18"/>
      <c r="T343" s="16" t="str">
        <f>IF($A343="","",COUNTIFS('LỆNH ĐIỀU XE'!$B$5:$B$604,$A343,'LỆNH ĐIỀU XE'!$C$5:$C$604,$B343))</f>
        <v/>
      </c>
      <c r="U343" s="27" t="str">
        <f>IF($A343="","",SUMIFS('LỆNH ĐIỀU XE'!$J$5:$J$604,'LỆNH ĐIỀU XE'!$B$5:$B$604,$A343,'LỆNH ĐIỀU XE'!$C$5:$C$604,$B343))</f>
        <v/>
      </c>
      <c r="V343" s="22" t="str">
        <f t="shared" si="50"/>
        <v/>
      </c>
      <c r="W343" s="28" t="str">
        <f t="shared" si="51"/>
        <v/>
      </c>
      <c r="X343" s="28" t="str">
        <f t="shared" si="52"/>
        <v/>
      </c>
      <c r="Y343" s="28" t="str">
        <f t="shared" si="53"/>
        <v/>
      </c>
      <c r="Z343" s="22" t="str">
        <f t="shared" si="54"/>
        <v/>
      </c>
      <c r="AA343" s="28" t="str">
        <f t="shared" si="55"/>
        <v/>
      </c>
      <c r="AB343" s="28" t="str">
        <f t="shared" si="56"/>
        <v/>
      </c>
      <c r="AC343" s="28" t="str">
        <f>IF($A343="","",SUMIFS('CHẶNG TĂNG CA'!$E$5:$E$304,'CHẶNG TĂNG CA'!$A$5:$A$304,$A343,'CHẶNG TĂNG CA'!$B$5:$B$304,$B343))</f>
        <v/>
      </c>
      <c r="AD343" s="28" t="str">
        <f>IF($A343="","",SUMIFS('CHẶNG TĂNG CA'!$F$5:$F$304,'CHẶNG TĂNG CA'!$A$5:$A$304,$A343,'CHẶNG TĂNG CA'!$B$5:$B$304,$B343))</f>
        <v/>
      </c>
      <c r="AE343" s="28" t="str">
        <f>IF($A343="","",SUMIFS('CHẶNG TĂNG CA'!$G$5:$G$304,'CHẶNG TĂNG CA'!$A$5:$A$304,$A343,'CHẶNG TĂNG CA'!$B$5:$B$304,$B343))</f>
        <v/>
      </c>
      <c r="AF343" s="28" t="str">
        <f>IF($A343="","",SUMIFS('CHẶNG TĂNG CA'!$H$5:$H$304,'CHẶNG TĂNG CA'!$A$5:$A$304,$A343,'CHẶNG TĂNG CA'!$B$5:$B$304,$B343))</f>
        <v/>
      </c>
      <c r="AG343" s="28" t="str">
        <f t="shared" si="57"/>
        <v/>
      </c>
      <c r="AH343" s="16" t="str">
        <f>IF($A343="","",IF(COUNTIFS('LỆNH ĐIỀU XE'!$B$5:$B$604,$A343,'LỆNH ĐIỀU XE'!$C$5:$C$604,$B343,'LỆNH ĐIỀU XE'!$N$5:$N$604,"Có")&gt;0,"Có","Không"))</f>
        <v/>
      </c>
      <c r="AI343" s="16" t="str">
        <f>IF(OR($A343="",H343="",N(T343)=0),"",IF(_xlfn.MAXIFS('LỆNH ĐIỀU XE'!$U$5:$U$604,'LỆNH ĐIỀU XE'!$B$5:$B$604,$A343,'LỆNH ĐIỀU XE'!$C$5:$C$604,$B343)=0,"",ROUND((H343+(H343&lt;4/24)-_xlfn.MAXIFS('LỆNH ĐIỀU XE'!$U$5:$U$604,'LỆNH ĐIỀU XE'!$B$5:$B$604,$A343,'LỆNH ĐIỀU XE'!$C$5:$C$604,$B343))*1440,0)))</f>
        <v/>
      </c>
      <c r="AJ343" s="16" t="str">
        <f>IF($A343="","",IF(OR(AI343="",V343=""),"Thiếu dữ liệu",IF(AND(AI343&lt;='THAM SỐ'!$B$29,ABS(V343)&lt;='THAM SỐ'!$B$28),"Đạt","Không đạt")))</f>
        <v/>
      </c>
      <c r="AK343" s="16" t="str">
        <f t="shared" si="58"/>
        <v/>
      </c>
      <c r="AL343" s="16" t="str">
        <f>IF($A343="","",TRIM(IF(T343=0,"Không có lệnh; ","")&amp;IF(N(N343)&gt;0,"Dừng ngoài lệnh; ","")&amp;IF(N(J343)&gt;0,"Quá tốc độ; ","")&amp;IF(N(K343)&gt;0,"Lái quá 4h; ","")&amp;IF(N(L343)&gt;0,"Không tắt máy; ","")&amp;IF(OR(P343&lt;&gt;"Đủ",Q343&lt;&gt;"Đủ",R343&lt;&gt;"Đủ"),"Thiếu ảnh; ","")&amp;IF(S343&lt;&gt;"Đạt","Lốp chưa đạt; ","")&amp;IF(N(W343)&gt;'THAM SỐ'!$B$27,"Có mặt quá giờ; ","")&amp;IF(N(X343)&gt;'THAM SỐ'!$B$25,"Lái quá giờ ngày; ","")&amp;IF(ISNUMBER(V343),IF(ABS(V343)&gt;'THAM SỐ'!$B$28,"Lệch km; ",""),"")))</f>
        <v/>
      </c>
      <c r="AM343" s="29"/>
      <c r="AN343" s="30"/>
      <c r="AO343" s="28" t="str">
        <f t="shared" si="59"/>
        <v/>
      </c>
      <c r="AP343" s="21" t="str">
        <f>IF(OR($A343="",AO343=""),"",IF(AG343=0,0,ROUND((AC343*'THAM SỐ'!$B$18+AD343*'THAM SỐ'!$B$19+AE343*'THAM SỐ'!$B$20+AF343*'THAM SỐ'!$B$21)*MIN(1,AO343/AG343),0)))</f>
        <v/>
      </c>
      <c r="AQ343" s="18"/>
    </row>
    <row r="344" spans="1:43" x14ac:dyDescent="0.45">
      <c r="A344" s="17"/>
      <c r="B344" s="18"/>
      <c r="C344" s="18"/>
      <c r="D344" s="25"/>
      <c r="E344" s="26"/>
      <c r="F344" s="26"/>
      <c r="G344" s="20"/>
      <c r="H344" s="20"/>
      <c r="I344" s="18"/>
      <c r="J344" s="18"/>
      <c r="K344" s="18"/>
      <c r="L344" s="18"/>
      <c r="M344" s="18"/>
      <c r="N344" s="18"/>
      <c r="O344" s="18"/>
      <c r="P344" s="18"/>
      <c r="Q344" s="18"/>
      <c r="R344" s="18"/>
      <c r="S344" s="18"/>
      <c r="T344" s="16" t="str">
        <f>IF($A344="","",COUNTIFS('LỆNH ĐIỀU XE'!$B$5:$B$604,$A344,'LỆNH ĐIỀU XE'!$C$5:$C$604,$B344))</f>
        <v/>
      </c>
      <c r="U344" s="27" t="str">
        <f>IF($A344="","",SUMIFS('LỆNH ĐIỀU XE'!$J$5:$J$604,'LỆNH ĐIỀU XE'!$B$5:$B$604,$A344,'LỆNH ĐIỀU XE'!$C$5:$C$604,$B344))</f>
        <v/>
      </c>
      <c r="V344" s="22" t="str">
        <f t="shared" si="50"/>
        <v/>
      </c>
      <c r="W344" s="28" t="str">
        <f t="shared" si="51"/>
        <v/>
      </c>
      <c r="X344" s="28" t="str">
        <f t="shared" si="52"/>
        <v/>
      </c>
      <c r="Y344" s="28" t="str">
        <f t="shared" si="53"/>
        <v/>
      </c>
      <c r="Z344" s="22" t="str">
        <f t="shared" si="54"/>
        <v/>
      </c>
      <c r="AA344" s="28" t="str">
        <f t="shared" si="55"/>
        <v/>
      </c>
      <c r="AB344" s="28" t="str">
        <f t="shared" si="56"/>
        <v/>
      </c>
      <c r="AC344" s="28" t="str">
        <f>IF($A344="","",SUMIFS('CHẶNG TĂNG CA'!$E$5:$E$304,'CHẶNG TĂNG CA'!$A$5:$A$304,$A344,'CHẶNG TĂNG CA'!$B$5:$B$304,$B344))</f>
        <v/>
      </c>
      <c r="AD344" s="28" t="str">
        <f>IF($A344="","",SUMIFS('CHẶNG TĂNG CA'!$F$5:$F$304,'CHẶNG TĂNG CA'!$A$5:$A$304,$A344,'CHẶNG TĂNG CA'!$B$5:$B$304,$B344))</f>
        <v/>
      </c>
      <c r="AE344" s="28" t="str">
        <f>IF($A344="","",SUMIFS('CHẶNG TĂNG CA'!$G$5:$G$304,'CHẶNG TĂNG CA'!$A$5:$A$304,$A344,'CHẶNG TĂNG CA'!$B$5:$B$304,$B344))</f>
        <v/>
      </c>
      <c r="AF344" s="28" t="str">
        <f>IF($A344="","",SUMIFS('CHẶNG TĂNG CA'!$H$5:$H$304,'CHẶNG TĂNG CA'!$A$5:$A$304,$A344,'CHẶNG TĂNG CA'!$B$5:$B$304,$B344))</f>
        <v/>
      </c>
      <c r="AG344" s="28" t="str">
        <f t="shared" si="57"/>
        <v/>
      </c>
      <c r="AH344" s="16" t="str">
        <f>IF($A344="","",IF(COUNTIFS('LỆNH ĐIỀU XE'!$B$5:$B$604,$A344,'LỆNH ĐIỀU XE'!$C$5:$C$604,$B344,'LỆNH ĐIỀU XE'!$N$5:$N$604,"Có")&gt;0,"Có","Không"))</f>
        <v/>
      </c>
      <c r="AI344" s="16" t="str">
        <f>IF(OR($A344="",H344="",N(T344)=0),"",IF(_xlfn.MAXIFS('LỆNH ĐIỀU XE'!$U$5:$U$604,'LỆNH ĐIỀU XE'!$B$5:$B$604,$A344,'LỆNH ĐIỀU XE'!$C$5:$C$604,$B344)=0,"",ROUND((H344+(H344&lt;4/24)-_xlfn.MAXIFS('LỆNH ĐIỀU XE'!$U$5:$U$604,'LỆNH ĐIỀU XE'!$B$5:$B$604,$A344,'LỆNH ĐIỀU XE'!$C$5:$C$604,$B344))*1440,0)))</f>
        <v/>
      </c>
      <c r="AJ344" s="16" t="str">
        <f>IF($A344="","",IF(OR(AI344="",V344=""),"Thiếu dữ liệu",IF(AND(AI344&lt;='THAM SỐ'!$B$29,ABS(V344)&lt;='THAM SỐ'!$B$28),"Đạt","Không đạt")))</f>
        <v/>
      </c>
      <c r="AK344" s="16" t="str">
        <f t="shared" si="58"/>
        <v/>
      </c>
      <c r="AL344" s="16" t="str">
        <f>IF($A344="","",TRIM(IF(T344=0,"Không có lệnh; ","")&amp;IF(N(N344)&gt;0,"Dừng ngoài lệnh; ","")&amp;IF(N(J344)&gt;0,"Quá tốc độ; ","")&amp;IF(N(K344)&gt;0,"Lái quá 4h; ","")&amp;IF(N(L344)&gt;0,"Không tắt máy; ","")&amp;IF(OR(P344&lt;&gt;"Đủ",Q344&lt;&gt;"Đủ",R344&lt;&gt;"Đủ"),"Thiếu ảnh; ","")&amp;IF(S344&lt;&gt;"Đạt","Lốp chưa đạt; ","")&amp;IF(N(W344)&gt;'THAM SỐ'!$B$27,"Có mặt quá giờ; ","")&amp;IF(N(X344)&gt;'THAM SỐ'!$B$25,"Lái quá giờ ngày; ","")&amp;IF(ISNUMBER(V344),IF(ABS(V344)&gt;'THAM SỐ'!$B$28,"Lệch km; ",""),"")))</f>
        <v/>
      </c>
      <c r="AM344" s="29"/>
      <c r="AN344" s="30"/>
      <c r="AO344" s="28" t="str">
        <f t="shared" si="59"/>
        <v/>
      </c>
      <c r="AP344" s="21" t="str">
        <f>IF(OR($A344="",AO344=""),"",IF(AG344=0,0,ROUND((AC344*'THAM SỐ'!$B$18+AD344*'THAM SỐ'!$B$19+AE344*'THAM SỐ'!$B$20+AF344*'THAM SỐ'!$B$21)*MIN(1,AO344/AG344),0)))</f>
        <v/>
      </c>
      <c r="AQ344" s="18"/>
    </row>
    <row r="345" spans="1:43" x14ac:dyDescent="0.45">
      <c r="A345" s="17"/>
      <c r="B345" s="18"/>
      <c r="C345" s="18"/>
      <c r="D345" s="25"/>
      <c r="E345" s="26"/>
      <c r="F345" s="26"/>
      <c r="G345" s="20"/>
      <c r="H345" s="20"/>
      <c r="I345" s="18"/>
      <c r="J345" s="18"/>
      <c r="K345" s="18"/>
      <c r="L345" s="18"/>
      <c r="M345" s="18"/>
      <c r="N345" s="18"/>
      <c r="O345" s="18"/>
      <c r="P345" s="18"/>
      <c r="Q345" s="18"/>
      <c r="R345" s="18"/>
      <c r="S345" s="18"/>
      <c r="T345" s="16" t="str">
        <f>IF($A345="","",COUNTIFS('LỆNH ĐIỀU XE'!$B$5:$B$604,$A345,'LỆNH ĐIỀU XE'!$C$5:$C$604,$B345))</f>
        <v/>
      </c>
      <c r="U345" s="27" t="str">
        <f>IF($A345="","",SUMIFS('LỆNH ĐIỀU XE'!$J$5:$J$604,'LỆNH ĐIỀU XE'!$B$5:$B$604,$A345,'LỆNH ĐIỀU XE'!$C$5:$C$604,$B345))</f>
        <v/>
      </c>
      <c r="V345" s="22" t="str">
        <f t="shared" si="50"/>
        <v/>
      </c>
      <c r="W345" s="28" t="str">
        <f t="shared" si="51"/>
        <v/>
      </c>
      <c r="X345" s="28" t="str">
        <f t="shared" si="52"/>
        <v/>
      </c>
      <c r="Y345" s="28" t="str">
        <f t="shared" si="53"/>
        <v/>
      </c>
      <c r="Z345" s="22" t="str">
        <f t="shared" si="54"/>
        <v/>
      </c>
      <c r="AA345" s="28" t="str">
        <f t="shared" si="55"/>
        <v/>
      </c>
      <c r="AB345" s="28" t="str">
        <f t="shared" si="56"/>
        <v/>
      </c>
      <c r="AC345" s="28" t="str">
        <f>IF($A345="","",SUMIFS('CHẶNG TĂNG CA'!$E$5:$E$304,'CHẶNG TĂNG CA'!$A$5:$A$304,$A345,'CHẶNG TĂNG CA'!$B$5:$B$304,$B345))</f>
        <v/>
      </c>
      <c r="AD345" s="28" t="str">
        <f>IF($A345="","",SUMIFS('CHẶNG TĂNG CA'!$F$5:$F$304,'CHẶNG TĂNG CA'!$A$5:$A$304,$A345,'CHẶNG TĂNG CA'!$B$5:$B$304,$B345))</f>
        <v/>
      </c>
      <c r="AE345" s="28" t="str">
        <f>IF($A345="","",SUMIFS('CHẶNG TĂNG CA'!$G$5:$G$304,'CHẶNG TĂNG CA'!$A$5:$A$304,$A345,'CHẶNG TĂNG CA'!$B$5:$B$304,$B345))</f>
        <v/>
      </c>
      <c r="AF345" s="28" t="str">
        <f>IF($A345="","",SUMIFS('CHẶNG TĂNG CA'!$H$5:$H$304,'CHẶNG TĂNG CA'!$A$5:$A$304,$A345,'CHẶNG TĂNG CA'!$B$5:$B$304,$B345))</f>
        <v/>
      </c>
      <c r="AG345" s="28" t="str">
        <f t="shared" si="57"/>
        <v/>
      </c>
      <c r="AH345" s="16" t="str">
        <f>IF($A345="","",IF(COUNTIFS('LỆNH ĐIỀU XE'!$B$5:$B$604,$A345,'LỆNH ĐIỀU XE'!$C$5:$C$604,$B345,'LỆNH ĐIỀU XE'!$N$5:$N$604,"Có")&gt;0,"Có","Không"))</f>
        <v/>
      </c>
      <c r="AI345" s="16" t="str">
        <f>IF(OR($A345="",H345="",N(T345)=0),"",IF(_xlfn.MAXIFS('LỆNH ĐIỀU XE'!$U$5:$U$604,'LỆNH ĐIỀU XE'!$B$5:$B$604,$A345,'LỆNH ĐIỀU XE'!$C$5:$C$604,$B345)=0,"",ROUND((H345+(H345&lt;4/24)-_xlfn.MAXIFS('LỆNH ĐIỀU XE'!$U$5:$U$604,'LỆNH ĐIỀU XE'!$B$5:$B$604,$A345,'LỆNH ĐIỀU XE'!$C$5:$C$604,$B345))*1440,0)))</f>
        <v/>
      </c>
      <c r="AJ345" s="16" t="str">
        <f>IF($A345="","",IF(OR(AI345="",V345=""),"Thiếu dữ liệu",IF(AND(AI345&lt;='THAM SỐ'!$B$29,ABS(V345)&lt;='THAM SỐ'!$B$28),"Đạt","Không đạt")))</f>
        <v/>
      </c>
      <c r="AK345" s="16" t="str">
        <f t="shared" si="58"/>
        <v/>
      </c>
      <c r="AL345" s="16" t="str">
        <f>IF($A345="","",TRIM(IF(T345=0,"Không có lệnh; ","")&amp;IF(N(N345)&gt;0,"Dừng ngoài lệnh; ","")&amp;IF(N(J345)&gt;0,"Quá tốc độ; ","")&amp;IF(N(K345)&gt;0,"Lái quá 4h; ","")&amp;IF(N(L345)&gt;0,"Không tắt máy; ","")&amp;IF(OR(P345&lt;&gt;"Đủ",Q345&lt;&gt;"Đủ",R345&lt;&gt;"Đủ"),"Thiếu ảnh; ","")&amp;IF(S345&lt;&gt;"Đạt","Lốp chưa đạt; ","")&amp;IF(N(W345)&gt;'THAM SỐ'!$B$27,"Có mặt quá giờ; ","")&amp;IF(N(X345)&gt;'THAM SỐ'!$B$25,"Lái quá giờ ngày; ","")&amp;IF(ISNUMBER(V345),IF(ABS(V345)&gt;'THAM SỐ'!$B$28,"Lệch km; ",""),"")))</f>
        <v/>
      </c>
      <c r="AM345" s="29"/>
      <c r="AN345" s="30"/>
      <c r="AO345" s="28" t="str">
        <f t="shared" si="59"/>
        <v/>
      </c>
      <c r="AP345" s="21" t="str">
        <f>IF(OR($A345="",AO345=""),"",IF(AG345=0,0,ROUND((AC345*'THAM SỐ'!$B$18+AD345*'THAM SỐ'!$B$19+AE345*'THAM SỐ'!$B$20+AF345*'THAM SỐ'!$B$21)*MIN(1,AO345/AG345),0)))</f>
        <v/>
      </c>
      <c r="AQ345" s="18"/>
    </row>
    <row r="346" spans="1:43" x14ac:dyDescent="0.45">
      <c r="A346" s="17"/>
      <c r="B346" s="18"/>
      <c r="C346" s="18"/>
      <c r="D346" s="25"/>
      <c r="E346" s="26"/>
      <c r="F346" s="26"/>
      <c r="G346" s="20"/>
      <c r="H346" s="20"/>
      <c r="I346" s="18"/>
      <c r="J346" s="18"/>
      <c r="K346" s="18"/>
      <c r="L346" s="18"/>
      <c r="M346" s="18"/>
      <c r="N346" s="18"/>
      <c r="O346" s="18"/>
      <c r="P346" s="18"/>
      <c r="Q346" s="18"/>
      <c r="R346" s="18"/>
      <c r="S346" s="18"/>
      <c r="T346" s="16" t="str">
        <f>IF($A346="","",COUNTIFS('LỆNH ĐIỀU XE'!$B$5:$B$604,$A346,'LỆNH ĐIỀU XE'!$C$5:$C$604,$B346))</f>
        <v/>
      </c>
      <c r="U346" s="27" t="str">
        <f>IF($A346="","",SUMIFS('LỆNH ĐIỀU XE'!$J$5:$J$604,'LỆNH ĐIỀU XE'!$B$5:$B$604,$A346,'LỆNH ĐIỀU XE'!$C$5:$C$604,$B346))</f>
        <v/>
      </c>
      <c r="V346" s="22" t="str">
        <f t="shared" si="50"/>
        <v/>
      </c>
      <c r="W346" s="28" t="str">
        <f t="shared" si="51"/>
        <v/>
      </c>
      <c r="X346" s="28" t="str">
        <f t="shared" si="52"/>
        <v/>
      </c>
      <c r="Y346" s="28" t="str">
        <f t="shared" si="53"/>
        <v/>
      </c>
      <c r="Z346" s="22" t="str">
        <f t="shared" si="54"/>
        <v/>
      </c>
      <c r="AA346" s="28" t="str">
        <f t="shared" si="55"/>
        <v/>
      </c>
      <c r="AB346" s="28" t="str">
        <f t="shared" si="56"/>
        <v/>
      </c>
      <c r="AC346" s="28" t="str">
        <f>IF($A346="","",SUMIFS('CHẶNG TĂNG CA'!$E$5:$E$304,'CHẶNG TĂNG CA'!$A$5:$A$304,$A346,'CHẶNG TĂNG CA'!$B$5:$B$304,$B346))</f>
        <v/>
      </c>
      <c r="AD346" s="28" t="str">
        <f>IF($A346="","",SUMIFS('CHẶNG TĂNG CA'!$F$5:$F$304,'CHẶNG TĂNG CA'!$A$5:$A$304,$A346,'CHẶNG TĂNG CA'!$B$5:$B$304,$B346))</f>
        <v/>
      </c>
      <c r="AE346" s="28" t="str">
        <f>IF($A346="","",SUMIFS('CHẶNG TĂNG CA'!$G$5:$G$304,'CHẶNG TĂNG CA'!$A$5:$A$304,$A346,'CHẶNG TĂNG CA'!$B$5:$B$304,$B346))</f>
        <v/>
      </c>
      <c r="AF346" s="28" t="str">
        <f>IF($A346="","",SUMIFS('CHẶNG TĂNG CA'!$H$5:$H$304,'CHẶNG TĂNG CA'!$A$5:$A$304,$A346,'CHẶNG TĂNG CA'!$B$5:$B$304,$B346))</f>
        <v/>
      </c>
      <c r="AG346" s="28" t="str">
        <f t="shared" si="57"/>
        <v/>
      </c>
      <c r="AH346" s="16" t="str">
        <f>IF($A346="","",IF(COUNTIFS('LỆNH ĐIỀU XE'!$B$5:$B$604,$A346,'LỆNH ĐIỀU XE'!$C$5:$C$604,$B346,'LỆNH ĐIỀU XE'!$N$5:$N$604,"Có")&gt;0,"Có","Không"))</f>
        <v/>
      </c>
      <c r="AI346" s="16" t="str">
        <f>IF(OR($A346="",H346="",N(T346)=0),"",IF(_xlfn.MAXIFS('LỆNH ĐIỀU XE'!$U$5:$U$604,'LỆNH ĐIỀU XE'!$B$5:$B$604,$A346,'LỆNH ĐIỀU XE'!$C$5:$C$604,$B346)=0,"",ROUND((H346+(H346&lt;4/24)-_xlfn.MAXIFS('LỆNH ĐIỀU XE'!$U$5:$U$604,'LỆNH ĐIỀU XE'!$B$5:$B$604,$A346,'LỆNH ĐIỀU XE'!$C$5:$C$604,$B346))*1440,0)))</f>
        <v/>
      </c>
      <c r="AJ346" s="16" t="str">
        <f>IF($A346="","",IF(OR(AI346="",V346=""),"Thiếu dữ liệu",IF(AND(AI346&lt;='THAM SỐ'!$B$29,ABS(V346)&lt;='THAM SỐ'!$B$28),"Đạt","Không đạt")))</f>
        <v/>
      </c>
      <c r="AK346" s="16" t="str">
        <f t="shared" si="58"/>
        <v/>
      </c>
      <c r="AL346" s="16" t="str">
        <f>IF($A346="","",TRIM(IF(T346=0,"Không có lệnh; ","")&amp;IF(N(N346)&gt;0,"Dừng ngoài lệnh; ","")&amp;IF(N(J346)&gt;0,"Quá tốc độ; ","")&amp;IF(N(K346)&gt;0,"Lái quá 4h; ","")&amp;IF(N(L346)&gt;0,"Không tắt máy; ","")&amp;IF(OR(P346&lt;&gt;"Đủ",Q346&lt;&gt;"Đủ",R346&lt;&gt;"Đủ"),"Thiếu ảnh; ","")&amp;IF(S346&lt;&gt;"Đạt","Lốp chưa đạt; ","")&amp;IF(N(W346)&gt;'THAM SỐ'!$B$27,"Có mặt quá giờ; ","")&amp;IF(N(X346)&gt;'THAM SỐ'!$B$25,"Lái quá giờ ngày; ","")&amp;IF(ISNUMBER(V346),IF(ABS(V346)&gt;'THAM SỐ'!$B$28,"Lệch km; ",""),"")))</f>
        <v/>
      </c>
      <c r="AM346" s="29"/>
      <c r="AN346" s="30"/>
      <c r="AO346" s="28" t="str">
        <f t="shared" si="59"/>
        <v/>
      </c>
      <c r="AP346" s="21" t="str">
        <f>IF(OR($A346="",AO346=""),"",IF(AG346=0,0,ROUND((AC346*'THAM SỐ'!$B$18+AD346*'THAM SỐ'!$B$19+AE346*'THAM SỐ'!$B$20+AF346*'THAM SỐ'!$B$21)*MIN(1,AO346/AG346),0)))</f>
        <v/>
      </c>
      <c r="AQ346" s="18"/>
    </row>
    <row r="347" spans="1:43" x14ac:dyDescent="0.45">
      <c r="A347" s="17"/>
      <c r="B347" s="18"/>
      <c r="C347" s="18"/>
      <c r="D347" s="25"/>
      <c r="E347" s="26"/>
      <c r="F347" s="26"/>
      <c r="G347" s="20"/>
      <c r="H347" s="20"/>
      <c r="I347" s="18"/>
      <c r="J347" s="18"/>
      <c r="K347" s="18"/>
      <c r="L347" s="18"/>
      <c r="M347" s="18"/>
      <c r="N347" s="18"/>
      <c r="O347" s="18"/>
      <c r="P347" s="18"/>
      <c r="Q347" s="18"/>
      <c r="R347" s="18"/>
      <c r="S347" s="18"/>
      <c r="T347" s="16" t="str">
        <f>IF($A347="","",COUNTIFS('LỆNH ĐIỀU XE'!$B$5:$B$604,$A347,'LỆNH ĐIỀU XE'!$C$5:$C$604,$B347))</f>
        <v/>
      </c>
      <c r="U347" s="27" t="str">
        <f>IF($A347="","",SUMIFS('LỆNH ĐIỀU XE'!$J$5:$J$604,'LỆNH ĐIỀU XE'!$B$5:$B$604,$A347,'LỆNH ĐIỀU XE'!$C$5:$C$604,$B347))</f>
        <v/>
      </c>
      <c r="V347" s="22" t="str">
        <f t="shared" si="50"/>
        <v/>
      </c>
      <c r="W347" s="28" t="str">
        <f t="shared" si="51"/>
        <v/>
      </c>
      <c r="X347" s="28" t="str">
        <f t="shared" si="52"/>
        <v/>
      </c>
      <c r="Y347" s="28" t="str">
        <f t="shared" si="53"/>
        <v/>
      </c>
      <c r="Z347" s="22" t="str">
        <f t="shared" si="54"/>
        <v/>
      </c>
      <c r="AA347" s="28" t="str">
        <f t="shared" si="55"/>
        <v/>
      </c>
      <c r="AB347" s="28" t="str">
        <f t="shared" si="56"/>
        <v/>
      </c>
      <c r="AC347" s="28" t="str">
        <f>IF($A347="","",SUMIFS('CHẶNG TĂNG CA'!$E$5:$E$304,'CHẶNG TĂNG CA'!$A$5:$A$304,$A347,'CHẶNG TĂNG CA'!$B$5:$B$304,$B347))</f>
        <v/>
      </c>
      <c r="AD347" s="28" t="str">
        <f>IF($A347="","",SUMIFS('CHẶNG TĂNG CA'!$F$5:$F$304,'CHẶNG TĂNG CA'!$A$5:$A$304,$A347,'CHẶNG TĂNG CA'!$B$5:$B$304,$B347))</f>
        <v/>
      </c>
      <c r="AE347" s="28" t="str">
        <f>IF($A347="","",SUMIFS('CHẶNG TĂNG CA'!$G$5:$G$304,'CHẶNG TĂNG CA'!$A$5:$A$304,$A347,'CHẶNG TĂNG CA'!$B$5:$B$304,$B347))</f>
        <v/>
      </c>
      <c r="AF347" s="28" t="str">
        <f>IF($A347="","",SUMIFS('CHẶNG TĂNG CA'!$H$5:$H$304,'CHẶNG TĂNG CA'!$A$5:$A$304,$A347,'CHẶNG TĂNG CA'!$B$5:$B$304,$B347))</f>
        <v/>
      </c>
      <c r="AG347" s="28" t="str">
        <f t="shared" si="57"/>
        <v/>
      </c>
      <c r="AH347" s="16" t="str">
        <f>IF($A347="","",IF(COUNTIFS('LỆNH ĐIỀU XE'!$B$5:$B$604,$A347,'LỆNH ĐIỀU XE'!$C$5:$C$604,$B347,'LỆNH ĐIỀU XE'!$N$5:$N$604,"Có")&gt;0,"Có","Không"))</f>
        <v/>
      </c>
      <c r="AI347" s="16" t="str">
        <f>IF(OR($A347="",H347="",N(T347)=0),"",IF(_xlfn.MAXIFS('LỆNH ĐIỀU XE'!$U$5:$U$604,'LỆNH ĐIỀU XE'!$B$5:$B$604,$A347,'LỆNH ĐIỀU XE'!$C$5:$C$604,$B347)=0,"",ROUND((H347+(H347&lt;4/24)-_xlfn.MAXIFS('LỆNH ĐIỀU XE'!$U$5:$U$604,'LỆNH ĐIỀU XE'!$B$5:$B$604,$A347,'LỆNH ĐIỀU XE'!$C$5:$C$604,$B347))*1440,0)))</f>
        <v/>
      </c>
      <c r="AJ347" s="16" t="str">
        <f>IF($A347="","",IF(OR(AI347="",V347=""),"Thiếu dữ liệu",IF(AND(AI347&lt;='THAM SỐ'!$B$29,ABS(V347)&lt;='THAM SỐ'!$B$28),"Đạt","Không đạt")))</f>
        <v/>
      </c>
      <c r="AK347" s="16" t="str">
        <f t="shared" si="58"/>
        <v/>
      </c>
      <c r="AL347" s="16" t="str">
        <f>IF($A347="","",TRIM(IF(T347=0,"Không có lệnh; ","")&amp;IF(N(N347)&gt;0,"Dừng ngoài lệnh; ","")&amp;IF(N(J347)&gt;0,"Quá tốc độ; ","")&amp;IF(N(K347)&gt;0,"Lái quá 4h; ","")&amp;IF(N(L347)&gt;0,"Không tắt máy; ","")&amp;IF(OR(P347&lt;&gt;"Đủ",Q347&lt;&gt;"Đủ",R347&lt;&gt;"Đủ"),"Thiếu ảnh; ","")&amp;IF(S347&lt;&gt;"Đạt","Lốp chưa đạt; ","")&amp;IF(N(W347)&gt;'THAM SỐ'!$B$27,"Có mặt quá giờ; ","")&amp;IF(N(X347)&gt;'THAM SỐ'!$B$25,"Lái quá giờ ngày; ","")&amp;IF(ISNUMBER(V347),IF(ABS(V347)&gt;'THAM SỐ'!$B$28,"Lệch km; ",""),"")))</f>
        <v/>
      </c>
      <c r="AM347" s="29"/>
      <c r="AN347" s="30"/>
      <c r="AO347" s="28" t="str">
        <f t="shared" si="59"/>
        <v/>
      </c>
      <c r="AP347" s="21" t="str">
        <f>IF(OR($A347="",AO347=""),"",IF(AG347=0,0,ROUND((AC347*'THAM SỐ'!$B$18+AD347*'THAM SỐ'!$B$19+AE347*'THAM SỐ'!$B$20+AF347*'THAM SỐ'!$B$21)*MIN(1,AO347/AG347),0)))</f>
        <v/>
      </c>
      <c r="AQ347" s="18"/>
    </row>
    <row r="348" spans="1:43" x14ac:dyDescent="0.45">
      <c r="A348" s="17"/>
      <c r="B348" s="18"/>
      <c r="C348" s="18"/>
      <c r="D348" s="25"/>
      <c r="E348" s="26"/>
      <c r="F348" s="26"/>
      <c r="G348" s="20"/>
      <c r="H348" s="20"/>
      <c r="I348" s="18"/>
      <c r="J348" s="18"/>
      <c r="K348" s="18"/>
      <c r="L348" s="18"/>
      <c r="M348" s="18"/>
      <c r="N348" s="18"/>
      <c r="O348" s="18"/>
      <c r="P348" s="18"/>
      <c r="Q348" s="18"/>
      <c r="R348" s="18"/>
      <c r="S348" s="18"/>
      <c r="T348" s="16" t="str">
        <f>IF($A348="","",COUNTIFS('LỆNH ĐIỀU XE'!$B$5:$B$604,$A348,'LỆNH ĐIỀU XE'!$C$5:$C$604,$B348))</f>
        <v/>
      </c>
      <c r="U348" s="27" t="str">
        <f>IF($A348="","",SUMIFS('LỆNH ĐIỀU XE'!$J$5:$J$604,'LỆNH ĐIỀU XE'!$B$5:$B$604,$A348,'LỆNH ĐIỀU XE'!$C$5:$C$604,$B348))</f>
        <v/>
      </c>
      <c r="V348" s="22" t="str">
        <f t="shared" si="50"/>
        <v/>
      </c>
      <c r="W348" s="28" t="str">
        <f t="shared" si="51"/>
        <v/>
      </c>
      <c r="X348" s="28" t="str">
        <f t="shared" si="52"/>
        <v/>
      </c>
      <c r="Y348" s="28" t="str">
        <f t="shared" si="53"/>
        <v/>
      </c>
      <c r="Z348" s="22" t="str">
        <f t="shared" si="54"/>
        <v/>
      </c>
      <c r="AA348" s="28" t="str">
        <f t="shared" si="55"/>
        <v/>
      </c>
      <c r="AB348" s="28" t="str">
        <f t="shared" si="56"/>
        <v/>
      </c>
      <c r="AC348" s="28" t="str">
        <f>IF($A348="","",SUMIFS('CHẶNG TĂNG CA'!$E$5:$E$304,'CHẶNG TĂNG CA'!$A$5:$A$304,$A348,'CHẶNG TĂNG CA'!$B$5:$B$304,$B348))</f>
        <v/>
      </c>
      <c r="AD348" s="28" t="str">
        <f>IF($A348="","",SUMIFS('CHẶNG TĂNG CA'!$F$5:$F$304,'CHẶNG TĂNG CA'!$A$5:$A$304,$A348,'CHẶNG TĂNG CA'!$B$5:$B$304,$B348))</f>
        <v/>
      </c>
      <c r="AE348" s="28" t="str">
        <f>IF($A348="","",SUMIFS('CHẶNG TĂNG CA'!$G$5:$G$304,'CHẶNG TĂNG CA'!$A$5:$A$304,$A348,'CHẶNG TĂNG CA'!$B$5:$B$304,$B348))</f>
        <v/>
      </c>
      <c r="AF348" s="28" t="str">
        <f>IF($A348="","",SUMIFS('CHẶNG TĂNG CA'!$H$5:$H$304,'CHẶNG TĂNG CA'!$A$5:$A$304,$A348,'CHẶNG TĂNG CA'!$B$5:$B$304,$B348))</f>
        <v/>
      </c>
      <c r="AG348" s="28" t="str">
        <f t="shared" si="57"/>
        <v/>
      </c>
      <c r="AH348" s="16" t="str">
        <f>IF($A348="","",IF(COUNTIFS('LỆNH ĐIỀU XE'!$B$5:$B$604,$A348,'LỆNH ĐIỀU XE'!$C$5:$C$604,$B348,'LỆNH ĐIỀU XE'!$N$5:$N$604,"Có")&gt;0,"Có","Không"))</f>
        <v/>
      </c>
      <c r="AI348" s="16" t="str">
        <f>IF(OR($A348="",H348="",N(T348)=0),"",IF(_xlfn.MAXIFS('LỆNH ĐIỀU XE'!$U$5:$U$604,'LỆNH ĐIỀU XE'!$B$5:$B$604,$A348,'LỆNH ĐIỀU XE'!$C$5:$C$604,$B348)=0,"",ROUND((H348+(H348&lt;4/24)-_xlfn.MAXIFS('LỆNH ĐIỀU XE'!$U$5:$U$604,'LỆNH ĐIỀU XE'!$B$5:$B$604,$A348,'LỆNH ĐIỀU XE'!$C$5:$C$604,$B348))*1440,0)))</f>
        <v/>
      </c>
      <c r="AJ348" s="16" t="str">
        <f>IF($A348="","",IF(OR(AI348="",V348=""),"Thiếu dữ liệu",IF(AND(AI348&lt;='THAM SỐ'!$B$29,ABS(V348)&lt;='THAM SỐ'!$B$28),"Đạt","Không đạt")))</f>
        <v/>
      </c>
      <c r="AK348" s="16" t="str">
        <f t="shared" si="58"/>
        <v/>
      </c>
      <c r="AL348" s="16" t="str">
        <f>IF($A348="","",TRIM(IF(T348=0,"Không có lệnh; ","")&amp;IF(N(N348)&gt;0,"Dừng ngoài lệnh; ","")&amp;IF(N(J348)&gt;0,"Quá tốc độ; ","")&amp;IF(N(K348)&gt;0,"Lái quá 4h; ","")&amp;IF(N(L348)&gt;0,"Không tắt máy; ","")&amp;IF(OR(P348&lt;&gt;"Đủ",Q348&lt;&gt;"Đủ",R348&lt;&gt;"Đủ"),"Thiếu ảnh; ","")&amp;IF(S348&lt;&gt;"Đạt","Lốp chưa đạt; ","")&amp;IF(N(W348)&gt;'THAM SỐ'!$B$27,"Có mặt quá giờ; ","")&amp;IF(N(X348)&gt;'THAM SỐ'!$B$25,"Lái quá giờ ngày; ","")&amp;IF(ISNUMBER(V348),IF(ABS(V348)&gt;'THAM SỐ'!$B$28,"Lệch km; ",""),"")))</f>
        <v/>
      </c>
      <c r="AM348" s="29"/>
      <c r="AN348" s="30"/>
      <c r="AO348" s="28" t="str">
        <f t="shared" si="59"/>
        <v/>
      </c>
      <c r="AP348" s="21" t="str">
        <f>IF(OR($A348="",AO348=""),"",IF(AG348=0,0,ROUND((AC348*'THAM SỐ'!$B$18+AD348*'THAM SỐ'!$B$19+AE348*'THAM SỐ'!$B$20+AF348*'THAM SỐ'!$B$21)*MIN(1,AO348/AG348),0)))</f>
        <v/>
      </c>
      <c r="AQ348" s="18"/>
    </row>
    <row r="349" spans="1:43" x14ac:dyDescent="0.45">
      <c r="A349" s="17"/>
      <c r="B349" s="18"/>
      <c r="C349" s="18"/>
      <c r="D349" s="25"/>
      <c r="E349" s="26"/>
      <c r="F349" s="26"/>
      <c r="G349" s="20"/>
      <c r="H349" s="20"/>
      <c r="I349" s="18"/>
      <c r="J349" s="18"/>
      <c r="K349" s="18"/>
      <c r="L349" s="18"/>
      <c r="M349" s="18"/>
      <c r="N349" s="18"/>
      <c r="O349" s="18"/>
      <c r="P349" s="18"/>
      <c r="Q349" s="18"/>
      <c r="R349" s="18"/>
      <c r="S349" s="18"/>
      <c r="T349" s="16" t="str">
        <f>IF($A349="","",COUNTIFS('LỆNH ĐIỀU XE'!$B$5:$B$604,$A349,'LỆNH ĐIỀU XE'!$C$5:$C$604,$B349))</f>
        <v/>
      </c>
      <c r="U349" s="27" t="str">
        <f>IF($A349="","",SUMIFS('LỆNH ĐIỀU XE'!$J$5:$J$604,'LỆNH ĐIỀU XE'!$B$5:$B$604,$A349,'LỆNH ĐIỀU XE'!$C$5:$C$604,$B349))</f>
        <v/>
      </c>
      <c r="V349" s="22" t="str">
        <f t="shared" si="50"/>
        <v/>
      </c>
      <c r="W349" s="28" t="str">
        <f t="shared" si="51"/>
        <v/>
      </c>
      <c r="X349" s="28" t="str">
        <f t="shared" si="52"/>
        <v/>
      </c>
      <c r="Y349" s="28" t="str">
        <f t="shared" si="53"/>
        <v/>
      </c>
      <c r="Z349" s="22" t="str">
        <f t="shared" si="54"/>
        <v/>
      </c>
      <c r="AA349" s="28" t="str">
        <f t="shared" si="55"/>
        <v/>
      </c>
      <c r="AB349" s="28" t="str">
        <f t="shared" si="56"/>
        <v/>
      </c>
      <c r="AC349" s="28" t="str">
        <f>IF($A349="","",SUMIFS('CHẶNG TĂNG CA'!$E$5:$E$304,'CHẶNG TĂNG CA'!$A$5:$A$304,$A349,'CHẶNG TĂNG CA'!$B$5:$B$304,$B349))</f>
        <v/>
      </c>
      <c r="AD349" s="28" t="str">
        <f>IF($A349="","",SUMIFS('CHẶNG TĂNG CA'!$F$5:$F$304,'CHẶNG TĂNG CA'!$A$5:$A$304,$A349,'CHẶNG TĂNG CA'!$B$5:$B$304,$B349))</f>
        <v/>
      </c>
      <c r="AE349" s="28" t="str">
        <f>IF($A349="","",SUMIFS('CHẶNG TĂNG CA'!$G$5:$G$304,'CHẶNG TĂNG CA'!$A$5:$A$304,$A349,'CHẶNG TĂNG CA'!$B$5:$B$304,$B349))</f>
        <v/>
      </c>
      <c r="AF349" s="28" t="str">
        <f>IF($A349="","",SUMIFS('CHẶNG TĂNG CA'!$H$5:$H$304,'CHẶNG TĂNG CA'!$A$5:$A$304,$A349,'CHẶNG TĂNG CA'!$B$5:$B$304,$B349))</f>
        <v/>
      </c>
      <c r="AG349" s="28" t="str">
        <f t="shared" si="57"/>
        <v/>
      </c>
      <c r="AH349" s="16" t="str">
        <f>IF($A349="","",IF(COUNTIFS('LỆNH ĐIỀU XE'!$B$5:$B$604,$A349,'LỆNH ĐIỀU XE'!$C$5:$C$604,$B349,'LỆNH ĐIỀU XE'!$N$5:$N$604,"Có")&gt;0,"Có","Không"))</f>
        <v/>
      </c>
      <c r="AI349" s="16" t="str">
        <f>IF(OR($A349="",H349="",N(T349)=0),"",IF(_xlfn.MAXIFS('LỆNH ĐIỀU XE'!$U$5:$U$604,'LỆNH ĐIỀU XE'!$B$5:$B$604,$A349,'LỆNH ĐIỀU XE'!$C$5:$C$604,$B349)=0,"",ROUND((H349+(H349&lt;4/24)-_xlfn.MAXIFS('LỆNH ĐIỀU XE'!$U$5:$U$604,'LỆNH ĐIỀU XE'!$B$5:$B$604,$A349,'LỆNH ĐIỀU XE'!$C$5:$C$604,$B349))*1440,0)))</f>
        <v/>
      </c>
      <c r="AJ349" s="16" t="str">
        <f>IF($A349="","",IF(OR(AI349="",V349=""),"Thiếu dữ liệu",IF(AND(AI349&lt;='THAM SỐ'!$B$29,ABS(V349)&lt;='THAM SỐ'!$B$28),"Đạt","Không đạt")))</f>
        <v/>
      </c>
      <c r="AK349" s="16" t="str">
        <f t="shared" si="58"/>
        <v/>
      </c>
      <c r="AL349" s="16" t="str">
        <f>IF($A349="","",TRIM(IF(T349=0,"Không có lệnh; ","")&amp;IF(N(N349)&gt;0,"Dừng ngoài lệnh; ","")&amp;IF(N(J349)&gt;0,"Quá tốc độ; ","")&amp;IF(N(K349)&gt;0,"Lái quá 4h; ","")&amp;IF(N(L349)&gt;0,"Không tắt máy; ","")&amp;IF(OR(P349&lt;&gt;"Đủ",Q349&lt;&gt;"Đủ",R349&lt;&gt;"Đủ"),"Thiếu ảnh; ","")&amp;IF(S349&lt;&gt;"Đạt","Lốp chưa đạt; ","")&amp;IF(N(W349)&gt;'THAM SỐ'!$B$27,"Có mặt quá giờ; ","")&amp;IF(N(X349)&gt;'THAM SỐ'!$B$25,"Lái quá giờ ngày; ","")&amp;IF(ISNUMBER(V349),IF(ABS(V349)&gt;'THAM SỐ'!$B$28,"Lệch km; ",""),"")))</f>
        <v/>
      </c>
      <c r="AM349" s="29"/>
      <c r="AN349" s="30"/>
      <c r="AO349" s="28" t="str">
        <f t="shared" si="59"/>
        <v/>
      </c>
      <c r="AP349" s="21" t="str">
        <f>IF(OR($A349="",AO349=""),"",IF(AG349=0,0,ROUND((AC349*'THAM SỐ'!$B$18+AD349*'THAM SỐ'!$B$19+AE349*'THAM SỐ'!$B$20+AF349*'THAM SỐ'!$B$21)*MIN(1,AO349/AG349),0)))</f>
        <v/>
      </c>
      <c r="AQ349" s="18"/>
    </row>
    <row r="350" spans="1:43" x14ac:dyDescent="0.45">
      <c r="A350" s="17"/>
      <c r="B350" s="18"/>
      <c r="C350" s="18"/>
      <c r="D350" s="25"/>
      <c r="E350" s="26"/>
      <c r="F350" s="26"/>
      <c r="G350" s="20"/>
      <c r="H350" s="20"/>
      <c r="I350" s="18"/>
      <c r="J350" s="18"/>
      <c r="K350" s="18"/>
      <c r="L350" s="18"/>
      <c r="M350" s="18"/>
      <c r="N350" s="18"/>
      <c r="O350" s="18"/>
      <c r="P350" s="18"/>
      <c r="Q350" s="18"/>
      <c r="R350" s="18"/>
      <c r="S350" s="18"/>
      <c r="T350" s="16" t="str">
        <f>IF($A350="","",COUNTIFS('LỆNH ĐIỀU XE'!$B$5:$B$604,$A350,'LỆNH ĐIỀU XE'!$C$5:$C$604,$B350))</f>
        <v/>
      </c>
      <c r="U350" s="27" t="str">
        <f>IF($A350="","",SUMIFS('LỆNH ĐIỀU XE'!$J$5:$J$604,'LỆNH ĐIỀU XE'!$B$5:$B$604,$A350,'LỆNH ĐIỀU XE'!$C$5:$C$604,$B350))</f>
        <v/>
      </c>
      <c r="V350" s="22" t="str">
        <f t="shared" si="50"/>
        <v/>
      </c>
      <c r="W350" s="28" t="str">
        <f t="shared" si="51"/>
        <v/>
      </c>
      <c r="X350" s="28" t="str">
        <f t="shared" si="52"/>
        <v/>
      </c>
      <c r="Y350" s="28" t="str">
        <f t="shared" si="53"/>
        <v/>
      </c>
      <c r="Z350" s="22" t="str">
        <f t="shared" si="54"/>
        <v/>
      </c>
      <c r="AA350" s="28" t="str">
        <f t="shared" si="55"/>
        <v/>
      </c>
      <c r="AB350" s="28" t="str">
        <f t="shared" si="56"/>
        <v/>
      </c>
      <c r="AC350" s="28" t="str">
        <f>IF($A350="","",SUMIFS('CHẶNG TĂNG CA'!$E$5:$E$304,'CHẶNG TĂNG CA'!$A$5:$A$304,$A350,'CHẶNG TĂNG CA'!$B$5:$B$304,$B350))</f>
        <v/>
      </c>
      <c r="AD350" s="28" t="str">
        <f>IF($A350="","",SUMIFS('CHẶNG TĂNG CA'!$F$5:$F$304,'CHẶNG TĂNG CA'!$A$5:$A$304,$A350,'CHẶNG TĂNG CA'!$B$5:$B$304,$B350))</f>
        <v/>
      </c>
      <c r="AE350" s="28" t="str">
        <f>IF($A350="","",SUMIFS('CHẶNG TĂNG CA'!$G$5:$G$304,'CHẶNG TĂNG CA'!$A$5:$A$304,$A350,'CHẶNG TĂNG CA'!$B$5:$B$304,$B350))</f>
        <v/>
      </c>
      <c r="AF350" s="28" t="str">
        <f>IF($A350="","",SUMIFS('CHẶNG TĂNG CA'!$H$5:$H$304,'CHẶNG TĂNG CA'!$A$5:$A$304,$A350,'CHẶNG TĂNG CA'!$B$5:$B$304,$B350))</f>
        <v/>
      </c>
      <c r="AG350" s="28" t="str">
        <f t="shared" si="57"/>
        <v/>
      </c>
      <c r="AH350" s="16" t="str">
        <f>IF($A350="","",IF(COUNTIFS('LỆNH ĐIỀU XE'!$B$5:$B$604,$A350,'LỆNH ĐIỀU XE'!$C$5:$C$604,$B350,'LỆNH ĐIỀU XE'!$N$5:$N$604,"Có")&gt;0,"Có","Không"))</f>
        <v/>
      </c>
      <c r="AI350" s="16" t="str">
        <f>IF(OR($A350="",H350="",N(T350)=0),"",IF(_xlfn.MAXIFS('LỆNH ĐIỀU XE'!$U$5:$U$604,'LỆNH ĐIỀU XE'!$B$5:$B$604,$A350,'LỆNH ĐIỀU XE'!$C$5:$C$604,$B350)=0,"",ROUND((H350+(H350&lt;4/24)-_xlfn.MAXIFS('LỆNH ĐIỀU XE'!$U$5:$U$604,'LỆNH ĐIỀU XE'!$B$5:$B$604,$A350,'LỆNH ĐIỀU XE'!$C$5:$C$604,$B350))*1440,0)))</f>
        <v/>
      </c>
      <c r="AJ350" s="16" t="str">
        <f>IF($A350="","",IF(OR(AI350="",V350=""),"Thiếu dữ liệu",IF(AND(AI350&lt;='THAM SỐ'!$B$29,ABS(V350)&lt;='THAM SỐ'!$B$28),"Đạt","Không đạt")))</f>
        <v/>
      </c>
      <c r="AK350" s="16" t="str">
        <f t="shared" si="58"/>
        <v/>
      </c>
      <c r="AL350" s="16" t="str">
        <f>IF($A350="","",TRIM(IF(T350=0,"Không có lệnh; ","")&amp;IF(N(N350)&gt;0,"Dừng ngoài lệnh; ","")&amp;IF(N(J350)&gt;0,"Quá tốc độ; ","")&amp;IF(N(K350)&gt;0,"Lái quá 4h; ","")&amp;IF(N(L350)&gt;0,"Không tắt máy; ","")&amp;IF(OR(P350&lt;&gt;"Đủ",Q350&lt;&gt;"Đủ",R350&lt;&gt;"Đủ"),"Thiếu ảnh; ","")&amp;IF(S350&lt;&gt;"Đạt","Lốp chưa đạt; ","")&amp;IF(N(W350)&gt;'THAM SỐ'!$B$27,"Có mặt quá giờ; ","")&amp;IF(N(X350)&gt;'THAM SỐ'!$B$25,"Lái quá giờ ngày; ","")&amp;IF(ISNUMBER(V350),IF(ABS(V350)&gt;'THAM SỐ'!$B$28,"Lệch km; ",""),"")))</f>
        <v/>
      </c>
      <c r="AM350" s="29"/>
      <c r="AN350" s="30"/>
      <c r="AO350" s="28" t="str">
        <f t="shared" si="59"/>
        <v/>
      </c>
      <c r="AP350" s="21" t="str">
        <f>IF(OR($A350="",AO350=""),"",IF(AG350=0,0,ROUND((AC350*'THAM SỐ'!$B$18+AD350*'THAM SỐ'!$B$19+AE350*'THAM SỐ'!$B$20+AF350*'THAM SỐ'!$B$21)*MIN(1,AO350/AG350),0)))</f>
        <v/>
      </c>
      <c r="AQ350" s="18"/>
    </row>
    <row r="351" spans="1:43" x14ac:dyDescent="0.45">
      <c r="A351" s="17"/>
      <c r="B351" s="18"/>
      <c r="C351" s="18"/>
      <c r="D351" s="25"/>
      <c r="E351" s="26"/>
      <c r="F351" s="26"/>
      <c r="G351" s="20"/>
      <c r="H351" s="20"/>
      <c r="I351" s="18"/>
      <c r="J351" s="18"/>
      <c r="K351" s="18"/>
      <c r="L351" s="18"/>
      <c r="M351" s="18"/>
      <c r="N351" s="18"/>
      <c r="O351" s="18"/>
      <c r="P351" s="18"/>
      <c r="Q351" s="18"/>
      <c r="R351" s="18"/>
      <c r="S351" s="18"/>
      <c r="T351" s="16" t="str">
        <f>IF($A351="","",COUNTIFS('LỆNH ĐIỀU XE'!$B$5:$B$604,$A351,'LỆNH ĐIỀU XE'!$C$5:$C$604,$B351))</f>
        <v/>
      </c>
      <c r="U351" s="27" t="str">
        <f>IF($A351="","",SUMIFS('LỆNH ĐIỀU XE'!$J$5:$J$604,'LỆNH ĐIỀU XE'!$B$5:$B$604,$A351,'LỆNH ĐIỀU XE'!$C$5:$C$604,$B351))</f>
        <v/>
      </c>
      <c r="V351" s="22" t="str">
        <f t="shared" si="50"/>
        <v/>
      </c>
      <c r="W351" s="28" t="str">
        <f t="shared" si="51"/>
        <v/>
      </c>
      <c r="X351" s="28" t="str">
        <f t="shared" si="52"/>
        <v/>
      </c>
      <c r="Y351" s="28" t="str">
        <f t="shared" si="53"/>
        <v/>
      </c>
      <c r="Z351" s="22" t="str">
        <f t="shared" si="54"/>
        <v/>
      </c>
      <c r="AA351" s="28" t="str">
        <f t="shared" si="55"/>
        <v/>
      </c>
      <c r="AB351" s="28" t="str">
        <f t="shared" si="56"/>
        <v/>
      </c>
      <c r="AC351" s="28" t="str">
        <f>IF($A351="","",SUMIFS('CHẶNG TĂNG CA'!$E$5:$E$304,'CHẶNG TĂNG CA'!$A$5:$A$304,$A351,'CHẶNG TĂNG CA'!$B$5:$B$304,$B351))</f>
        <v/>
      </c>
      <c r="AD351" s="28" t="str">
        <f>IF($A351="","",SUMIFS('CHẶNG TĂNG CA'!$F$5:$F$304,'CHẶNG TĂNG CA'!$A$5:$A$304,$A351,'CHẶNG TĂNG CA'!$B$5:$B$304,$B351))</f>
        <v/>
      </c>
      <c r="AE351" s="28" t="str">
        <f>IF($A351="","",SUMIFS('CHẶNG TĂNG CA'!$G$5:$G$304,'CHẶNG TĂNG CA'!$A$5:$A$304,$A351,'CHẶNG TĂNG CA'!$B$5:$B$304,$B351))</f>
        <v/>
      </c>
      <c r="AF351" s="28" t="str">
        <f>IF($A351="","",SUMIFS('CHẶNG TĂNG CA'!$H$5:$H$304,'CHẶNG TĂNG CA'!$A$5:$A$304,$A351,'CHẶNG TĂNG CA'!$B$5:$B$304,$B351))</f>
        <v/>
      </c>
      <c r="AG351" s="28" t="str">
        <f t="shared" si="57"/>
        <v/>
      </c>
      <c r="AH351" s="16" t="str">
        <f>IF($A351="","",IF(COUNTIFS('LỆNH ĐIỀU XE'!$B$5:$B$604,$A351,'LỆNH ĐIỀU XE'!$C$5:$C$604,$B351,'LỆNH ĐIỀU XE'!$N$5:$N$604,"Có")&gt;0,"Có","Không"))</f>
        <v/>
      </c>
      <c r="AI351" s="16" t="str">
        <f>IF(OR($A351="",H351="",N(T351)=0),"",IF(_xlfn.MAXIFS('LỆNH ĐIỀU XE'!$U$5:$U$604,'LỆNH ĐIỀU XE'!$B$5:$B$604,$A351,'LỆNH ĐIỀU XE'!$C$5:$C$604,$B351)=0,"",ROUND((H351+(H351&lt;4/24)-_xlfn.MAXIFS('LỆNH ĐIỀU XE'!$U$5:$U$604,'LỆNH ĐIỀU XE'!$B$5:$B$604,$A351,'LỆNH ĐIỀU XE'!$C$5:$C$604,$B351))*1440,0)))</f>
        <v/>
      </c>
      <c r="AJ351" s="16" t="str">
        <f>IF($A351="","",IF(OR(AI351="",V351=""),"Thiếu dữ liệu",IF(AND(AI351&lt;='THAM SỐ'!$B$29,ABS(V351)&lt;='THAM SỐ'!$B$28),"Đạt","Không đạt")))</f>
        <v/>
      </c>
      <c r="AK351" s="16" t="str">
        <f t="shared" si="58"/>
        <v/>
      </c>
      <c r="AL351" s="16" t="str">
        <f>IF($A351="","",TRIM(IF(T351=0,"Không có lệnh; ","")&amp;IF(N(N351)&gt;0,"Dừng ngoài lệnh; ","")&amp;IF(N(J351)&gt;0,"Quá tốc độ; ","")&amp;IF(N(K351)&gt;0,"Lái quá 4h; ","")&amp;IF(N(L351)&gt;0,"Không tắt máy; ","")&amp;IF(OR(P351&lt;&gt;"Đủ",Q351&lt;&gt;"Đủ",R351&lt;&gt;"Đủ"),"Thiếu ảnh; ","")&amp;IF(S351&lt;&gt;"Đạt","Lốp chưa đạt; ","")&amp;IF(N(W351)&gt;'THAM SỐ'!$B$27,"Có mặt quá giờ; ","")&amp;IF(N(X351)&gt;'THAM SỐ'!$B$25,"Lái quá giờ ngày; ","")&amp;IF(ISNUMBER(V351),IF(ABS(V351)&gt;'THAM SỐ'!$B$28,"Lệch km; ",""),"")))</f>
        <v/>
      </c>
      <c r="AM351" s="29"/>
      <c r="AN351" s="30"/>
      <c r="AO351" s="28" t="str">
        <f t="shared" si="59"/>
        <v/>
      </c>
      <c r="AP351" s="21" t="str">
        <f>IF(OR($A351="",AO351=""),"",IF(AG351=0,0,ROUND((AC351*'THAM SỐ'!$B$18+AD351*'THAM SỐ'!$B$19+AE351*'THAM SỐ'!$B$20+AF351*'THAM SỐ'!$B$21)*MIN(1,AO351/AG351),0)))</f>
        <v/>
      </c>
      <c r="AQ351" s="18"/>
    </row>
    <row r="352" spans="1:43" x14ac:dyDescent="0.45">
      <c r="A352" s="17"/>
      <c r="B352" s="18"/>
      <c r="C352" s="18"/>
      <c r="D352" s="25"/>
      <c r="E352" s="26"/>
      <c r="F352" s="26"/>
      <c r="G352" s="20"/>
      <c r="H352" s="20"/>
      <c r="I352" s="18"/>
      <c r="J352" s="18"/>
      <c r="K352" s="18"/>
      <c r="L352" s="18"/>
      <c r="M352" s="18"/>
      <c r="N352" s="18"/>
      <c r="O352" s="18"/>
      <c r="P352" s="18"/>
      <c r="Q352" s="18"/>
      <c r="R352" s="18"/>
      <c r="S352" s="18"/>
      <c r="T352" s="16" t="str">
        <f>IF($A352="","",COUNTIFS('LỆNH ĐIỀU XE'!$B$5:$B$604,$A352,'LỆNH ĐIỀU XE'!$C$5:$C$604,$B352))</f>
        <v/>
      </c>
      <c r="U352" s="27" t="str">
        <f>IF($A352="","",SUMIFS('LỆNH ĐIỀU XE'!$J$5:$J$604,'LỆNH ĐIỀU XE'!$B$5:$B$604,$A352,'LỆNH ĐIỀU XE'!$C$5:$C$604,$B352))</f>
        <v/>
      </c>
      <c r="V352" s="22" t="str">
        <f t="shared" si="50"/>
        <v/>
      </c>
      <c r="W352" s="28" t="str">
        <f t="shared" si="51"/>
        <v/>
      </c>
      <c r="X352" s="28" t="str">
        <f t="shared" si="52"/>
        <v/>
      </c>
      <c r="Y352" s="28" t="str">
        <f t="shared" si="53"/>
        <v/>
      </c>
      <c r="Z352" s="22" t="str">
        <f t="shared" si="54"/>
        <v/>
      </c>
      <c r="AA352" s="28" t="str">
        <f t="shared" si="55"/>
        <v/>
      </c>
      <c r="AB352" s="28" t="str">
        <f t="shared" si="56"/>
        <v/>
      </c>
      <c r="AC352" s="28" t="str">
        <f>IF($A352="","",SUMIFS('CHẶNG TĂNG CA'!$E$5:$E$304,'CHẶNG TĂNG CA'!$A$5:$A$304,$A352,'CHẶNG TĂNG CA'!$B$5:$B$304,$B352))</f>
        <v/>
      </c>
      <c r="AD352" s="28" t="str">
        <f>IF($A352="","",SUMIFS('CHẶNG TĂNG CA'!$F$5:$F$304,'CHẶNG TĂNG CA'!$A$5:$A$304,$A352,'CHẶNG TĂNG CA'!$B$5:$B$304,$B352))</f>
        <v/>
      </c>
      <c r="AE352" s="28" t="str">
        <f>IF($A352="","",SUMIFS('CHẶNG TĂNG CA'!$G$5:$G$304,'CHẶNG TĂNG CA'!$A$5:$A$304,$A352,'CHẶNG TĂNG CA'!$B$5:$B$304,$B352))</f>
        <v/>
      </c>
      <c r="AF352" s="28" t="str">
        <f>IF($A352="","",SUMIFS('CHẶNG TĂNG CA'!$H$5:$H$304,'CHẶNG TĂNG CA'!$A$5:$A$304,$A352,'CHẶNG TĂNG CA'!$B$5:$B$304,$B352))</f>
        <v/>
      </c>
      <c r="AG352" s="28" t="str">
        <f t="shared" si="57"/>
        <v/>
      </c>
      <c r="AH352" s="16" t="str">
        <f>IF($A352="","",IF(COUNTIFS('LỆNH ĐIỀU XE'!$B$5:$B$604,$A352,'LỆNH ĐIỀU XE'!$C$5:$C$604,$B352,'LỆNH ĐIỀU XE'!$N$5:$N$604,"Có")&gt;0,"Có","Không"))</f>
        <v/>
      </c>
      <c r="AI352" s="16" t="str">
        <f>IF(OR($A352="",H352="",N(T352)=0),"",IF(_xlfn.MAXIFS('LỆNH ĐIỀU XE'!$U$5:$U$604,'LỆNH ĐIỀU XE'!$B$5:$B$604,$A352,'LỆNH ĐIỀU XE'!$C$5:$C$604,$B352)=0,"",ROUND((H352+(H352&lt;4/24)-_xlfn.MAXIFS('LỆNH ĐIỀU XE'!$U$5:$U$604,'LỆNH ĐIỀU XE'!$B$5:$B$604,$A352,'LỆNH ĐIỀU XE'!$C$5:$C$604,$B352))*1440,0)))</f>
        <v/>
      </c>
      <c r="AJ352" s="16" t="str">
        <f>IF($A352="","",IF(OR(AI352="",V352=""),"Thiếu dữ liệu",IF(AND(AI352&lt;='THAM SỐ'!$B$29,ABS(V352)&lt;='THAM SỐ'!$B$28),"Đạt","Không đạt")))</f>
        <v/>
      </c>
      <c r="AK352" s="16" t="str">
        <f t="shared" si="58"/>
        <v/>
      </c>
      <c r="AL352" s="16" t="str">
        <f>IF($A352="","",TRIM(IF(T352=0,"Không có lệnh; ","")&amp;IF(N(N352)&gt;0,"Dừng ngoài lệnh; ","")&amp;IF(N(J352)&gt;0,"Quá tốc độ; ","")&amp;IF(N(K352)&gt;0,"Lái quá 4h; ","")&amp;IF(N(L352)&gt;0,"Không tắt máy; ","")&amp;IF(OR(P352&lt;&gt;"Đủ",Q352&lt;&gt;"Đủ",R352&lt;&gt;"Đủ"),"Thiếu ảnh; ","")&amp;IF(S352&lt;&gt;"Đạt","Lốp chưa đạt; ","")&amp;IF(N(W352)&gt;'THAM SỐ'!$B$27,"Có mặt quá giờ; ","")&amp;IF(N(X352)&gt;'THAM SỐ'!$B$25,"Lái quá giờ ngày; ","")&amp;IF(ISNUMBER(V352),IF(ABS(V352)&gt;'THAM SỐ'!$B$28,"Lệch km; ",""),"")))</f>
        <v/>
      </c>
      <c r="AM352" s="29"/>
      <c r="AN352" s="30"/>
      <c r="AO352" s="28" t="str">
        <f t="shared" si="59"/>
        <v/>
      </c>
      <c r="AP352" s="21" t="str">
        <f>IF(OR($A352="",AO352=""),"",IF(AG352=0,0,ROUND((AC352*'THAM SỐ'!$B$18+AD352*'THAM SỐ'!$B$19+AE352*'THAM SỐ'!$B$20+AF352*'THAM SỐ'!$B$21)*MIN(1,AO352/AG352),0)))</f>
        <v/>
      </c>
      <c r="AQ352" s="18"/>
    </row>
    <row r="353" spans="1:43" x14ac:dyDescent="0.45">
      <c r="A353" s="17"/>
      <c r="B353" s="18"/>
      <c r="C353" s="18"/>
      <c r="D353" s="25"/>
      <c r="E353" s="26"/>
      <c r="F353" s="26"/>
      <c r="G353" s="20"/>
      <c r="H353" s="20"/>
      <c r="I353" s="18"/>
      <c r="J353" s="18"/>
      <c r="K353" s="18"/>
      <c r="L353" s="18"/>
      <c r="M353" s="18"/>
      <c r="N353" s="18"/>
      <c r="O353" s="18"/>
      <c r="P353" s="18"/>
      <c r="Q353" s="18"/>
      <c r="R353" s="18"/>
      <c r="S353" s="18"/>
      <c r="T353" s="16" t="str">
        <f>IF($A353="","",COUNTIFS('LỆNH ĐIỀU XE'!$B$5:$B$604,$A353,'LỆNH ĐIỀU XE'!$C$5:$C$604,$B353))</f>
        <v/>
      </c>
      <c r="U353" s="27" t="str">
        <f>IF($A353="","",SUMIFS('LỆNH ĐIỀU XE'!$J$5:$J$604,'LỆNH ĐIỀU XE'!$B$5:$B$604,$A353,'LỆNH ĐIỀU XE'!$C$5:$C$604,$B353))</f>
        <v/>
      </c>
      <c r="V353" s="22" t="str">
        <f t="shared" si="50"/>
        <v/>
      </c>
      <c r="W353" s="28" t="str">
        <f t="shared" si="51"/>
        <v/>
      </c>
      <c r="X353" s="28" t="str">
        <f t="shared" si="52"/>
        <v/>
      </c>
      <c r="Y353" s="28" t="str">
        <f t="shared" si="53"/>
        <v/>
      </c>
      <c r="Z353" s="22" t="str">
        <f t="shared" si="54"/>
        <v/>
      </c>
      <c r="AA353" s="28" t="str">
        <f t="shared" si="55"/>
        <v/>
      </c>
      <c r="AB353" s="28" t="str">
        <f t="shared" si="56"/>
        <v/>
      </c>
      <c r="AC353" s="28" t="str">
        <f>IF($A353="","",SUMIFS('CHẶNG TĂNG CA'!$E$5:$E$304,'CHẶNG TĂNG CA'!$A$5:$A$304,$A353,'CHẶNG TĂNG CA'!$B$5:$B$304,$B353))</f>
        <v/>
      </c>
      <c r="AD353" s="28" t="str">
        <f>IF($A353="","",SUMIFS('CHẶNG TĂNG CA'!$F$5:$F$304,'CHẶNG TĂNG CA'!$A$5:$A$304,$A353,'CHẶNG TĂNG CA'!$B$5:$B$304,$B353))</f>
        <v/>
      </c>
      <c r="AE353" s="28" t="str">
        <f>IF($A353="","",SUMIFS('CHẶNG TĂNG CA'!$G$5:$G$304,'CHẶNG TĂNG CA'!$A$5:$A$304,$A353,'CHẶNG TĂNG CA'!$B$5:$B$304,$B353))</f>
        <v/>
      </c>
      <c r="AF353" s="28" t="str">
        <f>IF($A353="","",SUMIFS('CHẶNG TĂNG CA'!$H$5:$H$304,'CHẶNG TĂNG CA'!$A$5:$A$304,$A353,'CHẶNG TĂNG CA'!$B$5:$B$304,$B353))</f>
        <v/>
      </c>
      <c r="AG353" s="28" t="str">
        <f t="shared" si="57"/>
        <v/>
      </c>
      <c r="AH353" s="16" t="str">
        <f>IF($A353="","",IF(COUNTIFS('LỆNH ĐIỀU XE'!$B$5:$B$604,$A353,'LỆNH ĐIỀU XE'!$C$5:$C$604,$B353,'LỆNH ĐIỀU XE'!$N$5:$N$604,"Có")&gt;0,"Có","Không"))</f>
        <v/>
      </c>
      <c r="AI353" s="16" t="str">
        <f>IF(OR($A353="",H353="",N(T353)=0),"",IF(_xlfn.MAXIFS('LỆNH ĐIỀU XE'!$U$5:$U$604,'LỆNH ĐIỀU XE'!$B$5:$B$604,$A353,'LỆNH ĐIỀU XE'!$C$5:$C$604,$B353)=0,"",ROUND((H353+(H353&lt;4/24)-_xlfn.MAXIFS('LỆNH ĐIỀU XE'!$U$5:$U$604,'LỆNH ĐIỀU XE'!$B$5:$B$604,$A353,'LỆNH ĐIỀU XE'!$C$5:$C$604,$B353))*1440,0)))</f>
        <v/>
      </c>
      <c r="AJ353" s="16" t="str">
        <f>IF($A353="","",IF(OR(AI353="",V353=""),"Thiếu dữ liệu",IF(AND(AI353&lt;='THAM SỐ'!$B$29,ABS(V353)&lt;='THAM SỐ'!$B$28),"Đạt","Không đạt")))</f>
        <v/>
      </c>
      <c r="AK353" s="16" t="str">
        <f t="shared" si="58"/>
        <v/>
      </c>
      <c r="AL353" s="16" t="str">
        <f>IF($A353="","",TRIM(IF(T353=0,"Không có lệnh; ","")&amp;IF(N(N353)&gt;0,"Dừng ngoài lệnh; ","")&amp;IF(N(J353)&gt;0,"Quá tốc độ; ","")&amp;IF(N(K353)&gt;0,"Lái quá 4h; ","")&amp;IF(N(L353)&gt;0,"Không tắt máy; ","")&amp;IF(OR(P353&lt;&gt;"Đủ",Q353&lt;&gt;"Đủ",R353&lt;&gt;"Đủ"),"Thiếu ảnh; ","")&amp;IF(S353&lt;&gt;"Đạt","Lốp chưa đạt; ","")&amp;IF(N(W353)&gt;'THAM SỐ'!$B$27,"Có mặt quá giờ; ","")&amp;IF(N(X353)&gt;'THAM SỐ'!$B$25,"Lái quá giờ ngày; ","")&amp;IF(ISNUMBER(V353),IF(ABS(V353)&gt;'THAM SỐ'!$B$28,"Lệch km; ",""),"")))</f>
        <v/>
      </c>
      <c r="AM353" s="29"/>
      <c r="AN353" s="30"/>
      <c r="AO353" s="28" t="str">
        <f t="shared" si="59"/>
        <v/>
      </c>
      <c r="AP353" s="21" t="str">
        <f>IF(OR($A353="",AO353=""),"",IF(AG353=0,0,ROUND((AC353*'THAM SỐ'!$B$18+AD353*'THAM SỐ'!$B$19+AE353*'THAM SỐ'!$B$20+AF353*'THAM SỐ'!$B$21)*MIN(1,AO353/AG353),0)))</f>
        <v/>
      </c>
      <c r="AQ353" s="18"/>
    </row>
    <row r="354" spans="1:43" x14ac:dyDescent="0.45">
      <c r="A354" s="17"/>
      <c r="B354" s="18"/>
      <c r="C354" s="18"/>
      <c r="D354" s="25"/>
      <c r="E354" s="26"/>
      <c r="F354" s="26"/>
      <c r="G354" s="20"/>
      <c r="H354" s="20"/>
      <c r="I354" s="18"/>
      <c r="J354" s="18"/>
      <c r="K354" s="18"/>
      <c r="L354" s="18"/>
      <c r="M354" s="18"/>
      <c r="N354" s="18"/>
      <c r="O354" s="18"/>
      <c r="P354" s="18"/>
      <c r="Q354" s="18"/>
      <c r="R354" s="18"/>
      <c r="S354" s="18"/>
      <c r="T354" s="16" t="str">
        <f>IF($A354="","",COUNTIFS('LỆNH ĐIỀU XE'!$B$5:$B$604,$A354,'LỆNH ĐIỀU XE'!$C$5:$C$604,$B354))</f>
        <v/>
      </c>
      <c r="U354" s="27" t="str">
        <f>IF($A354="","",SUMIFS('LỆNH ĐIỀU XE'!$J$5:$J$604,'LỆNH ĐIỀU XE'!$B$5:$B$604,$A354,'LỆNH ĐIỀU XE'!$C$5:$C$604,$B354))</f>
        <v/>
      </c>
      <c r="V354" s="22" t="str">
        <f t="shared" si="50"/>
        <v/>
      </c>
      <c r="W354" s="28" t="str">
        <f t="shared" si="51"/>
        <v/>
      </c>
      <c r="X354" s="28" t="str">
        <f t="shared" si="52"/>
        <v/>
      </c>
      <c r="Y354" s="28" t="str">
        <f t="shared" si="53"/>
        <v/>
      </c>
      <c r="Z354" s="22" t="str">
        <f t="shared" si="54"/>
        <v/>
      </c>
      <c r="AA354" s="28" t="str">
        <f t="shared" si="55"/>
        <v/>
      </c>
      <c r="AB354" s="28" t="str">
        <f t="shared" si="56"/>
        <v/>
      </c>
      <c r="AC354" s="28" t="str">
        <f>IF($A354="","",SUMIFS('CHẶNG TĂNG CA'!$E$5:$E$304,'CHẶNG TĂNG CA'!$A$5:$A$304,$A354,'CHẶNG TĂNG CA'!$B$5:$B$304,$B354))</f>
        <v/>
      </c>
      <c r="AD354" s="28" t="str">
        <f>IF($A354="","",SUMIFS('CHẶNG TĂNG CA'!$F$5:$F$304,'CHẶNG TĂNG CA'!$A$5:$A$304,$A354,'CHẶNG TĂNG CA'!$B$5:$B$304,$B354))</f>
        <v/>
      </c>
      <c r="AE354" s="28" t="str">
        <f>IF($A354="","",SUMIFS('CHẶNG TĂNG CA'!$G$5:$G$304,'CHẶNG TĂNG CA'!$A$5:$A$304,$A354,'CHẶNG TĂNG CA'!$B$5:$B$304,$B354))</f>
        <v/>
      </c>
      <c r="AF354" s="28" t="str">
        <f>IF($A354="","",SUMIFS('CHẶNG TĂNG CA'!$H$5:$H$304,'CHẶNG TĂNG CA'!$A$5:$A$304,$A354,'CHẶNG TĂNG CA'!$B$5:$B$304,$B354))</f>
        <v/>
      </c>
      <c r="AG354" s="28" t="str">
        <f t="shared" si="57"/>
        <v/>
      </c>
      <c r="AH354" s="16" t="str">
        <f>IF($A354="","",IF(COUNTIFS('LỆNH ĐIỀU XE'!$B$5:$B$604,$A354,'LỆNH ĐIỀU XE'!$C$5:$C$604,$B354,'LỆNH ĐIỀU XE'!$N$5:$N$604,"Có")&gt;0,"Có","Không"))</f>
        <v/>
      </c>
      <c r="AI354" s="16" t="str">
        <f>IF(OR($A354="",H354="",N(T354)=0),"",IF(_xlfn.MAXIFS('LỆNH ĐIỀU XE'!$U$5:$U$604,'LỆNH ĐIỀU XE'!$B$5:$B$604,$A354,'LỆNH ĐIỀU XE'!$C$5:$C$604,$B354)=0,"",ROUND((H354+(H354&lt;4/24)-_xlfn.MAXIFS('LỆNH ĐIỀU XE'!$U$5:$U$604,'LỆNH ĐIỀU XE'!$B$5:$B$604,$A354,'LỆNH ĐIỀU XE'!$C$5:$C$604,$B354))*1440,0)))</f>
        <v/>
      </c>
      <c r="AJ354" s="16" t="str">
        <f>IF($A354="","",IF(OR(AI354="",V354=""),"Thiếu dữ liệu",IF(AND(AI354&lt;='THAM SỐ'!$B$29,ABS(V354)&lt;='THAM SỐ'!$B$28),"Đạt","Không đạt")))</f>
        <v/>
      </c>
      <c r="AK354" s="16" t="str">
        <f t="shared" si="58"/>
        <v/>
      </c>
      <c r="AL354" s="16" t="str">
        <f>IF($A354="","",TRIM(IF(T354=0,"Không có lệnh; ","")&amp;IF(N(N354)&gt;0,"Dừng ngoài lệnh; ","")&amp;IF(N(J354)&gt;0,"Quá tốc độ; ","")&amp;IF(N(K354)&gt;0,"Lái quá 4h; ","")&amp;IF(N(L354)&gt;0,"Không tắt máy; ","")&amp;IF(OR(P354&lt;&gt;"Đủ",Q354&lt;&gt;"Đủ",R354&lt;&gt;"Đủ"),"Thiếu ảnh; ","")&amp;IF(S354&lt;&gt;"Đạt","Lốp chưa đạt; ","")&amp;IF(N(W354)&gt;'THAM SỐ'!$B$27,"Có mặt quá giờ; ","")&amp;IF(N(X354)&gt;'THAM SỐ'!$B$25,"Lái quá giờ ngày; ","")&amp;IF(ISNUMBER(V354),IF(ABS(V354)&gt;'THAM SỐ'!$B$28,"Lệch km; ",""),"")))</f>
        <v/>
      </c>
      <c r="AM354" s="29"/>
      <c r="AN354" s="30"/>
      <c r="AO354" s="28" t="str">
        <f t="shared" si="59"/>
        <v/>
      </c>
      <c r="AP354" s="21" t="str">
        <f>IF(OR($A354="",AO354=""),"",IF(AG354=0,0,ROUND((AC354*'THAM SỐ'!$B$18+AD354*'THAM SỐ'!$B$19+AE354*'THAM SỐ'!$B$20+AF354*'THAM SỐ'!$B$21)*MIN(1,AO354/AG354),0)))</f>
        <v/>
      </c>
      <c r="AQ354" s="18"/>
    </row>
    <row r="355" spans="1:43" x14ac:dyDescent="0.45">
      <c r="A355" s="17"/>
      <c r="B355" s="18"/>
      <c r="C355" s="18"/>
      <c r="D355" s="25"/>
      <c r="E355" s="26"/>
      <c r="F355" s="26"/>
      <c r="G355" s="20"/>
      <c r="H355" s="20"/>
      <c r="I355" s="18"/>
      <c r="J355" s="18"/>
      <c r="K355" s="18"/>
      <c r="L355" s="18"/>
      <c r="M355" s="18"/>
      <c r="N355" s="18"/>
      <c r="O355" s="18"/>
      <c r="P355" s="18"/>
      <c r="Q355" s="18"/>
      <c r="R355" s="18"/>
      <c r="S355" s="18"/>
      <c r="T355" s="16" t="str">
        <f>IF($A355="","",COUNTIFS('LỆNH ĐIỀU XE'!$B$5:$B$604,$A355,'LỆNH ĐIỀU XE'!$C$5:$C$604,$B355))</f>
        <v/>
      </c>
      <c r="U355" s="27" t="str">
        <f>IF($A355="","",SUMIFS('LỆNH ĐIỀU XE'!$J$5:$J$604,'LỆNH ĐIỀU XE'!$B$5:$B$604,$A355,'LỆNH ĐIỀU XE'!$C$5:$C$604,$B355))</f>
        <v/>
      </c>
      <c r="V355" s="22" t="str">
        <f t="shared" si="50"/>
        <v/>
      </c>
      <c r="W355" s="28" t="str">
        <f t="shared" si="51"/>
        <v/>
      </c>
      <c r="X355" s="28" t="str">
        <f t="shared" si="52"/>
        <v/>
      </c>
      <c r="Y355" s="28" t="str">
        <f t="shared" si="53"/>
        <v/>
      </c>
      <c r="Z355" s="22" t="str">
        <f t="shared" si="54"/>
        <v/>
      </c>
      <c r="AA355" s="28" t="str">
        <f t="shared" si="55"/>
        <v/>
      </c>
      <c r="AB355" s="28" t="str">
        <f t="shared" si="56"/>
        <v/>
      </c>
      <c r="AC355" s="28" t="str">
        <f>IF($A355="","",SUMIFS('CHẶNG TĂNG CA'!$E$5:$E$304,'CHẶNG TĂNG CA'!$A$5:$A$304,$A355,'CHẶNG TĂNG CA'!$B$5:$B$304,$B355))</f>
        <v/>
      </c>
      <c r="AD355" s="28" t="str">
        <f>IF($A355="","",SUMIFS('CHẶNG TĂNG CA'!$F$5:$F$304,'CHẶNG TĂNG CA'!$A$5:$A$304,$A355,'CHẶNG TĂNG CA'!$B$5:$B$304,$B355))</f>
        <v/>
      </c>
      <c r="AE355" s="28" t="str">
        <f>IF($A355="","",SUMIFS('CHẶNG TĂNG CA'!$G$5:$G$304,'CHẶNG TĂNG CA'!$A$5:$A$304,$A355,'CHẶNG TĂNG CA'!$B$5:$B$304,$B355))</f>
        <v/>
      </c>
      <c r="AF355" s="28" t="str">
        <f>IF($A355="","",SUMIFS('CHẶNG TĂNG CA'!$H$5:$H$304,'CHẶNG TĂNG CA'!$A$5:$A$304,$A355,'CHẶNG TĂNG CA'!$B$5:$B$304,$B355))</f>
        <v/>
      </c>
      <c r="AG355" s="28" t="str">
        <f t="shared" si="57"/>
        <v/>
      </c>
      <c r="AH355" s="16" t="str">
        <f>IF($A355="","",IF(COUNTIFS('LỆNH ĐIỀU XE'!$B$5:$B$604,$A355,'LỆNH ĐIỀU XE'!$C$5:$C$604,$B355,'LỆNH ĐIỀU XE'!$N$5:$N$604,"Có")&gt;0,"Có","Không"))</f>
        <v/>
      </c>
      <c r="AI355" s="16" t="str">
        <f>IF(OR($A355="",H355="",N(T355)=0),"",IF(_xlfn.MAXIFS('LỆNH ĐIỀU XE'!$U$5:$U$604,'LỆNH ĐIỀU XE'!$B$5:$B$604,$A355,'LỆNH ĐIỀU XE'!$C$5:$C$604,$B355)=0,"",ROUND((H355+(H355&lt;4/24)-_xlfn.MAXIFS('LỆNH ĐIỀU XE'!$U$5:$U$604,'LỆNH ĐIỀU XE'!$B$5:$B$604,$A355,'LỆNH ĐIỀU XE'!$C$5:$C$604,$B355))*1440,0)))</f>
        <v/>
      </c>
      <c r="AJ355" s="16" t="str">
        <f>IF($A355="","",IF(OR(AI355="",V355=""),"Thiếu dữ liệu",IF(AND(AI355&lt;='THAM SỐ'!$B$29,ABS(V355)&lt;='THAM SỐ'!$B$28),"Đạt","Không đạt")))</f>
        <v/>
      </c>
      <c r="AK355" s="16" t="str">
        <f t="shared" si="58"/>
        <v/>
      </c>
      <c r="AL355" s="16" t="str">
        <f>IF($A355="","",TRIM(IF(T355=0,"Không có lệnh; ","")&amp;IF(N(N355)&gt;0,"Dừng ngoài lệnh; ","")&amp;IF(N(J355)&gt;0,"Quá tốc độ; ","")&amp;IF(N(K355)&gt;0,"Lái quá 4h; ","")&amp;IF(N(L355)&gt;0,"Không tắt máy; ","")&amp;IF(OR(P355&lt;&gt;"Đủ",Q355&lt;&gt;"Đủ",R355&lt;&gt;"Đủ"),"Thiếu ảnh; ","")&amp;IF(S355&lt;&gt;"Đạt","Lốp chưa đạt; ","")&amp;IF(N(W355)&gt;'THAM SỐ'!$B$27,"Có mặt quá giờ; ","")&amp;IF(N(X355)&gt;'THAM SỐ'!$B$25,"Lái quá giờ ngày; ","")&amp;IF(ISNUMBER(V355),IF(ABS(V355)&gt;'THAM SỐ'!$B$28,"Lệch km; ",""),"")))</f>
        <v/>
      </c>
      <c r="AM355" s="29"/>
      <c r="AN355" s="30"/>
      <c r="AO355" s="28" t="str">
        <f t="shared" si="59"/>
        <v/>
      </c>
      <c r="AP355" s="21" t="str">
        <f>IF(OR($A355="",AO355=""),"",IF(AG355=0,0,ROUND((AC355*'THAM SỐ'!$B$18+AD355*'THAM SỐ'!$B$19+AE355*'THAM SỐ'!$B$20+AF355*'THAM SỐ'!$B$21)*MIN(1,AO355/AG355),0)))</f>
        <v/>
      </c>
      <c r="AQ355" s="18"/>
    </row>
    <row r="356" spans="1:43" x14ac:dyDescent="0.45">
      <c r="A356" s="17"/>
      <c r="B356" s="18"/>
      <c r="C356" s="18"/>
      <c r="D356" s="25"/>
      <c r="E356" s="26"/>
      <c r="F356" s="26"/>
      <c r="G356" s="20"/>
      <c r="H356" s="20"/>
      <c r="I356" s="18"/>
      <c r="J356" s="18"/>
      <c r="K356" s="18"/>
      <c r="L356" s="18"/>
      <c r="M356" s="18"/>
      <c r="N356" s="18"/>
      <c r="O356" s="18"/>
      <c r="P356" s="18"/>
      <c r="Q356" s="18"/>
      <c r="R356" s="18"/>
      <c r="S356" s="18"/>
      <c r="T356" s="16" t="str">
        <f>IF($A356="","",COUNTIFS('LỆNH ĐIỀU XE'!$B$5:$B$604,$A356,'LỆNH ĐIỀU XE'!$C$5:$C$604,$B356))</f>
        <v/>
      </c>
      <c r="U356" s="27" t="str">
        <f>IF($A356="","",SUMIFS('LỆNH ĐIỀU XE'!$J$5:$J$604,'LỆNH ĐIỀU XE'!$B$5:$B$604,$A356,'LỆNH ĐIỀU XE'!$C$5:$C$604,$B356))</f>
        <v/>
      </c>
      <c r="V356" s="22" t="str">
        <f t="shared" si="50"/>
        <v/>
      </c>
      <c r="W356" s="28" t="str">
        <f t="shared" si="51"/>
        <v/>
      </c>
      <c r="X356" s="28" t="str">
        <f t="shared" si="52"/>
        <v/>
      </c>
      <c r="Y356" s="28" t="str">
        <f t="shared" si="53"/>
        <v/>
      </c>
      <c r="Z356" s="22" t="str">
        <f t="shared" si="54"/>
        <v/>
      </c>
      <c r="AA356" s="28" t="str">
        <f t="shared" si="55"/>
        <v/>
      </c>
      <c r="AB356" s="28" t="str">
        <f t="shared" si="56"/>
        <v/>
      </c>
      <c r="AC356" s="28" t="str">
        <f>IF($A356="","",SUMIFS('CHẶNG TĂNG CA'!$E$5:$E$304,'CHẶNG TĂNG CA'!$A$5:$A$304,$A356,'CHẶNG TĂNG CA'!$B$5:$B$304,$B356))</f>
        <v/>
      </c>
      <c r="AD356" s="28" t="str">
        <f>IF($A356="","",SUMIFS('CHẶNG TĂNG CA'!$F$5:$F$304,'CHẶNG TĂNG CA'!$A$5:$A$304,$A356,'CHẶNG TĂNG CA'!$B$5:$B$304,$B356))</f>
        <v/>
      </c>
      <c r="AE356" s="28" t="str">
        <f>IF($A356="","",SUMIFS('CHẶNG TĂNG CA'!$G$5:$G$304,'CHẶNG TĂNG CA'!$A$5:$A$304,$A356,'CHẶNG TĂNG CA'!$B$5:$B$304,$B356))</f>
        <v/>
      </c>
      <c r="AF356" s="28" t="str">
        <f>IF($A356="","",SUMIFS('CHẶNG TĂNG CA'!$H$5:$H$304,'CHẶNG TĂNG CA'!$A$5:$A$304,$A356,'CHẶNG TĂNG CA'!$B$5:$B$304,$B356))</f>
        <v/>
      </c>
      <c r="AG356" s="28" t="str">
        <f t="shared" si="57"/>
        <v/>
      </c>
      <c r="AH356" s="16" t="str">
        <f>IF($A356="","",IF(COUNTIFS('LỆNH ĐIỀU XE'!$B$5:$B$604,$A356,'LỆNH ĐIỀU XE'!$C$5:$C$604,$B356,'LỆNH ĐIỀU XE'!$N$5:$N$604,"Có")&gt;0,"Có","Không"))</f>
        <v/>
      </c>
      <c r="AI356" s="16" t="str">
        <f>IF(OR($A356="",H356="",N(T356)=0),"",IF(_xlfn.MAXIFS('LỆNH ĐIỀU XE'!$U$5:$U$604,'LỆNH ĐIỀU XE'!$B$5:$B$604,$A356,'LỆNH ĐIỀU XE'!$C$5:$C$604,$B356)=0,"",ROUND((H356+(H356&lt;4/24)-_xlfn.MAXIFS('LỆNH ĐIỀU XE'!$U$5:$U$604,'LỆNH ĐIỀU XE'!$B$5:$B$604,$A356,'LỆNH ĐIỀU XE'!$C$5:$C$604,$B356))*1440,0)))</f>
        <v/>
      </c>
      <c r="AJ356" s="16" t="str">
        <f>IF($A356="","",IF(OR(AI356="",V356=""),"Thiếu dữ liệu",IF(AND(AI356&lt;='THAM SỐ'!$B$29,ABS(V356)&lt;='THAM SỐ'!$B$28),"Đạt","Không đạt")))</f>
        <v/>
      </c>
      <c r="AK356" s="16" t="str">
        <f t="shared" si="58"/>
        <v/>
      </c>
      <c r="AL356" s="16" t="str">
        <f>IF($A356="","",TRIM(IF(T356=0,"Không có lệnh; ","")&amp;IF(N(N356)&gt;0,"Dừng ngoài lệnh; ","")&amp;IF(N(J356)&gt;0,"Quá tốc độ; ","")&amp;IF(N(K356)&gt;0,"Lái quá 4h; ","")&amp;IF(N(L356)&gt;0,"Không tắt máy; ","")&amp;IF(OR(P356&lt;&gt;"Đủ",Q356&lt;&gt;"Đủ",R356&lt;&gt;"Đủ"),"Thiếu ảnh; ","")&amp;IF(S356&lt;&gt;"Đạt","Lốp chưa đạt; ","")&amp;IF(N(W356)&gt;'THAM SỐ'!$B$27,"Có mặt quá giờ; ","")&amp;IF(N(X356)&gt;'THAM SỐ'!$B$25,"Lái quá giờ ngày; ","")&amp;IF(ISNUMBER(V356),IF(ABS(V356)&gt;'THAM SỐ'!$B$28,"Lệch km; ",""),"")))</f>
        <v/>
      </c>
      <c r="AM356" s="29"/>
      <c r="AN356" s="30"/>
      <c r="AO356" s="28" t="str">
        <f t="shared" si="59"/>
        <v/>
      </c>
      <c r="AP356" s="21" t="str">
        <f>IF(OR($A356="",AO356=""),"",IF(AG356=0,0,ROUND((AC356*'THAM SỐ'!$B$18+AD356*'THAM SỐ'!$B$19+AE356*'THAM SỐ'!$B$20+AF356*'THAM SỐ'!$B$21)*MIN(1,AO356/AG356),0)))</f>
        <v/>
      </c>
      <c r="AQ356" s="18"/>
    </row>
    <row r="357" spans="1:43" x14ac:dyDescent="0.45">
      <c r="A357" s="17"/>
      <c r="B357" s="18"/>
      <c r="C357" s="18"/>
      <c r="D357" s="25"/>
      <c r="E357" s="26"/>
      <c r="F357" s="26"/>
      <c r="G357" s="20"/>
      <c r="H357" s="20"/>
      <c r="I357" s="18"/>
      <c r="J357" s="18"/>
      <c r="K357" s="18"/>
      <c r="L357" s="18"/>
      <c r="M357" s="18"/>
      <c r="N357" s="18"/>
      <c r="O357" s="18"/>
      <c r="P357" s="18"/>
      <c r="Q357" s="18"/>
      <c r="R357" s="18"/>
      <c r="S357" s="18"/>
      <c r="T357" s="16" t="str">
        <f>IF($A357="","",COUNTIFS('LỆNH ĐIỀU XE'!$B$5:$B$604,$A357,'LỆNH ĐIỀU XE'!$C$5:$C$604,$B357))</f>
        <v/>
      </c>
      <c r="U357" s="27" t="str">
        <f>IF($A357="","",SUMIFS('LỆNH ĐIỀU XE'!$J$5:$J$604,'LỆNH ĐIỀU XE'!$B$5:$B$604,$A357,'LỆNH ĐIỀU XE'!$C$5:$C$604,$B357))</f>
        <v/>
      </c>
      <c r="V357" s="22" t="str">
        <f t="shared" si="50"/>
        <v/>
      </c>
      <c r="W357" s="28" t="str">
        <f t="shared" si="51"/>
        <v/>
      </c>
      <c r="X357" s="28" t="str">
        <f t="shared" si="52"/>
        <v/>
      </c>
      <c r="Y357" s="28" t="str">
        <f t="shared" si="53"/>
        <v/>
      </c>
      <c r="Z357" s="22" t="str">
        <f t="shared" si="54"/>
        <v/>
      </c>
      <c r="AA357" s="28" t="str">
        <f t="shared" si="55"/>
        <v/>
      </c>
      <c r="AB357" s="28" t="str">
        <f t="shared" si="56"/>
        <v/>
      </c>
      <c r="AC357" s="28" t="str">
        <f>IF($A357="","",SUMIFS('CHẶNG TĂNG CA'!$E$5:$E$304,'CHẶNG TĂNG CA'!$A$5:$A$304,$A357,'CHẶNG TĂNG CA'!$B$5:$B$304,$B357))</f>
        <v/>
      </c>
      <c r="AD357" s="28" t="str">
        <f>IF($A357="","",SUMIFS('CHẶNG TĂNG CA'!$F$5:$F$304,'CHẶNG TĂNG CA'!$A$5:$A$304,$A357,'CHẶNG TĂNG CA'!$B$5:$B$304,$B357))</f>
        <v/>
      </c>
      <c r="AE357" s="28" t="str">
        <f>IF($A357="","",SUMIFS('CHẶNG TĂNG CA'!$G$5:$G$304,'CHẶNG TĂNG CA'!$A$5:$A$304,$A357,'CHẶNG TĂNG CA'!$B$5:$B$304,$B357))</f>
        <v/>
      </c>
      <c r="AF357" s="28" t="str">
        <f>IF($A357="","",SUMIFS('CHẶNG TĂNG CA'!$H$5:$H$304,'CHẶNG TĂNG CA'!$A$5:$A$304,$A357,'CHẶNG TĂNG CA'!$B$5:$B$304,$B357))</f>
        <v/>
      </c>
      <c r="AG357" s="28" t="str">
        <f t="shared" si="57"/>
        <v/>
      </c>
      <c r="AH357" s="16" t="str">
        <f>IF($A357="","",IF(COUNTIFS('LỆNH ĐIỀU XE'!$B$5:$B$604,$A357,'LỆNH ĐIỀU XE'!$C$5:$C$604,$B357,'LỆNH ĐIỀU XE'!$N$5:$N$604,"Có")&gt;0,"Có","Không"))</f>
        <v/>
      </c>
      <c r="AI357" s="16" t="str">
        <f>IF(OR($A357="",H357="",N(T357)=0),"",IF(_xlfn.MAXIFS('LỆNH ĐIỀU XE'!$U$5:$U$604,'LỆNH ĐIỀU XE'!$B$5:$B$604,$A357,'LỆNH ĐIỀU XE'!$C$5:$C$604,$B357)=0,"",ROUND((H357+(H357&lt;4/24)-_xlfn.MAXIFS('LỆNH ĐIỀU XE'!$U$5:$U$604,'LỆNH ĐIỀU XE'!$B$5:$B$604,$A357,'LỆNH ĐIỀU XE'!$C$5:$C$604,$B357))*1440,0)))</f>
        <v/>
      </c>
      <c r="AJ357" s="16" t="str">
        <f>IF($A357="","",IF(OR(AI357="",V357=""),"Thiếu dữ liệu",IF(AND(AI357&lt;='THAM SỐ'!$B$29,ABS(V357)&lt;='THAM SỐ'!$B$28),"Đạt","Không đạt")))</f>
        <v/>
      </c>
      <c r="AK357" s="16" t="str">
        <f t="shared" si="58"/>
        <v/>
      </c>
      <c r="AL357" s="16" t="str">
        <f>IF($A357="","",TRIM(IF(T357=0,"Không có lệnh; ","")&amp;IF(N(N357)&gt;0,"Dừng ngoài lệnh; ","")&amp;IF(N(J357)&gt;0,"Quá tốc độ; ","")&amp;IF(N(K357)&gt;0,"Lái quá 4h; ","")&amp;IF(N(L357)&gt;0,"Không tắt máy; ","")&amp;IF(OR(P357&lt;&gt;"Đủ",Q357&lt;&gt;"Đủ",R357&lt;&gt;"Đủ"),"Thiếu ảnh; ","")&amp;IF(S357&lt;&gt;"Đạt","Lốp chưa đạt; ","")&amp;IF(N(W357)&gt;'THAM SỐ'!$B$27,"Có mặt quá giờ; ","")&amp;IF(N(X357)&gt;'THAM SỐ'!$B$25,"Lái quá giờ ngày; ","")&amp;IF(ISNUMBER(V357),IF(ABS(V357)&gt;'THAM SỐ'!$B$28,"Lệch km; ",""),"")))</f>
        <v/>
      </c>
      <c r="AM357" s="29"/>
      <c r="AN357" s="30"/>
      <c r="AO357" s="28" t="str">
        <f t="shared" si="59"/>
        <v/>
      </c>
      <c r="AP357" s="21" t="str">
        <f>IF(OR($A357="",AO357=""),"",IF(AG357=0,0,ROUND((AC357*'THAM SỐ'!$B$18+AD357*'THAM SỐ'!$B$19+AE357*'THAM SỐ'!$B$20+AF357*'THAM SỐ'!$B$21)*MIN(1,AO357/AG357),0)))</f>
        <v/>
      </c>
      <c r="AQ357" s="18"/>
    </row>
    <row r="358" spans="1:43" x14ac:dyDescent="0.45">
      <c r="A358" s="17"/>
      <c r="B358" s="18"/>
      <c r="C358" s="18"/>
      <c r="D358" s="25"/>
      <c r="E358" s="26"/>
      <c r="F358" s="26"/>
      <c r="G358" s="20"/>
      <c r="H358" s="20"/>
      <c r="I358" s="18"/>
      <c r="J358" s="18"/>
      <c r="K358" s="18"/>
      <c r="L358" s="18"/>
      <c r="M358" s="18"/>
      <c r="N358" s="18"/>
      <c r="O358" s="18"/>
      <c r="P358" s="18"/>
      <c r="Q358" s="18"/>
      <c r="R358" s="18"/>
      <c r="S358" s="18"/>
      <c r="T358" s="16" t="str">
        <f>IF($A358="","",COUNTIFS('LỆNH ĐIỀU XE'!$B$5:$B$604,$A358,'LỆNH ĐIỀU XE'!$C$5:$C$604,$B358))</f>
        <v/>
      </c>
      <c r="U358" s="27" t="str">
        <f>IF($A358="","",SUMIFS('LỆNH ĐIỀU XE'!$J$5:$J$604,'LỆNH ĐIỀU XE'!$B$5:$B$604,$A358,'LỆNH ĐIỀU XE'!$C$5:$C$604,$B358))</f>
        <v/>
      </c>
      <c r="V358" s="22" t="str">
        <f t="shared" si="50"/>
        <v/>
      </c>
      <c r="W358" s="28" t="str">
        <f t="shared" si="51"/>
        <v/>
      </c>
      <c r="X358" s="28" t="str">
        <f t="shared" si="52"/>
        <v/>
      </c>
      <c r="Y358" s="28" t="str">
        <f t="shared" si="53"/>
        <v/>
      </c>
      <c r="Z358" s="22" t="str">
        <f t="shared" si="54"/>
        <v/>
      </c>
      <c r="AA358" s="28" t="str">
        <f t="shared" si="55"/>
        <v/>
      </c>
      <c r="AB358" s="28" t="str">
        <f t="shared" si="56"/>
        <v/>
      </c>
      <c r="AC358" s="28" t="str">
        <f>IF($A358="","",SUMIFS('CHẶNG TĂNG CA'!$E$5:$E$304,'CHẶNG TĂNG CA'!$A$5:$A$304,$A358,'CHẶNG TĂNG CA'!$B$5:$B$304,$B358))</f>
        <v/>
      </c>
      <c r="AD358" s="28" t="str">
        <f>IF($A358="","",SUMIFS('CHẶNG TĂNG CA'!$F$5:$F$304,'CHẶNG TĂNG CA'!$A$5:$A$304,$A358,'CHẶNG TĂNG CA'!$B$5:$B$304,$B358))</f>
        <v/>
      </c>
      <c r="AE358" s="28" t="str">
        <f>IF($A358="","",SUMIFS('CHẶNG TĂNG CA'!$G$5:$G$304,'CHẶNG TĂNG CA'!$A$5:$A$304,$A358,'CHẶNG TĂNG CA'!$B$5:$B$304,$B358))</f>
        <v/>
      </c>
      <c r="AF358" s="28" t="str">
        <f>IF($A358="","",SUMIFS('CHẶNG TĂNG CA'!$H$5:$H$304,'CHẶNG TĂNG CA'!$A$5:$A$304,$A358,'CHẶNG TĂNG CA'!$B$5:$B$304,$B358))</f>
        <v/>
      </c>
      <c r="AG358" s="28" t="str">
        <f t="shared" si="57"/>
        <v/>
      </c>
      <c r="AH358" s="16" t="str">
        <f>IF($A358="","",IF(COUNTIFS('LỆNH ĐIỀU XE'!$B$5:$B$604,$A358,'LỆNH ĐIỀU XE'!$C$5:$C$604,$B358,'LỆNH ĐIỀU XE'!$N$5:$N$604,"Có")&gt;0,"Có","Không"))</f>
        <v/>
      </c>
      <c r="AI358" s="16" t="str">
        <f>IF(OR($A358="",H358="",N(T358)=0),"",IF(_xlfn.MAXIFS('LỆNH ĐIỀU XE'!$U$5:$U$604,'LỆNH ĐIỀU XE'!$B$5:$B$604,$A358,'LỆNH ĐIỀU XE'!$C$5:$C$604,$B358)=0,"",ROUND((H358+(H358&lt;4/24)-_xlfn.MAXIFS('LỆNH ĐIỀU XE'!$U$5:$U$604,'LỆNH ĐIỀU XE'!$B$5:$B$604,$A358,'LỆNH ĐIỀU XE'!$C$5:$C$604,$B358))*1440,0)))</f>
        <v/>
      </c>
      <c r="AJ358" s="16" t="str">
        <f>IF($A358="","",IF(OR(AI358="",V358=""),"Thiếu dữ liệu",IF(AND(AI358&lt;='THAM SỐ'!$B$29,ABS(V358)&lt;='THAM SỐ'!$B$28),"Đạt","Không đạt")))</f>
        <v/>
      </c>
      <c r="AK358" s="16" t="str">
        <f t="shared" si="58"/>
        <v/>
      </c>
      <c r="AL358" s="16" t="str">
        <f>IF($A358="","",TRIM(IF(T358=0,"Không có lệnh; ","")&amp;IF(N(N358)&gt;0,"Dừng ngoài lệnh; ","")&amp;IF(N(J358)&gt;0,"Quá tốc độ; ","")&amp;IF(N(K358)&gt;0,"Lái quá 4h; ","")&amp;IF(N(L358)&gt;0,"Không tắt máy; ","")&amp;IF(OR(P358&lt;&gt;"Đủ",Q358&lt;&gt;"Đủ",R358&lt;&gt;"Đủ"),"Thiếu ảnh; ","")&amp;IF(S358&lt;&gt;"Đạt","Lốp chưa đạt; ","")&amp;IF(N(W358)&gt;'THAM SỐ'!$B$27,"Có mặt quá giờ; ","")&amp;IF(N(X358)&gt;'THAM SỐ'!$B$25,"Lái quá giờ ngày; ","")&amp;IF(ISNUMBER(V358),IF(ABS(V358)&gt;'THAM SỐ'!$B$28,"Lệch km; ",""),"")))</f>
        <v/>
      </c>
      <c r="AM358" s="29"/>
      <c r="AN358" s="30"/>
      <c r="AO358" s="28" t="str">
        <f t="shared" si="59"/>
        <v/>
      </c>
      <c r="AP358" s="21" t="str">
        <f>IF(OR($A358="",AO358=""),"",IF(AG358=0,0,ROUND((AC358*'THAM SỐ'!$B$18+AD358*'THAM SỐ'!$B$19+AE358*'THAM SỐ'!$B$20+AF358*'THAM SỐ'!$B$21)*MIN(1,AO358/AG358),0)))</f>
        <v/>
      </c>
      <c r="AQ358" s="18"/>
    </row>
    <row r="359" spans="1:43" x14ac:dyDescent="0.45">
      <c r="A359" s="17"/>
      <c r="B359" s="18"/>
      <c r="C359" s="18"/>
      <c r="D359" s="25"/>
      <c r="E359" s="26"/>
      <c r="F359" s="26"/>
      <c r="G359" s="20"/>
      <c r="H359" s="20"/>
      <c r="I359" s="18"/>
      <c r="J359" s="18"/>
      <c r="K359" s="18"/>
      <c r="L359" s="18"/>
      <c r="M359" s="18"/>
      <c r="N359" s="18"/>
      <c r="O359" s="18"/>
      <c r="P359" s="18"/>
      <c r="Q359" s="18"/>
      <c r="R359" s="18"/>
      <c r="S359" s="18"/>
      <c r="T359" s="16" t="str">
        <f>IF($A359="","",COUNTIFS('LỆNH ĐIỀU XE'!$B$5:$B$604,$A359,'LỆNH ĐIỀU XE'!$C$5:$C$604,$B359))</f>
        <v/>
      </c>
      <c r="U359" s="27" t="str">
        <f>IF($A359="","",SUMIFS('LỆNH ĐIỀU XE'!$J$5:$J$604,'LỆNH ĐIỀU XE'!$B$5:$B$604,$A359,'LỆNH ĐIỀU XE'!$C$5:$C$604,$B359))</f>
        <v/>
      </c>
      <c r="V359" s="22" t="str">
        <f t="shared" si="50"/>
        <v/>
      </c>
      <c r="W359" s="28" t="str">
        <f t="shared" si="51"/>
        <v/>
      </c>
      <c r="X359" s="28" t="str">
        <f t="shared" si="52"/>
        <v/>
      </c>
      <c r="Y359" s="28" t="str">
        <f t="shared" si="53"/>
        <v/>
      </c>
      <c r="Z359" s="22" t="str">
        <f t="shared" si="54"/>
        <v/>
      </c>
      <c r="AA359" s="28" t="str">
        <f t="shared" si="55"/>
        <v/>
      </c>
      <c r="AB359" s="28" t="str">
        <f t="shared" si="56"/>
        <v/>
      </c>
      <c r="AC359" s="28" t="str">
        <f>IF($A359="","",SUMIFS('CHẶNG TĂNG CA'!$E$5:$E$304,'CHẶNG TĂNG CA'!$A$5:$A$304,$A359,'CHẶNG TĂNG CA'!$B$5:$B$304,$B359))</f>
        <v/>
      </c>
      <c r="AD359" s="28" t="str">
        <f>IF($A359="","",SUMIFS('CHẶNG TĂNG CA'!$F$5:$F$304,'CHẶNG TĂNG CA'!$A$5:$A$304,$A359,'CHẶNG TĂNG CA'!$B$5:$B$304,$B359))</f>
        <v/>
      </c>
      <c r="AE359" s="28" t="str">
        <f>IF($A359="","",SUMIFS('CHẶNG TĂNG CA'!$G$5:$G$304,'CHẶNG TĂNG CA'!$A$5:$A$304,$A359,'CHẶNG TĂNG CA'!$B$5:$B$304,$B359))</f>
        <v/>
      </c>
      <c r="AF359" s="28" t="str">
        <f>IF($A359="","",SUMIFS('CHẶNG TĂNG CA'!$H$5:$H$304,'CHẶNG TĂNG CA'!$A$5:$A$304,$A359,'CHẶNG TĂNG CA'!$B$5:$B$304,$B359))</f>
        <v/>
      </c>
      <c r="AG359" s="28" t="str">
        <f t="shared" si="57"/>
        <v/>
      </c>
      <c r="AH359" s="16" t="str">
        <f>IF($A359="","",IF(COUNTIFS('LỆNH ĐIỀU XE'!$B$5:$B$604,$A359,'LỆNH ĐIỀU XE'!$C$5:$C$604,$B359,'LỆNH ĐIỀU XE'!$N$5:$N$604,"Có")&gt;0,"Có","Không"))</f>
        <v/>
      </c>
      <c r="AI359" s="16" t="str">
        <f>IF(OR($A359="",H359="",N(T359)=0),"",IF(_xlfn.MAXIFS('LỆNH ĐIỀU XE'!$U$5:$U$604,'LỆNH ĐIỀU XE'!$B$5:$B$604,$A359,'LỆNH ĐIỀU XE'!$C$5:$C$604,$B359)=0,"",ROUND((H359+(H359&lt;4/24)-_xlfn.MAXIFS('LỆNH ĐIỀU XE'!$U$5:$U$604,'LỆNH ĐIỀU XE'!$B$5:$B$604,$A359,'LỆNH ĐIỀU XE'!$C$5:$C$604,$B359))*1440,0)))</f>
        <v/>
      </c>
      <c r="AJ359" s="16" t="str">
        <f>IF($A359="","",IF(OR(AI359="",V359=""),"Thiếu dữ liệu",IF(AND(AI359&lt;='THAM SỐ'!$B$29,ABS(V359)&lt;='THAM SỐ'!$B$28),"Đạt","Không đạt")))</f>
        <v/>
      </c>
      <c r="AK359" s="16" t="str">
        <f t="shared" si="58"/>
        <v/>
      </c>
      <c r="AL359" s="16" t="str">
        <f>IF($A359="","",TRIM(IF(T359=0,"Không có lệnh; ","")&amp;IF(N(N359)&gt;0,"Dừng ngoài lệnh; ","")&amp;IF(N(J359)&gt;0,"Quá tốc độ; ","")&amp;IF(N(K359)&gt;0,"Lái quá 4h; ","")&amp;IF(N(L359)&gt;0,"Không tắt máy; ","")&amp;IF(OR(P359&lt;&gt;"Đủ",Q359&lt;&gt;"Đủ",R359&lt;&gt;"Đủ"),"Thiếu ảnh; ","")&amp;IF(S359&lt;&gt;"Đạt","Lốp chưa đạt; ","")&amp;IF(N(W359)&gt;'THAM SỐ'!$B$27,"Có mặt quá giờ; ","")&amp;IF(N(X359)&gt;'THAM SỐ'!$B$25,"Lái quá giờ ngày; ","")&amp;IF(ISNUMBER(V359),IF(ABS(V359)&gt;'THAM SỐ'!$B$28,"Lệch km; ",""),"")))</f>
        <v/>
      </c>
      <c r="AM359" s="29"/>
      <c r="AN359" s="30"/>
      <c r="AO359" s="28" t="str">
        <f t="shared" si="59"/>
        <v/>
      </c>
      <c r="AP359" s="21" t="str">
        <f>IF(OR($A359="",AO359=""),"",IF(AG359=0,0,ROUND((AC359*'THAM SỐ'!$B$18+AD359*'THAM SỐ'!$B$19+AE359*'THAM SỐ'!$B$20+AF359*'THAM SỐ'!$B$21)*MIN(1,AO359/AG359),0)))</f>
        <v/>
      </c>
      <c r="AQ359" s="18"/>
    </row>
    <row r="360" spans="1:43" x14ac:dyDescent="0.45">
      <c r="A360" s="17"/>
      <c r="B360" s="18"/>
      <c r="C360" s="18"/>
      <c r="D360" s="25"/>
      <c r="E360" s="26"/>
      <c r="F360" s="26"/>
      <c r="G360" s="20"/>
      <c r="H360" s="20"/>
      <c r="I360" s="18"/>
      <c r="J360" s="18"/>
      <c r="K360" s="18"/>
      <c r="L360" s="18"/>
      <c r="M360" s="18"/>
      <c r="N360" s="18"/>
      <c r="O360" s="18"/>
      <c r="P360" s="18"/>
      <c r="Q360" s="18"/>
      <c r="R360" s="18"/>
      <c r="S360" s="18"/>
      <c r="T360" s="16" t="str">
        <f>IF($A360="","",COUNTIFS('LỆNH ĐIỀU XE'!$B$5:$B$604,$A360,'LỆNH ĐIỀU XE'!$C$5:$C$604,$B360))</f>
        <v/>
      </c>
      <c r="U360" s="27" t="str">
        <f>IF($A360="","",SUMIFS('LỆNH ĐIỀU XE'!$J$5:$J$604,'LỆNH ĐIỀU XE'!$B$5:$B$604,$A360,'LỆNH ĐIỀU XE'!$C$5:$C$604,$B360))</f>
        <v/>
      </c>
      <c r="V360" s="22" t="str">
        <f t="shared" si="50"/>
        <v/>
      </c>
      <c r="W360" s="28" t="str">
        <f t="shared" si="51"/>
        <v/>
      </c>
      <c r="X360" s="28" t="str">
        <f t="shared" si="52"/>
        <v/>
      </c>
      <c r="Y360" s="28" t="str">
        <f t="shared" si="53"/>
        <v/>
      </c>
      <c r="Z360" s="22" t="str">
        <f t="shared" si="54"/>
        <v/>
      </c>
      <c r="AA360" s="28" t="str">
        <f t="shared" si="55"/>
        <v/>
      </c>
      <c r="AB360" s="28" t="str">
        <f t="shared" si="56"/>
        <v/>
      </c>
      <c r="AC360" s="28" t="str">
        <f>IF($A360="","",SUMIFS('CHẶNG TĂNG CA'!$E$5:$E$304,'CHẶNG TĂNG CA'!$A$5:$A$304,$A360,'CHẶNG TĂNG CA'!$B$5:$B$304,$B360))</f>
        <v/>
      </c>
      <c r="AD360" s="28" t="str">
        <f>IF($A360="","",SUMIFS('CHẶNG TĂNG CA'!$F$5:$F$304,'CHẶNG TĂNG CA'!$A$5:$A$304,$A360,'CHẶNG TĂNG CA'!$B$5:$B$304,$B360))</f>
        <v/>
      </c>
      <c r="AE360" s="28" t="str">
        <f>IF($A360="","",SUMIFS('CHẶNG TĂNG CA'!$G$5:$G$304,'CHẶNG TĂNG CA'!$A$5:$A$304,$A360,'CHẶNG TĂNG CA'!$B$5:$B$304,$B360))</f>
        <v/>
      </c>
      <c r="AF360" s="28" t="str">
        <f>IF($A360="","",SUMIFS('CHẶNG TĂNG CA'!$H$5:$H$304,'CHẶNG TĂNG CA'!$A$5:$A$304,$A360,'CHẶNG TĂNG CA'!$B$5:$B$304,$B360))</f>
        <v/>
      </c>
      <c r="AG360" s="28" t="str">
        <f t="shared" si="57"/>
        <v/>
      </c>
      <c r="AH360" s="16" t="str">
        <f>IF($A360="","",IF(COUNTIFS('LỆNH ĐIỀU XE'!$B$5:$B$604,$A360,'LỆNH ĐIỀU XE'!$C$5:$C$604,$B360,'LỆNH ĐIỀU XE'!$N$5:$N$604,"Có")&gt;0,"Có","Không"))</f>
        <v/>
      </c>
      <c r="AI360" s="16" t="str">
        <f>IF(OR($A360="",H360="",N(T360)=0),"",IF(_xlfn.MAXIFS('LỆNH ĐIỀU XE'!$U$5:$U$604,'LỆNH ĐIỀU XE'!$B$5:$B$604,$A360,'LỆNH ĐIỀU XE'!$C$5:$C$604,$B360)=0,"",ROUND((H360+(H360&lt;4/24)-_xlfn.MAXIFS('LỆNH ĐIỀU XE'!$U$5:$U$604,'LỆNH ĐIỀU XE'!$B$5:$B$604,$A360,'LỆNH ĐIỀU XE'!$C$5:$C$604,$B360))*1440,0)))</f>
        <v/>
      </c>
      <c r="AJ360" s="16" t="str">
        <f>IF($A360="","",IF(OR(AI360="",V360=""),"Thiếu dữ liệu",IF(AND(AI360&lt;='THAM SỐ'!$B$29,ABS(V360)&lt;='THAM SỐ'!$B$28),"Đạt","Không đạt")))</f>
        <v/>
      </c>
      <c r="AK360" s="16" t="str">
        <f t="shared" si="58"/>
        <v/>
      </c>
      <c r="AL360" s="16" t="str">
        <f>IF($A360="","",TRIM(IF(T360=0,"Không có lệnh; ","")&amp;IF(N(N360)&gt;0,"Dừng ngoài lệnh; ","")&amp;IF(N(J360)&gt;0,"Quá tốc độ; ","")&amp;IF(N(K360)&gt;0,"Lái quá 4h; ","")&amp;IF(N(L360)&gt;0,"Không tắt máy; ","")&amp;IF(OR(P360&lt;&gt;"Đủ",Q360&lt;&gt;"Đủ",R360&lt;&gt;"Đủ"),"Thiếu ảnh; ","")&amp;IF(S360&lt;&gt;"Đạt","Lốp chưa đạt; ","")&amp;IF(N(W360)&gt;'THAM SỐ'!$B$27,"Có mặt quá giờ; ","")&amp;IF(N(X360)&gt;'THAM SỐ'!$B$25,"Lái quá giờ ngày; ","")&amp;IF(ISNUMBER(V360),IF(ABS(V360)&gt;'THAM SỐ'!$B$28,"Lệch km; ",""),"")))</f>
        <v/>
      </c>
      <c r="AM360" s="29"/>
      <c r="AN360" s="30"/>
      <c r="AO360" s="28" t="str">
        <f t="shared" si="59"/>
        <v/>
      </c>
      <c r="AP360" s="21" t="str">
        <f>IF(OR($A360="",AO360=""),"",IF(AG360=0,0,ROUND((AC360*'THAM SỐ'!$B$18+AD360*'THAM SỐ'!$B$19+AE360*'THAM SỐ'!$B$20+AF360*'THAM SỐ'!$B$21)*MIN(1,AO360/AG360),0)))</f>
        <v/>
      </c>
      <c r="AQ360" s="18"/>
    </row>
    <row r="361" spans="1:43" x14ac:dyDescent="0.45">
      <c r="A361" s="17"/>
      <c r="B361" s="18"/>
      <c r="C361" s="18"/>
      <c r="D361" s="25"/>
      <c r="E361" s="26"/>
      <c r="F361" s="26"/>
      <c r="G361" s="20"/>
      <c r="H361" s="20"/>
      <c r="I361" s="18"/>
      <c r="J361" s="18"/>
      <c r="K361" s="18"/>
      <c r="L361" s="18"/>
      <c r="M361" s="18"/>
      <c r="N361" s="18"/>
      <c r="O361" s="18"/>
      <c r="P361" s="18"/>
      <c r="Q361" s="18"/>
      <c r="R361" s="18"/>
      <c r="S361" s="18"/>
      <c r="T361" s="16" t="str">
        <f>IF($A361="","",COUNTIFS('LỆNH ĐIỀU XE'!$B$5:$B$604,$A361,'LỆNH ĐIỀU XE'!$C$5:$C$604,$B361))</f>
        <v/>
      </c>
      <c r="U361" s="27" t="str">
        <f>IF($A361="","",SUMIFS('LỆNH ĐIỀU XE'!$J$5:$J$604,'LỆNH ĐIỀU XE'!$B$5:$B$604,$A361,'LỆNH ĐIỀU XE'!$C$5:$C$604,$B361))</f>
        <v/>
      </c>
      <c r="V361" s="22" t="str">
        <f t="shared" si="50"/>
        <v/>
      </c>
      <c r="W361" s="28" t="str">
        <f t="shared" si="51"/>
        <v/>
      </c>
      <c r="X361" s="28" t="str">
        <f t="shared" si="52"/>
        <v/>
      </c>
      <c r="Y361" s="28" t="str">
        <f t="shared" si="53"/>
        <v/>
      </c>
      <c r="Z361" s="22" t="str">
        <f t="shared" si="54"/>
        <v/>
      </c>
      <c r="AA361" s="28" t="str">
        <f t="shared" si="55"/>
        <v/>
      </c>
      <c r="AB361" s="28" t="str">
        <f t="shared" si="56"/>
        <v/>
      </c>
      <c r="AC361" s="28" t="str">
        <f>IF($A361="","",SUMIFS('CHẶNG TĂNG CA'!$E$5:$E$304,'CHẶNG TĂNG CA'!$A$5:$A$304,$A361,'CHẶNG TĂNG CA'!$B$5:$B$304,$B361))</f>
        <v/>
      </c>
      <c r="AD361" s="28" t="str">
        <f>IF($A361="","",SUMIFS('CHẶNG TĂNG CA'!$F$5:$F$304,'CHẶNG TĂNG CA'!$A$5:$A$304,$A361,'CHẶNG TĂNG CA'!$B$5:$B$304,$B361))</f>
        <v/>
      </c>
      <c r="AE361" s="28" t="str">
        <f>IF($A361="","",SUMIFS('CHẶNG TĂNG CA'!$G$5:$G$304,'CHẶNG TĂNG CA'!$A$5:$A$304,$A361,'CHẶNG TĂNG CA'!$B$5:$B$304,$B361))</f>
        <v/>
      </c>
      <c r="AF361" s="28" t="str">
        <f>IF($A361="","",SUMIFS('CHẶNG TĂNG CA'!$H$5:$H$304,'CHẶNG TĂNG CA'!$A$5:$A$304,$A361,'CHẶNG TĂNG CA'!$B$5:$B$304,$B361))</f>
        <v/>
      </c>
      <c r="AG361" s="28" t="str">
        <f t="shared" si="57"/>
        <v/>
      </c>
      <c r="AH361" s="16" t="str">
        <f>IF($A361="","",IF(COUNTIFS('LỆNH ĐIỀU XE'!$B$5:$B$604,$A361,'LỆNH ĐIỀU XE'!$C$5:$C$604,$B361,'LỆNH ĐIỀU XE'!$N$5:$N$604,"Có")&gt;0,"Có","Không"))</f>
        <v/>
      </c>
      <c r="AI361" s="16" t="str">
        <f>IF(OR($A361="",H361="",N(T361)=0),"",IF(_xlfn.MAXIFS('LỆNH ĐIỀU XE'!$U$5:$U$604,'LỆNH ĐIỀU XE'!$B$5:$B$604,$A361,'LỆNH ĐIỀU XE'!$C$5:$C$604,$B361)=0,"",ROUND((H361+(H361&lt;4/24)-_xlfn.MAXIFS('LỆNH ĐIỀU XE'!$U$5:$U$604,'LỆNH ĐIỀU XE'!$B$5:$B$604,$A361,'LỆNH ĐIỀU XE'!$C$5:$C$604,$B361))*1440,0)))</f>
        <v/>
      </c>
      <c r="AJ361" s="16" t="str">
        <f>IF($A361="","",IF(OR(AI361="",V361=""),"Thiếu dữ liệu",IF(AND(AI361&lt;='THAM SỐ'!$B$29,ABS(V361)&lt;='THAM SỐ'!$B$28),"Đạt","Không đạt")))</f>
        <v/>
      </c>
      <c r="AK361" s="16" t="str">
        <f t="shared" si="58"/>
        <v/>
      </c>
      <c r="AL361" s="16" t="str">
        <f>IF($A361="","",TRIM(IF(T361=0,"Không có lệnh; ","")&amp;IF(N(N361)&gt;0,"Dừng ngoài lệnh; ","")&amp;IF(N(J361)&gt;0,"Quá tốc độ; ","")&amp;IF(N(K361)&gt;0,"Lái quá 4h; ","")&amp;IF(N(L361)&gt;0,"Không tắt máy; ","")&amp;IF(OR(P361&lt;&gt;"Đủ",Q361&lt;&gt;"Đủ",R361&lt;&gt;"Đủ"),"Thiếu ảnh; ","")&amp;IF(S361&lt;&gt;"Đạt","Lốp chưa đạt; ","")&amp;IF(N(W361)&gt;'THAM SỐ'!$B$27,"Có mặt quá giờ; ","")&amp;IF(N(X361)&gt;'THAM SỐ'!$B$25,"Lái quá giờ ngày; ","")&amp;IF(ISNUMBER(V361),IF(ABS(V361)&gt;'THAM SỐ'!$B$28,"Lệch km; ",""),"")))</f>
        <v/>
      </c>
      <c r="AM361" s="29"/>
      <c r="AN361" s="30"/>
      <c r="AO361" s="28" t="str">
        <f t="shared" si="59"/>
        <v/>
      </c>
      <c r="AP361" s="21" t="str">
        <f>IF(OR($A361="",AO361=""),"",IF(AG361=0,0,ROUND((AC361*'THAM SỐ'!$B$18+AD361*'THAM SỐ'!$B$19+AE361*'THAM SỐ'!$B$20+AF361*'THAM SỐ'!$B$21)*MIN(1,AO361/AG361),0)))</f>
        <v/>
      </c>
      <c r="AQ361" s="18"/>
    </row>
    <row r="362" spans="1:43" x14ac:dyDescent="0.45">
      <c r="A362" s="17"/>
      <c r="B362" s="18"/>
      <c r="C362" s="18"/>
      <c r="D362" s="25"/>
      <c r="E362" s="26"/>
      <c r="F362" s="26"/>
      <c r="G362" s="20"/>
      <c r="H362" s="20"/>
      <c r="I362" s="18"/>
      <c r="J362" s="18"/>
      <c r="K362" s="18"/>
      <c r="L362" s="18"/>
      <c r="M362" s="18"/>
      <c r="N362" s="18"/>
      <c r="O362" s="18"/>
      <c r="P362" s="18"/>
      <c r="Q362" s="18"/>
      <c r="R362" s="18"/>
      <c r="S362" s="18"/>
      <c r="T362" s="16" t="str">
        <f>IF($A362="","",COUNTIFS('LỆNH ĐIỀU XE'!$B$5:$B$604,$A362,'LỆNH ĐIỀU XE'!$C$5:$C$604,$B362))</f>
        <v/>
      </c>
      <c r="U362" s="27" t="str">
        <f>IF($A362="","",SUMIFS('LỆNH ĐIỀU XE'!$J$5:$J$604,'LỆNH ĐIỀU XE'!$B$5:$B$604,$A362,'LỆNH ĐIỀU XE'!$C$5:$C$604,$B362))</f>
        <v/>
      </c>
      <c r="V362" s="22" t="str">
        <f t="shared" si="50"/>
        <v/>
      </c>
      <c r="W362" s="28" t="str">
        <f t="shared" si="51"/>
        <v/>
      </c>
      <c r="X362" s="28" t="str">
        <f t="shared" si="52"/>
        <v/>
      </c>
      <c r="Y362" s="28" t="str">
        <f t="shared" si="53"/>
        <v/>
      </c>
      <c r="Z362" s="22" t="str">
        <f t="shared" si="54"/>
        <v/>
      </c>
      <c r="AA362" s="28" t="str">
        <f t="shared" si="55"/>
        <v/>
      </c>
      <c r="AB362" s="28" t="str">
        <f t="shared" si="56"/>
        <v/>
      </c>
      <c r="AC362" s="28" t="str">
        <f>IF($A362="","",SUMIFS('CHẶNG TĂNG CA'!$E$5:$E$304,'CHẶNG TĂNG CA'!$A$5:$A$304,$A362,'CHẶNG TĂNG CA'!$B$5:$B$304,$B362))</f>
        <v/>
      </c>
      <c r="AD362" s="28" t="str">
        <f>IF($A362="","",SUMIFS('CHẶNG TĂNG CA'!$F$5:$F$304,'CHẶNG TĂNG CA'!$A$5:$A$304,$A362,'CHẶNG TĂNG CA'!$B$5:$B$304,$B362))</f>
        <v/>
      </c>
      <c r="AE362" s="28" t="str">
        <f>IF($A362="","",SUMIFS('CHẶNG TĂNG CA'!$G$5:$G$304,'CHẶNG TĂNG CA'!$A$5:$A$304,$A362,'CHẶNG TĂNG CA'!$B$5:$B$304,$B362))</f>
        <v/>
      </c>
      <c r="AF362" s="28" t="str">
        <f>IF($A362="","",SUMIFS('CHẶNG TĂNG CA'!$H$5:$H$304,'CHẶNG TĂNG CA'!$A$5:$A$304,$A362,'CHẶNG TĂNG CA'!$B$5:$B$304,$B362))</f>
        <v/>
      </c>
      <c r="AG362" s="28" t="str">
        <f t="shared" si="57"/>
        <v/>
      </c>
      <c r="AH362" s="16" t="str">
        <f>IF($A362="","",IF(COUNTIFS('LỆNH ĐIỀU XE'!$B$5:$B$604,$A362,'LỆNH ĐIỀU XE'!$C$5:$C$604,$B362,'LỆNH ĐIỀU XE'!$N$5:$N$604,"Có")&gt;0,"Có","Không"))</f>
        <v/>
      </c>
      <c r="AI362" s="16" t="str">
        <f>IF(OR($A362="",H362="",N(T362)=0),"",IF(_xlfn.MAXIFS('LỆNH ĐIỀU XE'!$U$5:$U$604,'LỆNH ĐIỀU XE'!$B$5:$B$604,$A362,'LỆNH ĐIỀU XE'!$C$5:$C$604,$B362)=0,"",ROUND((H362+(H362&lt;4/24)-_xlfn.MAXIFS('LỆNH ĐIỀU XE'!$U$5:$U$604,'LỆNH ĐIỀU XE'!$B$5:$B$604,$A362,'LỆNH ĐIỀU XE'!$C$5:$C$604,$B362))*1440,0)))</f>
        <v/>
      </c>
      <c r="AJ362" s="16" t="str">
        <f>IF($A362="","",IF(OR(AI362="",V362=""),"Thiếu dữ liệu",IF(AND(AI362&lt;='THAM SỐ'!$B$29,ABS(V362)&lt;='THAM SỐ'!$B$28),"Đạt","Không đạt")))</f>
        <v/>
      </c>
      <c r="AK362" s="16" t="str">
        <f t="shared" si="58"/>
        <v/>
      </c>
      <c r="AL362" s="16" t="str">
        <f>IF($A362="","",TRIM(IF(T362=0,"Không có lệnh; ","")&amp;IF(N(N362)&gt;0,"Dừng ngoài lệnh; ","")&amp;IF(N(J362)&gt;0,"Quá tốc độ; ","")&amp;IF(N(K362)&gt;0,"Lái quá 4h; ","")&amp;IF(N(L362)&gt;0,"Không tắt máy; ","")&amp;IF(OR(P362&lt;&gt;"Đủ",Q362&lt;&gt;"Đủ",R362&lt;&gt;"Đủ"),"Thiếu ảnh; ","")&amp;IF(S362&lt;&gt;"Đạt","Lốp chưa đạt; ","")&amp;IF(N(W362)&gt;'THAM SỐ'!$B$27,"Có mặt quá giờ; ","")&amp;IF(N(X362)&gt;'THAM SỐ'!$B$25,"Lái quá giờ ngày; ","")&amp;IF(ISNUMBER(V362),IF(ABS(V362)&gt;'THAM SỐ'!$B$28,"Lệch km; ",""),"")))</f>
        <v/>
      </c>
      <c r="AM362" s="29"/>
      <c r="AN362" s="30"/>
      <c r="AO362" s="28" t="str">
        <f t="shared" si="59"/>
        <v/>
      </c>
      <c r="AP362" s="21" t="str">
        <f>IF(OR($A362="",AO362=""),"",IF(AG362=0,0,ROUND((AC362*'THAM SỐ'!$B$18+AD362*'THAM SỐ'!$B$19+AE362*'THAM SỐ'!$B$20+AF362*'THAM SỐ'!$B$21)*MIN(1,AO362/AG362),0)))</f>
        <v/>
      </c>
      <c r="AQ362" s="18"/>
    </row>
    <row r="363" spans="1:43" x14ac:dyDescent="0.45">
      <c r="A363" s="17"/>
      <c r="B363" s="18"/>
      <c r="C363" s="18"/>
      <c r="D363" s="25"/>
      <c r="E363" s="26"/>
      <c r="F363" s="26"/>
      <c r="G363" s="20"/>
      <c r="H363" s="20"/>
      <c r="I363" s="18"/>
      <c r="J363" s="18"/>
      <c r="K363" s="18"/>
      <c r="L363" s="18"/>
      <c r="M363" s="18"/>
      <c r="N363" s="18"/>
      <c r="O363" s="18"/>
      <c r="P363" s="18"/>
      <c r="Q363" s="18"/>
      <c r="R363" s="18"/>
      <c r="S363" s="18"/>
      <c r="T363" s="16" t="str">
        <f>IF($A363="","",COUNTIFS('LỆNH ĐIỀU XE'!$B$5:$B$604,$A363,'LỆNH ĐIỀU XE'!$C$5:$C$604,$B363))</f>
        <v/>
      </c>
      <c r="U363" s="27" t="str">
        <f>IF($A363="","",SUMIFS('LỆNH ĐIỀU XE'!$J$5:$J$604,'LỆNH ĐIỀU XE'!$B$5:$B$604,$A363,'LỆNH ĐIỀU XE'!$C$5:$C$604,$B363))</f>
        <v/>
      </c>
      <c r="V363" s="22" t="str">
        <f t="shared" si="50"/>
        <v/>
      </c>
      <c r="W363" s="28" t="str">
        <f t="shared" si="51"/>
        <v/>
      </c>
      <c r="X363" s="28" t="str">
        <f t="shared" si="52"/>
        <v/>
      </c>
      <c r="Y363" s="28" t="str">
        <f t="shared" si="53"/>
        <v/>
      </c>
      <c r="Z363" s="22" t="str">
        <f t="shared" si="54"/>
        <v/>
      </c>
      <c r="AA363" s="28" t="str">
        <f t="shared" si="55"/>
        <v/>
      </c>
      <c r="AB363" s="28" t="str">
        <f t="shared" si="56"/>
        <v/>
      </c>
      <c r="AC363" s="28" t="str">
        <f>IF($A363="","",SUMIFS('CHẶNG TĂNG CA'!$E$5:$E$304,'CHẶNG TĂNG CA'!$A$5:$A$304,$A363,'CHẶNG TĂNG CA'!$B$5:$B$304,$B363))</f>
        <v/>
      </c>
      <c r="AD363" s="28" t="str">
        <f>IF($A363="","",SUMIFS('CHẶNG TĂNG CA'!$F$5:$F$304,'CHẶNG TĂNG CA'!$A$5:$A$304,$A363,'CHẶNG TĂNG CA'!$B$5:$B$304,$B363))</f>
        <v/>
      </c>
      <c r="AE363" s="28" t="str">
        <f>IF($A363="","",SUMIFS('CHẶNG TĂNG CA'!$G$5:$G$304,'CHẶNG TĂNG CA'!$A$5:$A$304,$A363,'CHẶNG TĂNG CA'!$B$5:$B$304,$B363))</f>
        <v/>
      </c>
      <c r="AF363" s="28" t="str">
        <f>IF($A363="","",SUMIFS('CHẶNG TĂNG CA'!$H$5:$H$304,'CHẶNG TĂNG CA'!$A$5:$A$304,$A363,'CHẶNG TĂNG CA'!$B$5:$B$304,$B363))</f>
        <v/>
      </c>
      <c r="AG363" s="28" t="str">
        <f t="shared" si="57"/>
        <v/>
      </c>
      <c r="AH363" s="16" t="str">
        <f>IF($A363="","",IF(COUNTIFS('LỆNH ĐIỀU XE'!$B$5:$B$604,$A363,'LỆNH ĐIỀU XE'!$C$5:$C$604,$B363,'LỆNH ĐIỀU XE'!$N$5:$N$604,"Có")&gt;0,"Có","Không"))</f>
        <v/>
      </c>
      <c r="AI363" s="16" t="str">
        <f>IF(OR($A363="",H363="",N(T363)=0),"",IF(_xlfn.MAXIFS('LỆNH ĐIỀU XE'!$U$5:$U$604,'LỆNH ĐIỀU XE'!$B$5:$B$604,$A363,'LỆNH ĐIỀU XE'!$C$5:$C$604,$B363)=0,"",ROUND((H363+(H363&lt;4/24)-_xlfn.MAXIFS('LỆNH ĐIỀU XE'!$U$5:$U$604,'LỆNH ĐIỀU XE'!$B$5:$B$604,$A363,'LỆNH ĐIỀU XE'!$C$5:$C$604,$B363))*1440,0)))</f>
        <v/>
      </c>
      <c r="AJ363" s="16" t="str">
        <f>IF($A363="","",IF(OR(AI363="",V363=""),"Thiếu dữ liệu",IF(AND(AI363&lt;='THAM SỐ'!$B$29,ABS(V363)&lt;='THAM SỐ'!$B$28),"Đạt","Không đạt")))</f>
        <v/>
      </c>
      <c r="AK363" s="16" t="str">
        <f t="shared" si="58"/>
        <v/>
      </c>
      <c r="AL363" s="16" t="str">
        <f>IF($A363="","",TRIM(IF(T363=0,"Không có lệnh; ","")&amp;IF(N(N363)&gt;0,"Dừng ngoài lệnh; ","")&amp;IF(N(J363)&gt;0,"Quá tốc độ; ","")&amp;IF(N(K363)&gt;0,"Lái quá 4h; ","")&amp;IF(N(L363)&gt;0,"Không tắt máy; ","")&amp;IF(OR(P363&lt;&gt;"Đủ",Q363&lt;&gt;"Đủ",R363&lt;&gt;"Đủ"),"Thiếu ảnh; ","")&amp;IF(S363&lt;&gt;"Đạt","Lốp chưa đạt; ","")&amp;IF(N(W363)&gt;'THAM SỐ'!$B$27,"Có mặt quá giờ; ","")&amp;IF(N(X363)&gt;'THAM SỐ'!$B$25,"Lái quá giờ ngày; ","")&amp;IF(ISNUMBER(V363),IF(ABS(V363)&gt;'THAM SỐ'!$B$28,"Lệch km; ",""),"")))</f>
        <v/>
      </c>
      <c r="AM363" s="29"/>
      <c r="AN363" s="30"/>
      <c r="AO363" s="28" t="str">
        <f t="shared" si="59"/>
        <v/>
      </c>
      <c r="AP363" s="21" t="str">
        <f>IF(OR($A363="",AO363=""),"",IF(AG363=0,0,ROUND((AC363*'THAM SỐ'!$B$18+AD363*'THAM SỐ'!$B$19+AE363*'THAM SỐ'!$B$20+AF363*'THAM SỐ'!$B$21)*MIN(1,AO363/AG363),0)))</f>
        <v/>
      </c>
      <c r="AQ363" s="18"/>
    </row>
    <row r="364" spans="1:43" x14ac:dyDescent="0.45">
      <c r="A364" s="17"/>
      <c r="B364" s="18"/>
      <c r="C364" s="18"/>
      <c r="D364" s="25"/>
      <c r="E364" s="26"/>
      <c r="F364" s="26"/>
      <c r="G364" s="20"/>
      <c r="H364" s="20"/>
      <c r="I364" s="18"/>
      <c r="J364" s="18"/>
      <c r="K364" s="18"/>
      <c r="L364" s="18"/>
      <c r="M364" s="18"/>
      <c r="N364" s="18"/>
      <c r="O364" s="18"/>
      <c r="P364" s="18"/>
      <c r="Q364" s="18"/>
      <c r="R364" s="18"/>
      <c r="S364" s="18"/>
      <c r="T364" s="16" t="str">
        <f>IF($A364="","",COUNTIFS('LỆNH ĐIỀU XE'!$B$5:$B$604,$A364,'LỆNH ĐIỀU XE'!$C$5:$C$604,$B364))</f>
        <v/>
      </c>
      <c r="U364" s="27" t="str">
        <f>IF($A364="","",SUMIFS('LỆNH ĐIỀU XE'!$J$5:$J$604,'LỆNH ĐIỀU XE'!$B$5:$B$604,$A364,'LỆNH ĐIỀU XE'!$C$5:$C$604,$B364))</f>
        <v/>
      </c>
      <c r="V364" s="22" t="str">
        <f t="shared" si="50"/>
        <v/>
      </c>
      <c r="W364" s="28" t="str">
        <f t="shared" si="51"/>
        <v/>
      </c>
      <c r="X364" s="28" t="str">
        <f t="shared" si="52"/>
        <v/>
      </c>
      <c r="Y364" s="28" t="str">
        <f t="shared" si="53"/>
        <v/>
      </c>
      <c r="Z364" s="22" t="str">
        <f t="shared" si="54"/>
        <v/>
      </c>
      <c r="AA364" s="28" t="str">
        <f t="shared" si="55"/>
        <v/>
      </c>
      <c r="AB364" s="28" t="str">
        <f t="shared" si="56"/>
        <v/>
      </c>
      <c r="AC364" s="28" t="str">
        <f>IF($A364="","",SUMIFS('CHẶNG TĂNG CA'!$E$5:$E$304,'CHẶNG TĂNG CA'!$A$5:$A$304,$A364,'CHẶNG TĂNG CA'!$B$5:$B$304,$B364))</f>
        <v/>
      </c>
      <c r="AD364" s="28" t="str">
        <f>IF($A364="","",SUMIFS('CHẶNG TĂNG CA'!$F$5:$F$304,'CHẶNG TĂNG CA'!$A$5:$A$304,$A364,'CHẶNG TĂNG CA'!$B$5:$B$304,$B364))</f>
        <v/>
      </c>
      <c r="AE364" s="28" t="str">
        <f>IF($A364="","",SUMIFS('CHẶNG TĂNG CA'!$G$5:$G$304,'CHẶNG TĂNG CA'!$A$5:$A$304,$A364,'CHẶNG TĂNG CA'!$B$5:$B$304,$B364))</f>
        <v/>
      </c>
      <c r="AF364" s="28" t="str">
        <f>IF($A364="","",SUMIFS('CHẶNG TĂNG CA'!$H$5:$H$304,'CHẶNG TĂNG CA'!$A$5:$A$304,$A364,'CHẶNG TĂNG CA'!$B$5:$B$304,$B364))</f>
        <v/>
      </c>
      <c r="AG364" s="28" t="str">
        <f t="shared" si="57"/>
        <v/>
      </c>
      <c r="AH364" s="16" t="str">
        <f>IF($A364="","",IF(COUNTIFS('LỆNH ĐIỀU XE'!$B$5:$B$604,$A364,'LỆNH ĐIỀU XE'!$C$5:$C$604,$B364,'LỆNH ĐIỀU XE'!$N$5:$N$604,"Có")&gt;0,"Có","Không"))</f>
        <v/>
      </c>
      <c r="AI364" s="16" t="str">
        <f>IF(OR($A364="",H364="",N(T364)=0),"",IF(_xlfn.MAXIFS('LỆNH ĐIỀU XE'!$U$5:$U$604,'LỆNH ĐIỀU XE'!$B$5:$B$604,$A364,'LỆNH ĐIỀU XE'!$C$5:$C$604,$B364)=0,"",ROUND((H364+(H364&lt;4/24)-_xlfn.MAXIFS('LỆNH ĐIỀU XE'!$U$5:$U$604,'LỆNH ĐIỀU XE'!$B$5:$B$604,$A364,'LỆNH ĐIỀU XE'!$C$5:$C$604,$B364))*1440,0)))</f>
        <v/>
      </c>
      <c r="AJ364" s="16" t="str">
        <f>IF($A364="","",IF(OR(AI364="",V364=""),"Thiếu dữ liệu",IF(AND(AI364&lt;='THAM SỐ'!$B$29,ABS(V364)&lt;='THAM SỐ'!$B$28),"Đạt","Không đạt")))</f>
        <v/>
      </c>
      <c r="AK364" s="16" t="str">
        <f t="shared" si="58"/>
        <v/>
      </c>
      <c r="AL364" s="16" t="str">
        <f>IF($A364="","",TRIM(IF(T364=0,"Không có lệnh; ","")&amp;IF(N(N364)&gt;0,"Dừng ngoài lệnh; ","")&amp;IF(N(J364)&gt;0,"Quá tốc độ; ","")&amp;IF(N(K364)&gt;0,"Lái quá 4h; ","")&amp;IF(N(L364)&gt;0,"Không tắt máy; ","")&amp;IF(OR(P364&lt;&gt;"Đủ",Q364&lt;&gt;"Đủ",R364&lt;&gt;"Đủ"),"Thiếu ảnh; ","")&amp;IF(S364&lt;&gt;"Đạt","Lốp chưa đạt; ","")&amp;IF(N(W364)&gt;'THAM SỐ'!$B$27,"Có mặt quá giờ; ","")&amp;IF(N(X364)&gt;'THAM SỐ'!$B$25,"Lái quá giờ ngày; ","")&amp;IF(ISNUMBER(V364),IF(ABS(V364)&gt;'THAM SỐ'!$B$28,"Lệch km; ",""),"")))</f>
        <v/>
      </c>
      <c r="AM364" s="29"/>
      <c r="AN364" s="30"/>
      <c r="AO364" s="28" t="str">
        <f t="shared" si="59"/>
        <v/>
      </c>
      <c r="AP364" s="21" t="str">
        <f>IF(OR($A364="",AO364=""),"",IF(AG364=0,0,ROUND((AC364*'THAM SỐ'!$B$18+AD364*'THAM SỐ'!$B$19+AE364*'THAM SỐ'!$B$20+AF364*'THAM SỐ'!$B$21)*MIN(1,AO364/AG364),0)))</f>
        <v/>
      </c>
      <c r="AQ364" s="18"/>
    </row>
    <row r="365" spans="1:43" x14ac:dyDescent="0.45">
      <c r="A365" s="17"/>
      <c r="B365" s="18"/>
      <c r="C365" s="18"/>
      <c r="D365" s="25"/>
      <c r="E365" s="26"/>
      <c r="F365" s="26"/>
      <c r="G365" s="20"/>
      <c r="H365" s="20"/>
      <c r="I365" s="18"/>
      <c r="J365" s="18"/>
      <c r="K365" s="18"/>
      <c r="L365" s="18"/>
      <c r="M365" s="18"/>
      <c r="N365" s="18"/>
      <c r="O365" s="18"/>
      <c r="P365" s="18"/>
      <c r="Q365" s="18"/>
      <c r="R365" s="18"/>
      <c r="S365" s="18"/>
      <c r="T365" s="16" t="str">
        <f>IF($A365="","",COUNTIFS('LỆNH ĐIỀU XE'!$B$5:$B$604,$A365,'LỆNH ĐIỀU XE'!$C$5:$C$604,$B365))</f>
        <v/>
      </c>
      <c r="U365" s="27" t="str">
        <f>IF($A365="","",SUMIFS('LỆNH ĐIỀU XE'!$J$5:$J$604,'LỆNH ĐIỀU XE'!$B$5:$B$604,$A365,'LỆNH ĐIỀU XE'!$C$5:$C$604,$B365))</f>
        <v/>
      </c>
      <c r="V365" s="22" t="str">
        <f t="shared" si="50"/>
        <v/>
      </c>
      <c r="W365" s="28" t="str">
        <f t="shared" si="51"/>
        <v/>
      </c>
      <c r="X365" s="28" t="str">
        <f t="shared" si="52"/>
        <v/>
      </c>
      <c r="Y365" s="28" t="str">
        <f t="shared" si="53"/>
        <v/>
      </c>
      <c r="Z365" s="22" t="str">
        <f t="shared" si="54"/>
        <v/>
      </c>
      <c r="AA365" s="28" t="str">
        <f t="shared" si="55"/>
        <v/>
      </c>
      <c r="AB365" s="28" t="str">
        <f t="shared" si="56"/>
        <v/>
      </c>
      <c r="AC365" s="28" t="str">
        <f>IF($A365="","",SUMIFS('CHẶNG TĂNG CA'!$E$5:$E$304,'CHẶNG TĂNG CA'!$A$5:$A$304,$A365,'CHẶNG TĂNG CA'!$B$5:$B$304,$B365))</f>
        <v/>
      </c>
      <c r="AD365" s="28" t="str">
        <f>IF($A365="","",SUMIFS('CHẶNG TĂNG CA'!$F$5:$F$304,'CHẶNG TĂNG CA'!$A$5:$A$304,$A365,'CHẶNG TĂNG CA'!$B$5:$B$304,$B365))</f>
        <v/>
      </c>
      <c r="AE365" s="28" t="str">
        <f>IF($A365="","",SUMIFS('CHẶNG TĂNG CA'!$G$5:$G$304,'CHẶNG TĂNG CA'!$A$5:$A$304,$A365,'CHẶNG TĂNG CA'!$B$5:$B$304,$B365))</f>
        <v/>
      </c>
      <c r="AF365" s="28" t="str">
        <f>IF($A365="","",SUMIFS('CHẶNG TĂNG CA'!$H$5:$H$304,'CHẶNG TĂNG CA'!$A$5:$A$304,$A365,'CHẶNG TĂNG CA'!$B$5:$B$304,$B365))</f>
        <v/>
      </c>
      <c r="AG365" s="28" t="str">
        <f t="shared" si="57"/>
        <v/>
      </c>
      <c r="AH365" s="16" t="str">
        <f>IF($A365="","",IF(COUNTIFS('LỆNH ĐIỀU XE'!$B$5:$B$604,$A365,'LỆNH ĐIỀU XE'!$C$5:$C$604,$B365,'LỆNH ĐIỀU XE'!$N$5:$N$604,"Có")&gt;0,"Có","Không"))</f>
        <v/>
      </c>
      <c r="AI365" s="16" t="str">
        <f>IF(OR($A365="",H365="",N(T365)=0),"",IF(_xlfn.MAXIFS('LỆNH ĐIỀU XE'!$U$5:$U$604,'LỆNH ĐIỀU XE'!$B$5:$B$604,$A365,'LỆNH ĐIỀU XE'!$C$5:$C$604,$B365)=0,"",ROUND((H365+(H365&lt;4/24)-_xlfn.MAXIFS('LỆNH ĐIỀU XE'!$U$5:$U$604,'LỆNH ĐIỀU XE'!$B$5:$B$604,$A365,'LỆNH ĐIỀU XE'!$C$5:$C$604,$B365))*1440,0)))</f>
        <v/>
      </c>
      <c r="AJ365" s="16" t="str">
        <f>IF($A365="","",IF(OR(AI365="",V365=""),"Thiếu dữ liệu",IF(AND(AI365&lt;='THAM SỐ'!$B$29,ABS(V365)&lt;='THAM SỐ'!$B$28),"Đạt","Không đạt")))</f>
        <v/>
      </c>
      <c r="AK365" s="16" t="str">
        <f t="shared" si="58"/>
        <v/>
      </c>
      <c r="AL365" s="16" t="str">
        <f>IF($A365="","",TRIM(IF(T365=0,"Không có lệnh; ","")&amp;IF(N(N365)&gt;0,"Dừng ngoài lệnh; ","")&amp;IF(N(J365)&gt;0,"Quá tốc độ; ","")&amp;IF(N(K365)&gt;0,"Lái quá 4h; ","")&amp;IF(N(L365)&gt;0,"Không tắt máy; ","")&amp;IF(OR(P365&lt;&gt;"Đủ",Q365&lt;&gt;"Đủ",R365&lt;&gt;"Đủ"),"Thiếu ảnh; ","")&amp;IF(S365&lt;&gt;"Đạt","Lốp chưa đạt; ","")&amp;IF(N(W365)&gt;'THAM SỐ'!$B$27,"Có mặt quá giờ; ","")&amp;IF(N(X365)&gt;'THAM SỐ'!$B$25,"Lái quá giờ ngày; ","")&amp;IF(ISNUMBER(V365),IF(ABS(V365)&gt;'THAM SỐ'!$B$28,"Lệch km; ",""),"")))</f>
        <v/>
      </c>
      <c r="AM365" s="29"/>
      <c r="AN365" s="30"/>
      <c r="AO365" s="28" t="str">
        <f t="shared" si="59"/>
        <v/>
      </c>
      <c r="AP365" s="21" t="str">
        <f>IF(OR($A365="",AO365=""),"",IF(AG365=0,0,ROUND((AC365*'THAM SỐ'!$B$18+AD365*'THAM SỐ'!$B$19+AE365*'THAM SỐ'!$B$20+AF365*'THAM SỐ'!$B$21)*MIN(1,AO365/AG365),0)))</f>
        <v/>
      </c>
      <c r="AQ365" s="18"/>
    </row>
    <row r="366" spans="1:43" x14ac:dyDescent="0.45">
      <c r="A366" s="17"/>
      <c r="B366" s="18"/>
      <c r="C366" s="18"/>
      <c r="D366" s="25"/>
      <c r="E366" s="26"/>
      <c r="F366" s="26"/>
      <c r="G366" s="20"/>
      <c r="H366" s="20"/>
      <c r="I366" s="18"/>
      <c r="J366" s="18"/>
      <c r="K366" s="18"/>
      <c r="L366" s="18"/>
      <c r="M366" s="18"/>
      <c r="N366" s="18"/>
      <c r="O366" s="18"/>
      <c r="P366" s="18"/>
      <c r="Q366" s="18"/>
      <c r="R366" s="18"/>
      <c r="S366" s="18"/>
      <c r="T366" s="16" t="str">
        <f>IF($A366="","",COUNTIFS('LỆNH ĐIỀU XE'!$B$5:$B$604,$A366,'LỆNH ĐIỀU XE'!$C$5:$C$604,$B366))</f>
        <v/>
      </c>
      <c r="U366" s="27" t="str">
        <f>IF($A366="","",SUMIFS('LỆNH ĐIỀU XE'!$J$5:$J$604,'LỆNH ĐIỀU XE'!$B$5:$B$604,$A366,'LỆNH ĐIỀU XE'!$C$5:$C$604,$B366))</f>
        <v/>
      </c>
      <c r="V366" s="22" t="str">
        <f t="shared" si="50"/>
        <v/>
      </c>
      <c r="W366" s="28" t="str">
        <f t="shared" si="51"/>
        <v/>
      </c>
      <c r="X366" s="28" t="str">
        <f t="shared" si="52"/>
        <v/>
      </c>
      <c r="Y366" s="28" t="str">
        <f t="shared" si="53"/>
        <v/>
      </c>
      <c r="Z366" s="22" t="str">
        <f t="shared" si="54"/>
        <v/>
      </c>
      <c r="AA366" s="28" t="str">
        <f t="shared" si="55"/>
        <v/>
      </c>
      <c r="AB366" s="28" t="str">
        <f t="shared" si="56"/>
        <v/>
      </c>
      <c r="AC366" s="28" t="str">
        <f>IF($A366="","",SUMIFS('CHẶNG TĂNG CA'!$E$5:$E$304,'CHẶNG TĂNG CA'!$A$5:$A$304,$A366,'CHẶNG TĂNG CA'!$B$5:$B$304,$B366))</f>
        <v/>
      </c>
      <c r="AD366" s="28" t="str">
        <f>IF($A366="","",SUMIFS('CHẶNG TĂNG CA'!$F$5:$F$304,'CHẶNG TĂNG CA'!$A$5:$A$304,$A366,'CHẶNG TĂNG CA'!$B$5:$B$304,$B366))</f>
        <v/>
      </c>
      <c r="AE366" s="28" t="str">
        <f>IF($A366="","",SUMIFS('CHẶNG TĂNG CA'!$G$5:$G$304,'CHẶNG TĂNG CA'!$A$5:$A$304,$A366,'CHẶNG TĂNG CA'!$B$5:$B$304,$B366))</f>
        <v/>
      </c>
      <c r="AF366" s="28" t="str">
        <f>IF($A366="","",SUMIFS('CHẶNG TĂNG CA'!$H$5:$H$304,'CHẶNG TĂNG CA'!$A$5:$A$304,$A366,'CHẶNG TĂNG CA'!$B$5:$B$304,$B366))</f>
        <v/>
      </c>
      <c r="AG366" s="28" t="str">
        <f t="shared" si="57"/>
        <v/>
      </c>
      <c r="AH366" s="16" t="str">
        <f>IF($A366="","",IF(COUNTIFS('LỆNH ĐIỀU XE'!$B$5:$B$604,$A366,'LỆNH ĐIỀU XE'!$C$5:$C$604,$B366,'LỆNH ĐIỀU XE'!$N$5:$N$604,"Có")&gt;0,"Có","Không"))</f>
        <v/>
      </c>
      <c r="AI366" s="16" t="str">
        <f>IF(OR($A366="",H366="",N(T366)=0),"",IF(_xlfn.MAXIFS('LỆNH ĐIỀU XE'!$U$5:$U$604,'LỆNH ĐIỀU XE'!$B$5:$B$604,$A366,'LỆNH ĐIỀU XE'!$C$5:$C$604,$B366)=0,"",ROUND((H366+(H366&lt;4/24)-_xlfn.MAXIFS('LỆNH ĐIỀU XE'!$U$5:$U$604,'LỆNH ĐIỀU XE'!$B$5:$B$604,$A366,'LỆNH ĐIỀU XE'!$C$5:$C$604,$B366))*1440,0)))</f>
        <v/>
      </c>
      <c r="AJ366" s="16" t="str">
        <f>IF($A366="","",IF(OR(AI366="",V366=""),"Thiếu dữ liệu",IF(AND(AI366&lt;='THAM SỐ'!$B$29,ABS(V366)&lt;='THAM SỐ'!$B$28),"Đạt","Không đạt")))</f>
        <v/>
      </c>
      <c r="AK366" s="16" t="str">
        <f t="shared" si="58"/>
        <v/>
      </c>
      <c r="AL366" s="16" t="str">
        <f>IF($A366="","",TRIM(IF(T366=0,"Không có lệnh; ","")&amp;IF(N(N366)&gt;0,"Dừng ngoài lệnh; ","")&amp;IF(N(J366)&gt;0,"Quá tốc độ; ","")&amp;IF(N(K366)&gt;0,"Lái quá 4h; ","")&amp;IF(N(L366)&gt;0,"Không tắt máy; ","")&amp;IF(OR(P366&lt;&gt;"Đủ",Q366&lt;&gt;"Đủ",R366&lt;&gt;"Đủ"),"Thiếu ảnh; ","")&amp;IF(S366&lt;&gt;"Đạt","Lốp chưa đạt; ","")&amp;IF(N(W366)&gt;'THAM SỐ'!$B$27,"Có mặt quá giờ; ","")&amp;IF(N(X366)&gt;'THAM SỐ'!$B$25,"Lái quá giờ ngày; ","")&amp;IF(ISNUMBER(V366),IF(ABS(V366)&gt;'THAM SỐ'!$B$28,"Lệch km; ",""),"")))</f>
        <v/>
      </c>
      <c r="AM366" s="29"/>
      <c r="AN366" s="30"/>
      <c r="AO366" s="28" t="str">
        <f t="shared" si="59"/>
        <v/>
      </c>
      <c r="AP366" s="21" t="str">
        <f>IF(OR($A366="",AO366=""),"",IF(AG366=0,0,ROUND((AC366*'THAM SỐ'!$B$18+AD366*'THAM SỐ'!$B$19+AE366*'THAM SỐ'!$B$20+AF366*'THAM SỐ'!$B$21)*MIN(1,AO366/AG366),0)))</f>
        <v/>
      </c>
      <c r="AQ366" s="18"/>
    </row>
    <row r="367" spans="1:43" x14ac:dyDescent="0.45">
      <c r="A367" s="17"/>
      <c r="B367" s="18"/>
      <c r="C367" s="18"/>
      <c r="D367" s="25"/>
      <c r="E367" s="26"/>
      <c r="F367" s="26"/>
      <c r="G367" s="20"/>
      <c r="H367" s="20"/>
      <c r="I367" s="18"/>
      <c r="J367" s="18"/>
      <c r="K367" s="18"/>
      <c r="L367" s="18"/>
      <c r="M367" s="18"/>
      <c r="N367" s="18"/>
      <c r="O367" s="18"/>
      <c r="P367" s="18"/>
      <c r="Q367" s="18"/>
      <c r="R367" s="18"/>
      <c r="S367" s="18"/>
      <c r="T367" s="16" t="str">
        <f>IF($A367="","",COUNTIFS('LỆNH ĐIỀU XE'!$B$5:$B$604,$A367,'LỆNH ĐIỀU XE'!$C$5:$C$604,$B367))</f>
        <v/>
      </c>
      <c r="U367" s="27" t="str">
        <f>IF($A367="","",SUMIFS('LỆNH ĐIỀU XE'!$J$5:$J$604,'LỆNH ĐIỀU XE'!$B$5:$B$604,$A367,'LỆNH ĐIỀU XE'!$C$5:$C$604,$B367))</f>
        <v/>
      </c>
      <c r="V367" s="22" t="str">
        <f t="shared" si="50"/>
        <v/>
      </c>
      <c r="W367" s="28" t="str">
        <f t="shared" si="51"/>
        <v/>
      </c>
      <c r="X367" s="28" t="str">
        <f t="shared" si="52"/>
        <v/>
      </c>
      <c r="Y367" s="28" t="str">
        <f t="shared" si="53"/>
        <v/>
      </c>
      <c r="Z367" s="22" t="str">
        <f t="shared" si="54"/>
        <v/>
      </c>
      <c r="AA367" s="28" t="str">
        <f t="shared" si="55"/>
        <v/>
      </c>
      <c r="AB367" s="28" t="str">
        <f t="shared" si="56"/>
        <v/>
      </c>
      <c r="AC367" s="28" t="str">
        <f>IF($A367="","",SUMIFS('CHẶNG TĂNG CA'!$E$5:$E$304,'CHẶNG TĂNG CA'!$A$5:$A$304,$A367,'CHẶNG TĂNG CA'!$B$5:$B$304,$B367))</f>
        <v/>
      </c>
      <c r="AD367" s="28" t="str">
        <f>IF($A367="","",SUMIFS('CHẶNG TĂNG CA'!$F$5:$F$304,'CHẶNG TĂNG CA'!$A$5:$A$304,$A367,'CHẶNG TĂNG CA'!$B$5:$B$304,$B367))</f>
        <v/>
      </c>
      <c r="AE367" s="28" t="str">
        <f>IF($A367="","",SUMIFS('CHẶNG TĂNG CA'!$G$5:$G$304,'CHẶNG TĂNG CA'!$A$5:$A$304,$A367,'CHẶNG TĂNG CA'!$B$5:$B$304,$B367))</f>
        <v/>
      </c>
      <c r="AF367" s="28" t="str">
        <f>IF($A367="","",SUMIFS('CHẶNG TĂNG CA'!$H$5:$H$304,'CHẶNG TĂNG CA'!$A$5:$A$304,$A367,'CHẶNG TĂNG CA'!$B$5:$B$304,$B367))</f>
        <v/>
      </c>
      <c r="AG367" s="28" t="str">
        <f t="shared" si="57"/>
        <v/>
      </c>
      <c r="AH367" s="16" t="str">
        <f>IF($A367="","",IF(COUNTIFS('LỆNH ĐIỀU XE'!$B$5:$B$604,$A367,'LỆNH ĐIỀU XE'!$C$5:$C$604,$B367,'LỆNH ĐIỀU XE'!$N$5:$N$604,"Có")&gt;0,"Có","Không"))</f>
        <v/>
      </c>
      <c r="AI367" s="16" t="str">
        <f>IF(OR($A367="",H367="",N(T367)=0),"",IF(_xlfn.MAXIFS('LỆNH ĐIỀU XE'!$U$5:$U$604,'LỆNH ĐIỀU XE'!$B$5:$B$604,$A367,'LỆNH ĐIỀU XE'!$C$5:$C$604,$B367)=0,"",ROUND((H367+(H367&lt;4/24)-_xlfn.MAXIFS('LỆNH ĐIỀU XE'!$U$5:$U$604,'LỆNH ĐIỀU XE'!$B$5:$B$604,$A367,'LỆNH ĐIỀU XE'!$C$5:$C$604,$B367))*1440,0)))</f>
        <v/>
      </c>
      <c r="AJ367" s="16" t="str">
        <f>IF($A367="","",IF(OR(AI367="",V367=""),"Thiếu dữ liệu",IF(AND(AI367&lt;='THAM SỐ'!$B$29,ABS(V367)&lt;='THAM SỐ'!$B$28),"Đạt","Không đạt")))</f>
        <v/>
      </c>
      <c r="AK367" s="16" t="str">
        <f t="shared" si="58"/>
        <v/>
      </c>
      <c r="AL367" s="16" t="str">
        <f>IF($A367="","",TRIM(IF(T367=0,"Không có lệnh; ","")&amp;IF(N(N367)&gt;0,"Dừng ngoài lệnh; ","")&amp;IF(N(J367)&gt;0,"Quá tốc độ; ","")&amp;IF(N(K367)&gt;0,"Lái quá 4h; ","")&amp;IF(N(L367)&gt;0,"Không tắt máy; ","")&amp;IF(OR(P367&lt;&gt;"Đủ",Q367&lt;&gt;"Đủ",R367&lt;&gt;"Đủ"),"Thiếu ảnh; ","")&amp;IF(S367&lt;&gt;"Đạt","Lốp chưa đạt; ","")&amp;IF(N(W367)&gt;'THAM SỐ'!$B$27,"Có mặt quá giờ; ","")&amp;IF(N(X367)&gt;'THAM SỐ'!$B$25,"Lái quá giờ ngày; ","")&amp;IF(ISNUMBER(V367),IF(ABS(V367)&gt;'THAM SỐ'!$B$28,"Lệch km; ",""),"")))</f>
        <v/>
      </c>
      <c r="AM367" s="29"/>
      <c r="AN367" s="30"/>
      <c r="AO367" s="28" t="str">
        <f t="shared" si="59"/>
        <v/>
      </c>
      <c r="AP367" s="21" t="str">
        <f>IF(OR($A367="",AO367=""),"",IF(AG367=0,0,ROUND((AC367*'THAM SỐ'!$B$18+AD367*'THAM SỐ'!$B$19+AE367*'THAM SỐ'!$B$20+AF367*'THAM SỐ'!$B$21)*MIN(1,AO367/AG367),0)))</f>
        <v/>
      </c>
      <c r="AQ367" s="18"/>
    </row>
    <row r="368" spans="1:43" x14ac:dyDescent="0.45">
      <c r="A368" s="17"/>
      <c r="B368" s="18"/>
      <c r="C368" s="18"/>
      <c r="D368" s="25"/>
      <c r="E368" s="26"/>
      <c r="F368" s="26"/>
      <c r="G368" s="20"/>
      <c r="H368" s="20"/>
      <c r="I368" s="18"/>
      <c r="J368" s="18"/>
      <c r="K368" s="18"/>
      <c r="L368" s="18"/>
      <c r="M368" s="18"/>
      <c r="N368" s="18"/>
      <c r="O368" s="18"/>
      <c r="P368" s="18"/>
      <c r="Q368" s="18"/>
      <c r="R368" s="18"/>
      <c r="S368" s="18"/>
      <c r="T368" s="16" t="str">
        <f>IF($A368="","",COUNTIFS('LỆNH ĐIỀU XE'!$B$5:$B$604,$A368,'LỆNH ĐIỀU XE'!$C$5:$C$604,$B368))</f>
        <v/>
      </c>
      <c r="U368" s="27" t="str">
        <f>IF($A368="","",SUMIFS('LỆNH ĐIỀU XE'!$J$5:$J$604,'LỆNH ĐIỀU XE'!$B$5:$B$604,$A368,'LỆNH ĐIỀU XE'!$C$5:$C$604,$B368))</f>
        <v/>
      </c>
      <c r="V368" s="22" t="str">
        <f t="shared" si="50"/>
        <v/>
      </c>
      <c r="W368" s="28" t="str">
        <f t="shared" si="51"/>
        <v/>
      </c>
      <c r="X368" s="28" t="str">
        <f t="shared" si="52"/>
        <v/>
      </c>
      <c r="Y368" s="28" t="str">
        <f t="shared" si="53"/>
        <v/>
      </c>
      <c r="Z368" s="22" t="str">
        <f t="shared" si="54"/>
        <v/>
      </c>
      <c r="AA368" s="28" t="str">
        <f t="shared" si="55"/>
        <v/>
      </c>
      <c r="AB368" s="28" t="str">
        <f t="shared" si="56"/>
        <v/>
      </c>
      <c r="AC368" s="28" t="str">
        <f>IF($A368="","",SUMIFS('CHẶNG TĂNG CA'!$E$5:$E$304,'CHẶNG TĂNG CA'!$A$5:$A$304,$A368,'CHẶNG TĂNG CA'!$B$5:$B$304,$B368))</f>
        <v/>
      </c>
      <c r="AD368" s="28" t="str">
        <f>IF($A368="","",SUMIFS('CHẶNG TĂNG CA'!$F$5:$F$304,'CHẶNG TĂNG CA'!$A$5:$A$304,$A368,'CHẶNG TĂNG CA'!$B$5:$B$304,$B368))</f>
        <v/>
      </c>
      <c r="AE368" s="28" t="str">
        <f>IF($A368="","",SUMIFS('CHẶNG TĂNG CA'!$G$5:$G$304,'CHẶNG TĂNG CA'!$A$5:$A$304,$A368,'CHẶNG TĂNG CA'!$B$5:$B$304,$B368))</f>
        <v/>
      </c>
      <c r="AF368" s="28" t="str">
        <f>IF($A368="","",SUMIFS('CHẶNG TĂNG CA'!$H$5:$H$304,'CHẶNG TĂNG CA'!$A$5:$A$304,$A368,'CHẶNG TĂNG CA'!$B$5:$B$304,$B368))</f>
        <v/>
      </c>
      <c r="AG368" s="28" t="str">
        <f t="shared" si="57"/>
        <v/>
      </c>
      <c r="AH368" s="16" t="str">
        <f>IF($A368="","",IF(COUNTIFS('LỆNH ĐIỀU XE'!$B$5:$B$604,$A368,'LỆNH ĐIỀU XE'!$C$5:$C$604,$B368,'LỆNH ĐIỀU XE'!$N$5:$N$604,"Có")&gt;0,"Có","Không"))</f>
        <v/>
      </c>
      <c r="AI368" s="16" t="str">
        <f>IF(OR($A368="",H368="",N(T368)=0),"",IF(_xlfn.MAXIFS('LỆNH ĐIỀU XE'!$U$5:$U$604,'LỆNH ĐIỀU XE'!$B$5:$B$604,$A368,'LỆNH ĐIỀU XE'!$C$5:$C$604,$B368)=0,"",ROUND((H368+(H368&lt;4/24)-_xlfn.MAXIFS('LỆNH ĐIỀU XE'!$U$5:$U$604,'LỆNH ĐIỀU XE'!$B$5:$B$604,$A368,'LỆNH ĐIỀU XE'!$C$5:$C$604,$B368))*1440,0)))</f>
        <v/>
      </c>
      <c r="AJ368" s="16" t="str">
        <f>IF($A368="","",IF(OR(AI368="",V368=""),"Thiếu dữ liệu",IF(AND(AI368&lt;='THAM SỐ'!$B$29,ABS(V368)&lt;='THAM SỐ'!$B$28),"Đạt","Không đạt")))</f>
        <v/>
      </c>
      <c r="AK368" s="16" t="str">
        <f t="shared" si="58"/>
        <v/>
      </c>
      <c r="AL368" s="16" t="str">
        <f>IF($A368="","",TRIM(IF(T368=0,"Không có lệnh; ","")&amp;IF(N(N368)&gt;0,"Dừng ngoài lệnh; ","")&amp;IF(N(J368)&gt;0,"Quá tốc độ; ","")&amp;IF(N(K368)&gt;0,"Lái quá 4h; ","")&amp;IF(N(L368)&gt;0,"Không tắt máy; ","")&amp;IF(OR(P368&lt;&gt;"Đủ",Q368&lt;&gt;"Đủ",R368&lt;&gt;"Đủ"),"Thiếu ảnh; ","")&amp;IF(S368&lt;&gt;"Đạt","Lốp chưa đạt; ","")&amp;IF(N(W368)&gt;'THAM SỐ'!$B$27,"Có mặt quá giờ; ","")&amp;IF(N(X368)&gt;'THAM SỐ'!$B$25,"Lái quá giờ ngày; ","")&amp;IF(ISNUMBER(V368),IF(ABS(V368)&gt;'THAM SỐ'!$B$28,"Lệch km; ",""),"")))</f>
        <v/>
      </c>
      <c r="AM368" s="29"/>
      <c r="AN368" s="30"/>
      <c r="AO368" s="28" t="str">
        <f t="shared" si="59"/>
        <v/>
      </c>
      <c r="AP368" s="21" t="str">
        <f>IF(OR($A368="",AO368=""),"",IF(AG368=0,0,ROUND((AC368*'THAM SỐ'!$B$18+AD368*'THAM SỐ'!$B$19+AE368*'THAM SỐ'!$B$20+AF368*'THAM SỐ'!$B$21)*MIN(1,AO368/AG368),0)))</f>
        <v/>
      </c>
      <c r="AQ368" s="18"/>
    </row>
    <row r="369" spans="1:43" x14ac:dyDescent="0.45">
      <c r="A369" s="17"/>
      <c r="B369" s="18"/>
      <c r="C369" s="18"/>
      <c r="D369" s="25"/>
      <c r="E369" s="26"/>
      <c r="F369" s="26"/>
      <c r="G369" s="20"/>
      <c r="H369" s="20"/>
      <c r="I369" s="18"/>
      <c r="J369" s="18"/>
      <c r="K369" s="18"/>
      <c r="L369" s="18"/>
      <c r="M369" s="18"/>
      <c r="N369" s="18"/>
      <c r="O369" s="18"/>
      <c r="P369" s="18"/>
      <c r="Q369" s="18"/>
      <c r="R369" s="18"/>
      <c r="S369" s="18"/>
      <c r="T369" s="16" t="str">
        <f>IF($A369="","",COUNTIFS('LỆNH ĐIỀU XE'!$B$5:$B$604,$A369,'LỆNH ĐIỀU XE'!$C$5:$C$604,$B369))</f>
        <v/>
      </c>
      <c r="U369" s="27" t="str">
        <f>IF($A369="","",SUMIFS('LỆNH ĐIỀU XE'!$J$5:$J$604,'LỆNH ĐIỀU XE'!$B$5:$B$604,$A369,'LỆNH ĐIỀU XE'!$C$5:$C$604,$B369))</f>
        <v/>
      </c>
      <c r="V369" s="22" t="str">
        <f t="shared" si="50"/>
        <v/>
      </c>
      <c r="W369" s="28" t="str">
        <f t="shared" si="51"/>
        <v/>
      </c>
      <c r="X369" s="28" t="str">
        <f t="shared" si="52"/>
        <v/>
      </c>
      <c r="Y369" s="28" t="str">
        <f t="shared" si="53"/>
        <v/>
      </c>
      <c r="Z369" s="22" t="str">
        <f t="shared" si="54"/>
        <v/>
      </c>
      <c r="AA369" s="28" t="str">
        <f t="shared" si="55"/>
        <v/>
      </c>
      <c r="AB369" s="28" t="str">
        <f t="shared" si="56"/>
        <v/>
      </c>
      <c r="AC369" s="28" t="str">
        <f>IF($A369="","",SUMIFS('CHẶNG TĂNG CA'!$E$5:$E$304,'CHẶNG TĂNG CA'!$A$5:$A$304,$A369,'CHẶNG TĂNG CA'!$B$5:$B$304,$B369))</f>
        <v/>
      </c>
      <c r="AD369" s="28" t="str">
        <f>IF($A369="","",SUMIFS('CHẶNG TĂNG CA'!$F$5:$F$304,'CHẶNG TĂNG CA'!$A$5:$A$304,$A369,'CHẶNG TĂNG CA'!$B$5:$B$304,$B369))</f>
        <v/>
      </c>
      <c r="AE369" s="28" t="str">
        <f>IF($A369="","",SUMIFS('CHẶNG TĂNG CA'!$G$5:$G$304,'CHẶNG TĂNG CA'!$A$5:$A$304,$A369,'CHẶNG TĂNG CA'!$B$5:$B$304,$B369))</f>
        <v/>
      </c>
      <c r="AF369" s="28" t="str">
        <f>IF($A369="","",SUMIFS('CHẶNG TĂNG CA'!$H$5:$H$304,'CHẶNG TĂNG CA'!$A$5:$A$304,$A369,'CHẶNG TĂNG CA'!$B$5:$B$304,$B369))</f>
        <v/>
      </c>
      <c r="AG369" s="28" t="str">
        <f t="shared" si="57"/>
        <v/>
      </c>
      <c r="AH369" s="16" t="str">
        <f>IF($A369="","",IF(COUNTIFS('LỆNH ĐIỀU XE'!$B$5:$B$604,$A369,'LỆNH ĐIỀU XE'!$C$5:$C$604,$B369,'LỆNH ĐIỀU XE'!$N$5:$N$604,"Có")&gt;0,"Có","Không"))</f>
        <v/>
      </c>
      <c r="AI369" s="16" t="str">
        <f>IF(OR($A369="",H369="",N(T369)=0),"",IF(_xlfn.MAXIFS('LỆNH ĐIỀU XE'!$U$5:$U$604,'LỆNH ĐIỀU XE'!$B$5:$B$604,$A369,'LỆNH ĐIỀU XE'!$C$5:$C$604,$B369)=0,"",ROUND((H369+(H369&lt;4/24)-_xlfn.MAXIFS('LỆNH ĐIỀU XE'!$U$5:$U$604,'LỆNH ĐIỀU XE'!$B$5:$B$604,$A369,'LỆNH ĐIỀU XE'!$C$5:$C$604,$B369))*1440,0)))</f>
        <v/>
      </c>
      <c r="AJ369" s="16" t="str">
        <f>IF($A369="","",IF(OR(AI369="",V369=""),"Thiếu dữ liệu",IF(AND(AI369&lt;='THAM SỐ'!$B$29,ABS(V369)&lt;='THAM SỐ'!$B$28),"Đạt","Không đạt")))</f>
        <v/>
      </c>
      <c r="AK369" s="16" t="str">
        <f t="shared" si="58"/>
        <v/>
      </c>
      <c r="AL369" s="16" t="str">
        <f>IF($A369="","",TRIM(IF(T369=0,"Không có lệnh; ","")&amp;IF(N(N369)&gt;0,"Dừng ngoài lệnh; ","")&amp;IF(N(J369)&gt;0,"Quá tốc độ; ","")&amp;IF(N(K369)&gt;0,"Lái quá 4h; ","")&amp;IF(N(L369)&gt;0,"Không tắt máy; ","")&amp;IF(OR(P369&lt;&gt;"Đủ",Q369&lt;&gt;"Đủ",R369&lt;&gt;"Đủ"),"Thiếu ảnh; ","")&amp;IF(S369&lt;&gt;"Đạt","Lốp chưa đạt; ","")&amp;IF(N(W369)&gt;'THAM SỐ'!$B$27,"Có mặt quá giờ; ","")&amp;IF(N(X369)&gt;'THAM SỐ'!$B$25,"Lái quá giờ ngày; ","")&amp;IF(ISNUMBER(V369),IF(ABS(V369)&gt;'THAM SỐ'!$B$28,"Lệch km; ",""),"")))</f>
        <v/>
      </c>
      <c r="AM369" s="29"/>
      <c r="AN369" s="30"/>
      <c r="AO369" s="28" t="str">
        <f t="shared" si="59"/>
        <v/>
      </c>
      <c r="AP369" s="21" t="str">
        <f>IF(OR($A369="",AO369=""),"",IF(AG369=0,0,ROUND((AC369*'THAM SỐ'!$B$18+AD369*'THAM SỐ'!$B$19+AE369*'THAM SỐ'!$B$20+AF369*'THAM SỐ'!$B$21)*MIN(1,AO369/AG369),0)))</f>
        <v/>
      </c>
      <c r="AQ369" s="18"/>
    </row>
    <row r="370" spans="1:43" x14ac:dyDescent="0.45">
      <c r="A370" s="17"/>
      <c r="B370" s="18"/>
      <c r="C370" s="18"/>
      <c r="D370" s="25"/>
      <c r="E370" s="26"/>
      <c r="F370" s="26"/>
      <c r="G370" s="20"/>
      <c r="H370" s="20"/>
      <c r="I370" s="18"/>
      <c r="J370" s="18"/>
      <c r="K370" s="18"/>
      <c r="L370" s="18"/>
      <c r="M370" s="18"/>
      <c r="N370" s="18"/>
      <c r="O370" s="18"/>
      <c r="P370" s="18"/>
      <c r="Q370" s="18"/>
      <c r="R370" s="18"/>
      <c r="S370" s="18"/>
      <c r="T370" s="16" t="str">
        <f>IF($A370="","",COUNTIFS('LỆNH ĐIỀU XE'!$B$5:$B$604,$A370,'LỆNH ĐIỀU XE'!$C$5:$C$604,$B370))</f>
        <v/>
      </c>
      <c r="U370" s="27" t="str">
        <f>IF($A370="","",SUMIFS('LỆNH ĐIỀU XE'!$J$5:$J$604,'LỆNH ĐIỀU XE'!$B$5:$B$604,$A370,'LỆNH ĐIỀU XE'!$C$5:$C$604,$B370))</f>
        <v/>
      </c>
      <c r="V370" s="22" t="str">
        <f t="shared" si="50"/>
        <v/>
      </c>
      <c r="W370" s="28" t="str">
        <f t="shared" si="51"/>
        <v/>
      </c>
      <c r="X370" s="28" t="str">
        <f t="shared" si="52"/>
        <v/>
      </c>
      <c r="Y370" s="28" t="str">
        <f t="shared" si="53"/>
        <v/>
      </c>
      <c r="Z370" s="22" t="str">
        <f t="shared" si="54"/>
        <v/>
      </c>
      <c r="AA370" s="28" t="str">
        <f t="shared" si="55"/>
        <v/>
      </c>
      <c r="AB370" s="28" t="str">
        <f t="shared" si="56"/>
        <v/>
      </c>
      <c r="AC370" s="28" t="str">
        <f>IF($A370="","",SUMIFS('CHẶNG TĂNG CA'!$E$5:$E$304,'CHẶNG TĂNG CA'!$A$5:$A$304,$A370,'CHẶNG TĂNG CA'!$B$5:$B$304,$B370))</f>
        <v/>
      </c>
      <c r="AD370" s="28" t="str">
        <f>IF($A370="","",SUMIFS('CHẶNG TĂNG CA'!$F$5:$F$304,'CHẶNG TĂNG CA'!$A$5:$A$304,$A370,'CHẶNG TĂNG CA'!$B$5:$B$304,$B370))</f>
        <v/>
      </c>
      <c r="AE370" s="28" t="str">
        <f>IF($A370="","",SUMIFS('CHẶNG TĂNG CA'!$G$5:$G$304,'CHẶNG TĂNG CA'!$A$5:$A$304,$A370,'CHẶNG TĂNG CA'!$B$5:$B$304,$B370))</f>
        <v/>
      </c>
      <c r="AF370" s="28" t="str">
        <f>IF($A370="","",SUMIFS('CHẶNG TĂNG CA'!$H$5:$H$304,'CHẶNG TĂNG CA'!$A$5:$A$304,$A370,'CHẶNG TĂNG CA'!$B$5:$B$304,$B370))</f>
        <v/>
      </c>
      <c r="AG370" s="28" t="str">
        <f t="shared" si="57"/>
        <v/>
      </c>
      <c r="AH370" s="16" t="str">
        <f>IF($A370="","",IF(COUNTIFS('LỆNH ĐIỀU XE'!$B$5:$B$604,$A370,'LỆNH ĐIỀU XE'!$C$5:$C$604,$B370,'LỆNH ĐIỀU XE'!$N$5:$N$604,"Có")&gt;0,"Có","Không"))</f>
        <v/>
      </c>
      <c r="AI370" s="16" t="str">
        <f>IF(OR($A370="",H370="",N(T370)=0),"",IF(_xlfn.MAXIFS('LỆNH ĐIỀU XE'!$U$5:$U$604,'LỆNH ĐIỀU XE'!$B$5:$B$604,$A370,'LỆNH ĐIỀU XE'!$C$5:$C$604,$B370)=0,"",ROUND((H370+(H370&lt;4/24)-_xlfn.MAXIFS('LỆNH ĐIỀU XE'!$U$5:$U$604,'LỆNH ĐIỀU XE'!$B$5:$B$604,$A370,'LỆNH ĐIỀU XE'!$C$5:$C$604,$B370))*1440,0)))</f>
        <v/>
      </c>
      <c r="AJ370" s="16" t="str">
        <f>IF($A370="","",IF(OR(AI370="",V370=""),"Thiếu dữ liệu",IF(AND(AI370&lt;='THAM SỐ'!$B$29,ABS(V370)&lt;='THAM SỐ'!$B$28),"Đạt","Không đạt")))</f>
        <v/>
      </c>
      <c r="AK370" s="16" t="str">
        <f t="shared" si="58"/>
        <v/>
      </c>
      <c r="AL370" s="16" t="str">
        <f>IF($A370="","",TRIM(IF(T370=0,"Không có lệnh; ","")&amp;IF(N(N370)&gt;0,"Dừng ngoài lệnh; ","")&amp;IF(N(J370)&gt;0,"Quá tốc độ; ","")&amp;IF(N(K370)&gt;0,"Lái quá 4h; ","")&amp;IF(N(L370)&gt;0,"Không tắt máy; ","")&amp;IF(OR(P370&lt;&gt;"Đủ",Q370&lt;&gt;"Đủ",R370&lt;&gt;"Đủ"),"Thiếu ảnh; ","")&amp;IF(S370&lt;&gt;"Đạt","Lốp chưa đạt; ","")&amp;IF(N(W370)&gt;'THAM SỐ'!$B$27,"Có mặt quá giờ; ","")&amp;IF(N(X370)&gt;'THAM SỐ'!$B$25,"Lái quá giờ ngày; ","")&amp;IF(ISNUMBER(V370),IF(ABS(V370)&gt;'THAM SỐ'!$B$28,"Lệch km; ",""),"")))</f>
        <v/>
      </c>
      <c r="AM370" s="29"/>
      <c r="AN370" s="30"/>
      <c r="AO370" s="28" t="str">
        <f t="shared" si="59"/>
        <v/>
      </c>
      <c r="AP370" s="21" t="str">
        <f>IF(OR($A370="",AO370=""),"",IF(AG370=0,0,ROUND((AC370*'THAM SỐ'!$B$18+AD370*'THAM SỐ'!$B$19+AE370*'THAM SỐ'!$B$20+AF370*'THAM SỐ'!$B$21)*MIN(1,AO370/AG370),0)))</f>
        <v/>
      </c>
      <c r="AQ370" s="18"/>
    </row>
    <row r="371" spans="1:43" x14ac:dyDescent="0.45">
      <c r="A371" s="17"/>
      <c r="B371" s="18"/>
      <c r="C371" s="18"/>
      <c r="D371" s="25"/>
      <c r="E371" s="26"/>
      <c r="F371" s="26"/>
      <c r="G371" s="20"/>
      <c r="H371" s="20"/>
      <c r="I371" s="18"/>
      <c r="J371" s="18"/>
      <c r="K371" s="18"/>
      <c r="L371" s="18"/>
      <c r="M371" s="18"/>
      <c r="N371" s="18"/>
      <c r="O371" s="18"/>
      <c r="P371" s="18"/>
      <c r="Q371" s="18"/>
      <c r="R371" s="18"/>
      <c r="S371" s="18"/>
      <c r="T371" s="16" t="str">
        <f>IF($A371="","",COUNTIFS('LỆNH ĐIỀU XE'!$B$5:$B$604,$A371,'LỆNH ĐIỀU XE'!$C$5:$C$604,$B371))</f>
        <v/>
      </c>
      <c r="U371" s="27" t="str">
        <f>IF($A371="","",SUMIFS('LỆNH ĐIỀU XE'!$J$5:$J$604,'LỆNH ĐIỀU XE'!$B$5:$B$604,$A371,'LỆNH ĐIỀU XE'!$C$5:$C$604,$B371))</f>
        <v/>
      </c>
      <c r="V371" s="22" t="str">
        <f t="shared" si="50"/>
        <v/>
      </c>
      <c r="W371" s="28" t="str">
        <f t="shared" si="51"/>
        <v/>
      </c>
      <c r="X371" s="28" t="str">
        <f t="shared" si="52"/>
        <v/>
      </c>
      <c r="Y371" s="28" t="str">
        <f t="shared" si="53"/>
        <v/>
      </c>
      <c r="Z371" s="22" t="str">
        <f t="shared" si="54"/>
        <v/>
      </c>
      <c r="AA371" s="28" t="str">
        <f t="shared" si="55"/>
        <v/>
      </c>
      <c r="AB371" s="28" t="str">
        <f t="shared" si="56"/>
        <v/>
      </c>
      <c r="AC371" s="28" t="str">
        <f>IF($A371="","",SUMIFS('CHẶNG TĂNG CA'!$E$5:$E$304,'CHẶNG TĂNG CA'!$A$5:$A$304,$A371,'CHẶNG TĂNG CA'!$B$5:$B$304,$B371))</f>
        <v/>
      </c>
      <c r="AD371" s="28" t="str">
        <f>IF($A371="","",SUMIFS('CHẶNG TĂNG CA'!$F$5:$F$304,'CHẶNG TĂNG CA'!$A$5:$A$304,$A371,'CHẶNG TĂNG CA'!$B$5:$B$304,$B371))</f>
        <v/>
      </c>
      <c r="AE371" s="28" t="str">
        <f>IF($A371="","",SUMIFS('CHẶNG TĂNG CA'!$G$5:$G$304,'CHẶNG TĂNG CA'!$A$5:$A$304,$A371,'CHẶNG TĂNG CA'!$B$5:$B$304,$B371))</f>
        <v/>
      </c>
      <c r="AF371" s="28" t="str">
        <f>IF($A371="","",SUMIFS('CHẶNG TĂNG CA'!$H$5:$H$304,'CHẶNG TĂNG CA'!$A$5:$A$304,$A371,'CHẶNG TĂNG CA'!$B$5:$B$304,$B371))</f>
        <v/>
      </c>
      <c r="AG371" s="28" t="str">
        <f t="shared" si="57"/>
        <v/>
      </c>
      <c r="AH371" s="16" t="str">
        <f>IF($A371="","",IF(COUNTIFS('LỆNH ĐIỀU XE'!$B$5:$B$604,$A371,'LỆNH ĐIỀU XE'!$C$5:$C$604,$B371,'LỆNH ĐIỀU XE'!$N$5:$N$604,"Có")&gt;0,"Có","Không"))</f>
        <v/>
      </c>
      <c r="AI371" s="16" t="str">
        <f>IF(OR($A371="",H371="",N(T371)=0),"",IF(_xlfn.MAXIFS('LỆNH ĐIỀU XE'!$U$5:$U$604,'LỆNH ĐIỀU XE'!$B$5:$B$604,$A371,'LỆNH ĐIỀU XE'!$C$5:$C$604,$B371)=0,"",ROUND((H371+(H371&lt;4/24)-_xlfn.MAXIFS('LỆNH ĐIỀU XE'!$U$5:$U$604,'LỆNH ĐIỀU XE'!$B$5:$B$604,$A371,'LỆNH ĐIỀU XE'!$C$5:$C$604,$B371))*1440,0)))</f>
        <v/>
      </c>
      <c r="AJ371" s="16" t="str">
        <f>IF($A371="","",IF(OR(AI371="",V371=""),"Thiếu dữ liệu",IF(AND(AI371&lt;='THAM SỐ'!$B$29,ABS(V371)&lt;='THAM SỐ'!$B$28),"Đạt","Không đạt")))</f>
        <v/>
      </c>
      <c r="AK371" s="16" t="str">
        <f t="shared" si="58"/>
        <v/>
      </c>
      <c r="AL371" s="16" t="str">
        <f>IF($A371="","",TRIM(IF(T371=0,"Không có lệnh; ","")&amp;IF(N(N371)&gt;0,"Dừng ngoài lệnh; ","")&amp;IF(N(J371)&gt;0,"Quá tốc độ; ","")&amp;IF(N(K371)&gt;0,"Lái quá 4h; ","")&amp;IF(N(L371)&gt;0,"Không tắt máy; ","")&amp;IF(OR(P371&lt;&gt;"Đủ",Q371&lt;&gt;"Đủ",R371&lt;&gt;"Đủ"),"Thiếu ảnh; ","")&amp;IF(S371&lt;&gt;"Đạt","Lốp chưa đạt; ","")&amp;IF(N(W371)&gt;'THAM SỐ'!$B$27,"Có mặt quá giờ; ","")&amp;IF(N(X371)&gt;'THAM SỐ'!$B$25,"Lái quá giờ ngày; ","")&amp;IF(ISNUMBER(V371),IF(ABS(V371)&gt;'THAM SỐ'!$B$28,"Lệch km; ",""),"")))</f>
        <v/>
      </c>
      <c r="AM371" s="29"/>
      <c r="AN371" s="30"/>
      <c r="AO371" s="28" t="str">
        <f t="shared" si="59"/>
        <v/>
      </c>
      <c r="AP371" s="21" t="str">
        <f>IF(OR($A371="",AO371=""),"",IF(AG371=0,0,ROUND((AC371*'THAM SỐ'!$B$18+AD371*'THAM SỐ'!$B$19+AE371*'THAM SỐ'!$B$20+AF371*'THAM SỐ'!$B$21)*MIN(1,AO371/AG371),0)))</f>
        <v/>
      </c>
      <c r="AQ371" s="18"/>
    </row>
    <row r="372" spans="1:43" x14ac:dyDescent="0.45">
      <c r="A372" s="17"/>
      <c r="B372" s="18"/>
      <c r="C372" s="18"/>
      <c r="D372" s="25"/>
      <c r="E372" s="26"/>
      <c r="F372" s="26"/>
      <c r="G372" s="20"/>
      <c r="H372" s="20"/>
      <c r="I372" s="18"/>
      <c r="J372" s="18"/>
      <c r="K372" s="18"/>
      <c r="L372" s="18"/>
      <c r="M372" s="18"/>
      <c r="N372" s="18"/>
      <c r="O372" s="18"/>
      <c r="P372" s="18"/>
      <c r="Q372" s="18"/>
      <c r="R372" s="18"/>
      <c r="S372" s="18"/>
      <c r="T372" s="16" t="str">
        <f>IF($A372="","",COUNTIFS('LỆNH ĐIỀU XE'!$B$5:$B$604,$A372,'LỆNH ĐIỀU XE'!$C$5:$C$604,$B372))</f>
        <v/>
      </c>
      <c r="U372" s="27" t="str">
        <f>IF($A372="","",SUMIFS('LỆNH ĐIỀU XE'!$J$5:$J$604,'LỆNH ĐIỀU XE'!$B$5:$B$604,$A372,'LỆNH ĐIỀU XE'!$C$5:$C$604,$B372))</f>
        <v/>
      </c>
      <c r="V372" s="22" t="str">
        <f t="shared" si="50"/>
        <v/>
      </c>
      <c r="W372" s="28" t="str">
        <f t="shared" si="51"/>
        <v/>
      </c>
      <c r="X372" s="28" t="str">
        <f t="shared" si="52"/>
        <v/>
      </c>
      <c r="Y372" s="28" t="str">
        <f t="shared" si="53"/>
        <v/>
      </c>
      <c r="Z372" s="22" t="str">
        <f t="shared" si="54"/>
        <v/>
      </c>
      <c r="AA372" s="28" t="str">
        <f t="shared" si="55"/>
        <v/>
      </c>
      <c r="AB372" s="28" t="str">
        <f t="shared" si="56"/>
        <v/>
      </c>
      <c r="AC372" s="28" t="str">
        <f>IF($A372="","",SUMIFS('CHẶNG TĂNG CA'!$E$5:$E$304,'CHẶNG TĂNG CA'!$A$5:$A$304,$A372,'CHẶNG TĂNG CA'!$B$5:$B$304,$B372))</f>
        <v/>
      </c>
      <c r="AD372" s="28" t="str">
        <f>IF($A372="","",SUMIFS('CHẶNG TĂNG CA'!$F$5:$F$304,'CHẶNG TĂNG CA'!$A$5:$A$304,$A372,'CHẶNG TĂNG CA'!$B$5:$B$304,$B372))</f>
        <v/>
      </c>
      <c r="AE372" s="28" t="str">
        <f>IF($A372="","",SUMIFS('CHẶNG TĂNG CA'!$G$5:$G$304,'CHẶNG TĂNG CA'!$A$5:$A$304,$A372,'CHẶNG TĂNG CA'!$B$5:$B$304,$B372))</f>
        <v/>
      </c>
      <c r="AF372" s="28" t="str">
        <f>IF($A372="","",SUMIFS('CHẶNG TĂNG CA'!$H$5:$H$304,'CHẶNG TĂNG CA'!$A$5:$A$304,$A372,'CHẶNG TĂNG CA'!$B$5:$B$304,$B372))</f>
        <v/>
      </c>
      <c r="AG372" s="28" t="str">
        <f t="shared" si="57"/>
        <v/>
      </c>
      <c r="AH372" s="16" t="str">
        <f>IF($A372="","",IF(COUNTIFS('LỆNH ĐIỀU XE'!$B$5:$B$604,$A372,'LỆNH ĐIỀU XE'!$C$5:$C$604,$B372,'LỆNH ĐIỀU XE'!$N$5:$N$604,"Có")&gt;0,"Có","Không"))</f>
        <v/>
      </c>
      <c r="AI372" s="16" t="str">
        <f>IF(OR($A372="",H372="",N(T372)=0),"",IF(_xlfn.MAXIFS('LỆNH ĐIỀU XE'!$U$5:$U$604,'LỆNH ĐIỀU XE'!$B$5:$B$604,$A372,'LỆNH ĐIỀU XE'!$C$5:$C$604,$B372)=0,"",ROUND((H372+(H372&lt;4/24)-_xlfn.MAXIFS('LỆNH ĐIỀU XE'!$U$5:$U$604,'LỆNH ĐIỀU XE'!$B$5:$B$604,$A372,'LỆNH ĐIỀU XE'!$C$5:$C$604,$B372))*1440,0)))</f>
        <v/>
      </c>
      <c r="AJ372" s="16" t="str">
        <f>IF($A372="","",IF(OR(AI372="",V372=""),"Thiếu dữ liệu",IF(AND(AI372&lt;='THAM SỐ'!$B$29,ABS(V372)&lt;='THAM SỐ'!$B$28),"Đạt","Không đạt")))</f>
        <v/>
      </c>
      <c r="AK372" s="16" t="str">
        <f t="shared" si="58"/>
        <v/>
      </c>
      <c r="AL372" s="16" t="str">
        <f>IF($A372="","",TRIM(IF(T372=0,"Không có lệnh; ","")&amp;IF(N(N372)&gt;0,"Dừng ngoài lệnh; ","")&amp;IF(N(J372)&gt;0,"Quá tốc độ; ","")&amp;IF(N(K372)&gt;0,"Lái quá 4h; ","")&amp;IF(N(L372)&gt;0,"Không tắt máy; ","")&amp;IF(OR(P372&lt;&gt;"Đủ",Q372&lt;&gt;"Đủ",R372&lt;&gt;"Đủ"),"Thiếu ảnh; ","")&amp;IF(S372&lt;&gt;"Đạt","Lốp chưa đạt; ","")&amp;IF(N(W372)&gt;'THAM SỐ'!$B$27,"Có mặt quá giờ; ","")&amp;IF(N(X372)&gt;'THAM SỐ'!$B$25,"Lái quá giờ ngày; ","")&amp;IF(ISNUMBER(V372),IF(ABS(V372)&gt;'THAM SỐ'!$B$28,"Lệch km; ",""),"")))</f>
        <v/>
      </c>
      <c r="AM372" s="29"/>
      <c r="AN372" s="30"/>
      <c r="AO372" s="28" t="str">
        <f t="shared" si="59"/>
        <v/>
      </c>
      <c r="AP372" s="21" t="str">
        <f>IF(OR($A372="",AO372=""),"",IF(AG372=0,0,ROUND((AC372*'THAM SỐ'!$B$18+AD372*'THAM SỐ'!$B$19+AE372*'THAM SỐ'!$B$20+AF372*'THAM SỐ'!$B$21)*MIN(1,AO372/AG372),0)))</f>
        <v/>
      </c>
      <c r="AQ372" s="18"/>
    </row>
    <row r="373" spans="1:43" x14ac:dyDescent="0.45">
      <c r="A373" s="17"/>
      <c r="B373" s="18"/>
      <c r="C373" s="18"/>
      <c r="D373" s="25"/>
      <c r="E373" s="26"/>
      <c r="F373" s="26"/>
      <c r="G373" s="20"/>
      <c r="H373" s="20"/>
      <c r="I373" s="18"/>
      <c r="J373" s="18"/>
      <c r="K373" s="18"/>
      <c r="L373" s="18"/>
      <c r="M373" s="18"/>
      <c r="N373" s="18"/>
      <c r="O373" s="18"/>
      <c r="P373" s="18"/>
      <c r="Q373" s="18"/>
      <c r="R373" s="18"/>
      <c r="S373" s="18"/>
      <c r="T373" s="16" t="str">
        <f>IF($A373="","",COUNTIFS('LỆNH ĐIỀU XE'!$B$5:$B$604,$A373,'LỆNH ĐIỀU XE'!$C$5:$C$604,$B373))</f>
        <v/>
      </c>
      <c r="U373" s="27" t="str">
        <f>IF($A373="","",SUMIFS('LỆNH ĐIỀU XE'!$J$5:$J$604,'LỆNH ĐIỀU XE'!$B$5:$B$604,$A373,'LỆNH ĐIỀU XE'!$C$5:$C$604,$B373))</f>
        <v/>
      </c>
      <c r="V373" s="22" t="str">
        <f t="shared" si="50"/>
        <v/>
      </c>
      <c r="W373" s="28" t="str">
        <f t="shared" si="51"/>
        <v/>
      </c>
      <c r="X373" s="28" t="str">
        <f t="shared" si="52"/>
        <v/>
      </c>
      <c r="Y373" s="28" t="str">
        <f t="shared" si="53"/>
        <v/>
      </c>
      <c r="Z373" s="22" t="str">
        <f t="shared" si="54"/>
        <v/>
      </c>
      <c r="AA373" s="28" t="str">
        <f t="shared" si="55"/>
        <v/>
      </c>
      <c r="AB373" s="28" t="str">
        <f t="shared" si="56"/>
        <v/>
      </c>
      <c r="AC373" s="28" t="str">
        <f>IF($A373="","",SUMIFS('CHẶNG TĂNG CA'!$E$5:$E$304,'CHẶNG TĂNG CA'!$A$5:$A$304,$A373,'CHẶNG TĂNG CA'!$B$5:$B$304,$B373))</f>
        <v/>
      </c>
      <c r="AD373" s="28" t="str">
        <f>IF($A373="","",SUMIFS('CHẶNG TĂNG CA'!$F$5:$F$304,'CHẶNG TĂNG CA'!$A$5:$A$304,$A373,'CHẶNG TĂNG CA'!$B$5:$B$304,$B373))</f>
        <v/>
      </c>
      <c r="AE373" s="28" t="str">
        <f>IF($A373="","",SUMIFS('CHẶNG TĂNG CA'!$G$5:$G$304,'CHẶNG TĂNG CA'!$A$5:$A$304,$A373,'CHẶNG TĂNG CA'!$B$5:$B$304,$B373))</f>
        <v/>
      </c>
      <c r="AF373" s="28" t="str">
        <f>IF($A373="","",SUMIFS('CHẶNG TĂNG CA'!$H$5:$H$304,'CHẶNG TĂNG CA'!$A$5:$A$304,$A373,'CHẶNG TĂNG CA'!$B$5:$B$304,$B373))</f>
        <v/>
      </c>
      <c r="AG373" s="28" t="str">
        <f t="shared" si="57"/>
        <v/>
      </c>
      <c r="AH373" s="16" t="str">
        <f>IF($A373="","",IF(COUNTIFS('LỆNH ĐIỀU XE'!$B$5:$B$604,$A373,'LỆNH ĐIỀU XE'!$C$5:$C$604,$B373,'LỆNH ĐIỀU XE'!$N$5:$N$604,"Có")&gt;0,"Có","Không"))</f>
        <v/>
      </c>
      <c r="AI373" s="16" t="str">
        <f>IF(OR($A373="",H373="",N(T373)=0),"",IF(_xlfn.MAXIFS('LỆNH ĐIỀU XE'!$U$5:$U$604,'LỆNH ĐIỀU XE'!$B$5:$B$604,$A373,'LỆNH ĐIỀU XE'!$C$5:$C$604,$B373)=0,"",ROUND((H373+(H373&lt;4/24)-_xlfn.MAXIFS('LỆNH ĐIỀU XE'!$U$5:$U$604,'LỆNH ĐIỀU XE'!$B$5:$B$604,$A373,'LỆNH ĐIỀU XE'!$C$5:$C$604,$B373))*1440,0)))</f>
        <v/>
      </c>
      <c r="AJ373" s="16" t="str">
        <f>IF($A373="","",IF(OR(AI373="",V373=""),"Thiếu dữ liệu",IF(AND(AI373&lt;='THAM SỐ'!$B$29,ABS(V373)&lt;='THAM SỐ'!$B$28),"Đạt","Không đạt")))</f>
        <v/>
      </c>
      <c r="AK373" s="16" t="str">
        <f t="shared" si="58"/>
        <v/>
      </c>
      <c r="AL373" s="16" t="str">
        <f>IF($A373="","",TRIM(IF(T373=0,"Không có lệnh; ","")&amp;IF(N(N373)&gt;0,"Dừng ngoài lệnh; ","")&amp;IF(N(J373)&gt;0,"Quá tốc độ; ","")&amp;IF(N(K373)&gt;0,"Lái quá 4h; ","")&amp;IF(N(L373)&gt;0,"Không tắt máy; ","")&amp;IF(OR(P373&lt;&gt;"Đủ",Q373&lt;&gt;"Đủ",R373&lt;&gt;"Đủ"),"Thiếu ảnh; ","")&amp;IF(S373&lt;&gt;"Đạt","Lốp chưa đạt; ","")&amp;IF(N(W373)&gt;'THAM SỐ'!$B$27,"Có mặt quá giờ; ","")&amp;IF(N(X373)&gt;'THAM SỐ'!$B$25,"Lái quá giờ ngày; ","")&amp;IF(ISNUMBER(V373),IF(ABS(V373)&gt;'THAM SỐ'!$B$28,"Lệch km; ",""),"")))</f>
        <v/>
      </c>
      <c r="AM373" s="29"/>
      <c r="AN373" s="30"/>
      <c r="AO373" s="28" t="str">
        <f t="shared" si="59"/>
        <v/>
      </c>
      <c r="AP373" s="21" t="str">
        <f>IF(OR($A373="",AO373=""),"",IF(AG373=0,0,ROUND((AC373*'THAM SỐ'!$B$18+AD373*'THAM SỐ'!$B$19+AE373*'THAM SỐ'!$B$20+AF373*'THAM SỐ'!$B$21)*MIN(1,AO373/AG373),0)))</f>
        <v/>
      </c>
      <c r="AQ373" s="18"/>
    </row>
    <row r="374" spans="1:43" x14ac:dyDescent="0.45">
      <c r="A374" s="17"/>
      <c r="B374" s="18"/>
      <c r="C374" s="18"/>
      <c r="D374" s="25"/>
      <c r="E374" s="26"/>
      <c r="F374" s="26"/>
      <c r="G374" s="20"/>
      <c r="H374" s="20"/>
      <c r="I374" s="18"/>
      <c r="J374" s="18"/>
      <c r="K374" s="18"/>
      <c r="L374" s="18"/>
      <c r="M374" s="18"/>
      <c r="N374" s="18"/>
      <c r="O374" s="18"/>
      <c r="P374" s="18"/>
      <c r="Q374" s="18"/>
      <c r="R374" s="18"/>
      <c r="S374" s="18"/>
      <c r="T374" s="16" t="str">
        <f>IF($A374="","",COUNTIFS('LỆNH ĐIỀU XE'!$B$5:$B$604,$A374,'LỆNH ĐIỀU XE'!$C$5:$C$604,$B374))</f>
        <v/>
      </c>
      <c r="U374" s="27" t="str">
        <f>IF($A374="","",SUMIFS('LỆNH ĐIỀU XE'!$J$5:$J$604,'LỆNH ĐIỀU XE'!$B$5:$B$604,$A374,'LỆNH ĐIỀU XE'!$C$5:$C$604,$B374))</f>
        <v/>
      </c>
      <c r="V374" s="22" t="str">
        <f t="shared" si="50"/>
        <v/>
      </c>
      <c r="W374" s="28" t="str">
        <f t="shared" si="51"/>
        <v/>
      </c>
      <c r="X374" s="28" t="str">
        <f t="shared" si="52"/>
        <v/>
      </c>
      <c r="Y374" s="28" t="str">
        <f t="shared" si="53"/>
        <v/>
      </c>
      <c r="Z374" s="22" t="str">
        <f t="shared" si="54"/>
        <v/>
      </c>
      <c r="AA374" s="28" t="str">
        <f t="shared" si="55"/>
        <v/>
      </c>
      <c r="AB374" s="28" t="str">
        <f t="shared" si="56"/>
        <v/>
      </c>
      <c r="AC374" s="28" t="str">
        <f>IF($A374="","",SUMIFS('CHẶNG TĂNG CA'!$E$5:$E$304,'CHẶNG TĂNG CA'!$A$5:$A$304,$A374,'CHẶNG TĂNG CA'!$B$5:$B$304,$B374))</f>
        <v/>
      </c>
      <c r="AD374" s="28" t="str">
        <f>IF($A374="","",SUMIFS('CHẶNG TĂNG CA'!$F$5:$F$304,'CHẶNG TĂNG CA'!$A$5:$A$304,$A374,'CHẶNG TĂNG CA'!$B$5:$B$304,$B374))</f>
        <v/>
      </c>
      <c r="AE374" s="28" t="str">
        <f>IF($A374="","",SUMIFS('CHẶNG TĂNG CA'!$G$5:$G$304,'CHẶNG TĂNG CA'!$A$5:$A$304,$A374,'CHẶNG TĂNG CA'!$B$5:$B$304,$B374))</f>
        <v/>
      </c>
      <c r="AF374" s="28" t="str">
        <f>IF($A374="","",SUMIFS('CHẶNG TĂNG CA'!$H$5:$H$304,'CHẶNG TĂNG CA'!$A$5:$A$304,$A374,'CHẶNG TĂNG CA'!$B$5:$B$304,$B374))</f>
        <v/>
      </c>
      <c r="AG374" s="28" t="str">
        <f t="shared" si="57"/>
        <v/>
      </c>
      <c r="AH374" s="16" t="str">
        <f>IF($A374="","",IF(COUNTIFS('LỆNH ĐIỀU XE'!$B$5:$B$604,$A374,'LỆNH ĐIỀU XE'!$C$5:$C$604,$B374,'LỆNH ĐIỀU XE'!$N$5:$N$604,"Có")&gt;0,"Có","Không"))</f>
        <v/>
      </c>
      <c r="AI374" s="16" t="str">
        <f>IF(OR($A374="",H374="",N(T374)=0),"",IF(_xlfn.MAXIFS('LỆNH ĐIỀU XE'!$U$5:$U$604,'LỆNH ĐIỀU XE'!$B$5:$B$604,$A374,'LỆNH ĐIỀU XE'!$C$5:$C$604,$B374)=0,"",ROUND((H374+(H374&lt;4/24)-_xlfn.MAXIFS('LỆNH ĐIỀU XE'!$U$5:$U$604,'LỆNH ĐIỀU XE'!$B$5:$B$604,$A374,'LỆNH ĐIỀU XE'!$C$5:$C$604,$B374))*1440,0)))</f>
        <v/>
      </c>
      <c r="AJ374" s="16" t="str">
        <f>IF($A374="","",IF(OR(AI374="",V374=""),"Thiếu dữ liệu",IF(AND(AI374&lt;='THAM SỐ'!$B$29,ABS(V374)&lt;='THAM SỐ'!$B$28),"Đạt","Không đạt")))</f>
        <v/>
      </c>
      <c r="AK374" s="16" t="str">
        <f t="shared" si="58"/>
        <v/>
      </c>
      <c r="AL374" s="16" t="str">
        <f>IF($A374="","",TRIM(IF(T374=0,"Không có lệnh; ","")&amp;IF(N(N374)&gt;0,"Dừng ngoài lệnh; ","")&amp;IF(N(J374)&gt;0,"Quá tốc độ; ","")&amp;IF(N(K374)&gt;0,"Lái quá 4h; ","")&amp;IF(N(L374)&gt;0,"Không tắt máy; ","")&amp;IF(OR(P374&lt;&gt;"Đủ",Q374&lt;&gt;"Đủ",R374&lt;&gt;"Đủ"),"Thiếu ảnh; ","")&amp;IF(S374&lt;&gt;"Đạt","Lốp chưa đạt; ","")&amp;IF(N(W374)&gt;'THAM SỐ'!$B$27,"Có mặt quá giờ; ","")&amp;IF(N(X374)&gt;'THAM SỐ'!$B$25,"Lái quá giờ ngày; ","")&amp;IF(ISNUMBER(V374),IF(ABS(V374)&gt;'THAM SỐ'!$B$28,"Lệch km; ",""),"")))</f>
        <v/>
      </c>
      <c r="AM374" s="29"/>
      <c r="AN374" s="30"/>
      <c r="AO374" s="28" t="str">
        <f t="shared" si="59"/>
        <v/>
      </c>
      <c r="AP374" s="21" t="str">
        <f>IF(OR($A374="",AO374=""),"",IF(AG374=0,0,ROUND((AC374*'THAM SỐ'!$B$18+AD374*'THAM SỐ'!$B$19+AE374*'THAM SỐ'!$B$20+AF374*'THAM SỐ'!$B$21)*MIN(1,AO374/AG374),0)))</f>
        <v/>
      </c>
      <c r="AQ374" s="18"/>
    </row>
    <row r="375" spans="1:43" x14ac:dyDescent="0.45">
      <c r="A375" s="17"/>
      <c r="B375" s="18"/>
      <c r="C375" s="18"/>
      <c r="D375" s="25"/>
      <c r="E375" s="26"/>
      <c r="F375" s="26"/>
      <c r="G375" s="20"/>
      <c r="H375" s="20"/>
      <c r="I375" s="18"/>
      <c r="J375" s="18"/>
      <c r="K375" s="18"/>
      <c r="L375" s="18"/>
      <c r="M375" s="18"/>
      <c r="N375" s="18"/>
      <c r="O375" s="18"/>
      <c r="P375" s="18"/>
      <c r="Q375" s="18"/>
      <c r="R375" s="18"/>
      <c r="S375" s="18"/>
      <c r="T375" s="16" t="str">
        <f>IF($A375="","",COUNTIFS('LỆNH ĐIỀU XE'!$B$5:$B$604,$A375,'LỆNH ĐIỀU XE'!$C$5:$C$604,$B375))</f>
        <v/>
      </c>
      <c r="U375" s="27" t="str">
        <f>IF($A375="","",SUMIFS('LỆNH ĐIỀU XE'!$J$5:$J$604,'LỆNH ĐIỀU XE'!$B$5:$B$604,$A375,'LỆNH ĐIỀU XE'!$C$5:$C$604,$B375))</f>
        <v/>
      </c>
      <c r="V375" s="22" t="str">
        <f t="shared" si="50"/>
        <v/>
      </c>
      <c r="W375" s="28" t="str">
        <f t="shared" si="51"/>
        <v/>
      </c>
      <c r="X375" s="28" t="str">
        <f t="shared" si="52"/>
        <v/>
      </c>
      <c r="Y375" s="28" t="str">
        <f t="shared" si="53"/>
        <v/>
      </c>
      <c r="Z375" s="22" t="str">
        <f t="shared" si="54"/>
        <v/>
      </c>
      <c r="AA375" s="28" t="str">
        <f t="shared" si="55"/>
        <v/>
      </c>
      <c r="AB375" s="28" t="str">
        <f t="shared" si="56"/>
        <v/>
      </c>
      <c r="AC375" s="28" t="str">
        <f>IF($A375="","",SUMIFS('CHẶNG TĂNG CA'!$E$5:$E$304,'CHẶNG TĂNG CA'!$A$5:$A$304,$A375,'CHẶNG TĂNG CA'!$B$5:$B$304,$B375))</f>
        <v/>
      </c>
      <c r="AD375" s="28" t="str">
        <f>IF($A375="","",SUMIFS('CHẶNG TĂNG CA'!$F$5:$F$304,'CHẶNG TĂNG CA'!$A$5:$A$304,$A375,'CHẶNG TĂNG CA'!$B$5:$B$304,$B375))</f>
        <v/>
      </c>
      <c r="AE375" s="28" t="str">
        <f>IF($A375="","",SUMIFS('CHẶNG TĂNG CA'!$G$5:$G$304,'CHẶNG TĂNG CA'!$A$5:$A$304,$A375,'CHẶNG TĂNG CA'!$B$5:$B$304,$B375))</f>
        <v/>
      </c>
      <c r="AF375" s="28" t="str">
        <f>IF($A375="","",SUMIFS('CHẶNG TĂNG CA'!$H$5:$H$304,'CHẶNG TĂNG CA'!$A$5:$A$304,$A375,'CHẶNG TĂNG CA'!$B$5:$B$304,$B375))</f>
        <v/>
      </c>
      <c r="AG375" s="28" t="str">
        <f t="shared" si="57"/>
        <v/>
      </c>
      <c r="AH375" s="16" t="str">
        <f>IF($A375="","",IF(COUNTIFS('LỆNH ĐIỀU XE'!$B$5:$B$604,$A375,'LỆNH ĐIỀU XE'!$C$5:$C$604,$B375,'LỆNH ĐIỀU XE'!$N$5:$N$604,"Có")&gt;0,"Có","Không"))</f>
        <v/>
      </c>
      <c r="AI375" s="16" t="str">
        <f>IF(OR($A375="",H375="",N(T375)=0),"",IF(_xlfn.MAXIFS('LỆNH ĐIỀU XE'!$U$5:$U$604,'LỆNH ĐIỀU XE'!$B$5:$B$604,$A375,'LỆNH ĐIỀU XE'!$C$5:$C$604,$B375)=0,"",ROUND((H375+(H375&lt;4/24)-_xlfn.MAXIFS('LỆNH ĐIỀU XE'!$U$5:$U$604,'LỆNH ĐIỀU XE'!$B$5:$B$604,$A375,'LỆNH ĐIỀU XE'!$C$5:$C$604,$B375))*1440,0)))</f>
        <v/>
      </c>
      <c r="AJ375" s="16" t="str">
        <f>IF($A375="","",IF(OR(AI375="",V375=""),"Thiếu dữ liệu",IF(AND(AI375&lt;='THAM SỐ'!$B$29,ABS(V375)&lt;='THAM SỐ'!$B$28),"Đạt","Không đạt")))</f>
        <v/>
      </c>
      <c r="AK375" s="16" t="str">
        <f t="shared" si="58"/>
        <v/>
      </c>
      <c r="AL375" s="16" t="str">
        <f>IF($A375="","",TRIM(IF(T375=0,"Không có lệnh; ","")&amp;IF(N(N375)&gt;0,"Dừng ngoài lệnh; ","")&amp;IF(N(J375)&gt;0,"Quá tốc độ; ","")&amp;IF(N(K375)&gt;0,"Lái quá 4h; ","")&amp;IF(N(L375)&gt;0,"Không tắt máy; ","")&amp;IF(OR(P375&lt;&gt;"Đủ",Q375&lt;&gt;"Đủ",R375&lt;&gt;"Đủ"),"Thiếu ảnh; ","")&amp;IF(S375&lt;&gt;"Đạt","Lốp chưa đạt; ","")&amp;IF(N(W375)&gt;'THAM SỐ'!$B$27,"Có mặt quá giờ; ","")&amp;IF(N(X375)&gt;'THAM SỐ'!$B$25,"Lái quá giờ ngày; ","")&amp;IF(ISNUMBER(V375),IF(ABS(V375)&gt;'THAM SỐ'!$B$28,"Lệch km; ",""),"")))</f>
        <v/>
      </c>
      <c r="AM375" s="29"/>
      <c r="AN375" s="30"/>
      <c r="AO375" s="28" t="str">
        <f t="shared" si="59"/>
        <v/>
      </c>
      <c r="AP375" s="21" t="str">
        <f>IF(OR($A375="",AO375=""),"",IF(AG375=0,0,ROUND((AC375*'THAM SỐ'!$B$18+AD375*'THAM SỐ'!$B$19+AE375*'THAM SỐ'!$B$20+AF375*'THAM SỐ'!$B$21)*MIN(1,AO375/AG375),0)))</f>
        <v/>
      </c>
      <c r="AQ375" s="18"/>
    </row>
    <row r="376" spans="1:43" x14ac:dyDescent="0.45">
      <c r="A376" s="17"/>
      <c r="B376" s="18"/>
      <c r="C376" s="18"/>
      <c r="D376" s="25"/>
      <c r="E376" s="26"/>
      <c r="F376" s="26"/>
      <c r="G376" s="20"/>
      <c r="H376" s="20"/>
      <c r="I376" s="18"/>
      <c r="J376" s="18"/>
      <c r="K376" s="18"/>
      <c r="L376" s="18"/>
      <c r="M376" s="18"/>
      <c r="N376" s="18"/>
      <c r="O376" s="18"/>
      <c r="P376" s="18"/>
      <c r="Q376" s="18"/>
      <c r="R376" s="18"/>
      <c r="S376" s="18"/>
      <c r="T376" s="16" t="str">
        <f>IF($A376="","",COUNTIFS('LỆNH ĐIỀU XE'!$B$5:$B$604,$A376,'LỆNH ĐIỀU XE'!$C$5:$C$604,$B376))</f>
        <v/>
      </c>
      <c r="U376" s="27" t="str">
        <f>IF($A376="","",SUMIFS('LỆNH ĐIỀU XE'!$J$5:$J$604,'LỆNH ĐIỀU XE'!$B$5:$B$604,$A376,'LỆNH ĐIỀU XE'!$C$5:$C$604,$B376))</f>
        <v/>
      </c>
      <c r="V376" s="22" t="str">
        <f t="shared" si="50"/>
        <v/>
      </c>
      <c r="W376" s="28" t="str">
        <f t="shared" si="51"/>
        <v/>
      </c>
      <c r="X376" s="28" t="str">
        <f t="shared" si="52"/>
        <v/>
      </c>
      <c r="Y376" s="28" t="str">
        <f t="shared" si="53"/>
        <v/>
      </c>
      <c r="Z376" s="22" t="str">
        <f t="shared" si="54"/>
        <v/>
      </c>
      <c r="AA376" s="28" t="str">
        <f t="shared" si="55"/>
        <v/>
      </c>
      <c r="AB376" s="28" t="str">
        <f t="shared" si="56"/>
        <v/>
      </c>
      <c r="AC376" s="28" t="str">
        <f>IF($A376="","",SUMIFS('CHẶNG TĂNG CA'!$E$5:$E$304,'CHẶNG TĂNG CA'!$A$5:$A$304,$A376,'CHẶNG TĂNG CA'!$B$5:$B$304,$B376))</f>
        <v/>
      </c>
      <c r="AD376" s="28" t="str">
        <f>IF($A376="","",SUMIFS('CHẶNG TĂNG CA'!$F$5:$F$304,'CHẶNG TĂNG CA'!$A$5:$A$304,$A376,'CHẶNG TĂNG CA'!$B$5:$B$304,$B376))</f>
        <v/>
      </c>
      <c r="AE376" s="28" t="str">
        <f>IF($A376="","",SUMIFS('CHẶNG TĂNG CA'!$G$5:$G$304,'CHẶNG TĂNG CA'!$A$5:$A$304,$A376,'CHẶNG TĂNG CA'!$B$5:$B$304,$B376))</f>
        <v/>
      </c>
      <c r="AF376" s="28" t="str">
        <f>IF($A376="","",SUMIFS('CHẶNG TĂNG CA'!$H$5:$H$304,'CHẶNG TĂNG CA'!$A$5:$A$304,$A376,'CHẶNG TĂNG CA'!$B$5:$B$304,$B376))</f>
        <v/>
      </c>
      <c r="AG376" s="28" t="str">
        <f t="shared" si="57"/>
        <v/>
      </c>
      <c r="AH376" s="16" t="str">
        <f>IF($A376="","",IF(COUNTIFS('LỆNH ĐIỀU XE'!$B$5:$B$604,$A376,'LỆNH ĐIỀU XE'!$C$5:$C$604,$B376,'LỆNH ĐIỀU XE'!$N$5:$N$604,"Có")&gt;0,"Có","Không"))</f>
        <v/>
      </c>
      <c r="AI376" s="16" t="str">
        <f>IF(OR($A376="",H376="",N(T376)=0),"",IF(_xlfn.MAXIFS('LỆNH ĐIỀU XE'!$U$5:$U$604,'LỆNH ĐIỀU XE'!$B$5:$B$604,$A376,'LỆNH ĐIỀU XE'!$C$5:$C$604,$B376)=0,"",ROUND((H376+(H376&lt;4/24)-_xlfn.MAXIFS('LỆNH ĐIỀU XE'!$U$5:$U$604,'LỆNH ĐIỀU XE'!$B$5:$B$604,$A376,'LỆNH ĐIỀU XE'!$C$5:$C$604,$B376))*1440,0)))</f>
        <v/>
      </c>
      <c r="AJ376" s="16" t="str">
        <f>IF($A376="","",IF(OR(AI376="",V376=""),"Thiếu dữ liệu",IF(AND(AI376&lt;='THAM SỐ'!$B$29,ABS(V376)&lt;='THAM SỐ'!$B$28),"Đạt","Không đạt")))</f>
        <v/>
      </c>
      <c r="AK376" s="16" t="str">
        <f t="shared" si="58"/>
        <v/>
      </c>
      <c r="AL376" s="16" t="str">
        <f>IF($A376="","",TRIM(IF(T376=0,"Không có lệnh; ","")&amp;IF(N(N376)&gt;0,"Dừng ngoài lệnh; ","")&amp;IF(N(J376)&gt;0,"Quá tốc độ; ","")&amp;IF(N(K376)&gt;0,"Lái quá 4h; ","")&amp;IF(N(L376)&gt;0,"Không tắt máy; ","")&amp;IF(OR(P376&lt;&gt;"Đủ",Q376&lt;&gt;"Đủ",R376&lt;&gt;"Đủ"),"Thiếu ảnh; ","")&amp;IF(S376&lt;&gt;"Đạt","Lốp chưa đạt; ","")&amp;IF(N(W376)&gt;'THAM SỐ'!$B$27,"Có mặt quá giờ; ","")&amp;IF(N(X376)&gt;'THAM SỐ'!$B$25,"Lái quá giờ ngày; ","")&amp;IF(ISNUMBER(V376),IF(ABS(V376)&gt;'THAM SỐ'!$B$28,"Lệch km; ",""),"")))</f>
        <v/>
      </c>
      <c r="AM376" s="29"/>
      <c r="AN376" s="30"/>
      <c r="AO376" s="28" t="str">
        <f t="shared" si="59"/>
        <v/>
      </c>
      <c r="AP376" s="21" t="str">
        <f>IF(OR($A376="",AO376=""),"",IF(AG376=0,0,ROUND((AC376*'THAM SỐ'!$B$18+AD376*'THAM SỐ'!$B$19+AE376*'THAM SỐ'!$B$20+AF376*'THAM SỐ'!$B$21)*MIN(1,AO376/AG376),0)))</f>
        <v/>
      </c>
      <c r="AQ376" s="18"/>
    </row>
    <row r="377" spans="1:43" x14ac:dyDescent="0.45">
      <c r="A377" s="17"/>
      <c r="B377" s="18"/>
      <c r="C377" s="18"/>
      <c r="D377" s="25"/>
      <c r="E377" s="26"/>
      <c r="F377" s="26"/>
      <c r="G377" s="20"/>
      <c r="H377" s="20"/>
      <c r="I377" s="18"/>
      <c r="J377" s="18"/>
      <c r="K377" s="18"/>
      <c r="L377" s="18"/>
      <c r="M377" s="18"/>
      <c r="N377" s="18"/>
      <c r="O377" s="18"/>
      <c r="P377" s="18"/>
      <c r="Q377" s="18"/>
      <c r="R377" s="18"/>
      <c r="S377" s="18"/>
      <c r="T377" s="16" t="str">
        <f>IF($A377="","",COUNTIFS('LỆNH ĐIỀU XE'!$B$5:$B$604,$A377,'LỆNH ĐIỀU XE'!$C$5:$C$604,$B377))</f>
        <v/>
      </c>
      <c r="U377" s="27" t="str">
        <f>IF($A377="","",SUMIFS('LỆNH ĐIỀU XE'!$J$5:$J$604,'LỆNH ĐIỀU XE'!$B$5:$B$604,$A377,'LỆNH ĐIỀU XE'!$C$5:$C$604,$B377))</f>
        <v/>
      </c>
      <c r="V377" s="22" t="str">
        <f t="shared" si="50"/>
        <v/>
      </c>
      <c r="W377" s="28" t="str">
        <f t="shared" si="51"/>
        <v/>
      </c>
      <c r="X377" s="28" t="str">
        <f t="shared" si="52"/>
        <v/>
      </c>
      <c r="Y377" s="28" t="str">
        <f t="shared" si="53"/>
        <v/>
      </c>
      <c r="Z377" s="22" t="str">
        <f t="shared" si="54"/>
        <v/>
      </c>
      <c r="AA377" s="28" t="str">
        <f t="shared" si="55"/>
        <v/>
      </c>
      <c r="AB377" s="28" t="str">
        <f t="shared" si="56"/>
        <v/>
      </c>
      <c r="AC377" s="28" t="str">
        <f>IF($A377="","",SUMIFS('CHẶNG TĂNG CA'!$E$5:$E$304,'CHẶNG TĂNG CA'!$A$5:$A$304,$A377,'CHẶNG TĂNG CA'!$B$5:$B$304,$B377))</f>
        <v/>
      </c>
      <c r="AD377" s="28" t="str">
        <f>IF($A377="","",SUMIFS('CHẶNG TĂNG CA'!$F$5:$F$304,'CHẶNG TĂNG CA'!$A$5:$A$304,$A377,'CHẶNG TĂNG CA'!$B$5:$B$304,$B377))</f>
        <v/>
      </c>
      <c r="AE377" s="28" t="str">
        <f>IF($A377="","",SUMIFS('CHẶNG TĂNG CA'!$G$5:$G$304,'CHẶNG TĂNG CA'!$A$5:$A$304,$A377,'CHẶNG TĂNG CA'!$B$5:$B$304,$B377))</f>
        <v/>
      </c>
      <c r="AF377" s="28" t="str">
        <f>IF($A377="","",SUMIFS('CHẶNG TĂNG CA'!$H$5:$H$304,'CHẶNG TĂNG CA'!$A$5:$A$304,$A377,'CHẶNG TĂNG CA'!$B$5:$B$304,$B377))</f>
        <v/>
      </c>
      <c r="AG377" s="28" t="str">
        <f t="shared" si="57"/>
        <v/>
      </c>
      <c r="AH377" s="16" t="str">
        <f>IF($A377="","",IF(COUNTIFS('LỆNH ĐIỀU XE'!$B$5:$B$604,$A377,'LỆNH ĐIỀU XE'!$C$5:$C$604,$B377,'LỆNH ĐIỀU XE'!$N$5:$N$604,"Có")&gt;0,"Có","Không"))</f>
        <v/>
      </c>
      <c r="AI377" s="16" t="str">
        <f>IF(OR($A377="",H377="",N(T377)=0),"",IF(_xlfn.MAXIFS('LỆNH ĐIỀU XE'!$U$5:$U$604,'LỆNH ĐIỀU XE'!$B$5:$B$604,$A377,'LỆNH ĐIỀU XE'!$C$5:$C$604,$B377)=0,"",ROUND((H377+(H377&lt;4/24)-_xlfn.MAXIFS('LỆNH ĐIỀU XE'!$U$5:$U$604,'LỆNH ĐIỀU XE'!$B$5:$B$604,$A377,'LỆNH ĐIỀU XE'!$C$5:$C$604,$B377))*1440,0)))</f>
        <v/>
      </c>
      <c r="AJ377" s="16" t="str">
        <f>IF($A377="","",IF(OR(AI377="",V377=""),"Thiếu dữ liệu",IF(AND(AI377&lt;='THAM SỐ'!$B$29,ABS(V377)&lt;='THAM SỐ'!$B$28),"Đạt","Không đạt")))</f>
        <v/>
      </c>
      <c r="AK377" s="16" t="str">
        <f t="shared" si="58"/>
        <v/>
      </c>
      <c r="AL377" s="16" t="str">
        <f>IF($A377="","",TRIM(IF(T377=0,"Không có lệnh; ","")&amp;IF(N(N377)&gt;0,"Dừng ngoài lệnh; ","")&amp;IF(N(J377)&gt;0,"Quá tốc độ; ","")&amp;IF(N(K377)&gt;0,"Lái quá 4h; ","")&amp;IF(N(L377)&gt;0,"Không tắt máy; ","")&amp;IF(OR(P377&lt;&gt;"Đủ",Q377&lt;&gt;"Đủ",R377&lt;&gt;"Đủ"),"Thiếu ảnh; ","")&amp;IF(S377&lt;&gt;"Đạt","Lốp chưa đạt; ","")&amp;IF(N(W377)&gt;'THAM SỐ'!$B$27,"Có mặt quá giờ; ","")&amp;IF(N(X377)&gt;'THAM SỐ'!$B$25,"Lái quá giờ ngày; ","")&amp;IF(ISNUMBER(V377),IF(ABS(V377)&gt;'THAM SỐ'!$B$28,"Lệch km; ",""),"")))</f>
        <v/>
      </c>
      <c r="AM377" s="29"/>
      <c r="AN377" s="30"/>
      <c r="AO377" s="28" t="str">
        <f t="shared" si="59"/>
        <v/>
      </c>
      <c r="AP377" s="21" t="str">
        <f>IF(OR($A377="",AO377=""),"",IF(AG377=0,0,ROUND((AC377*'THAM SỐ'!$B$18+AD377*'THAM SỐ'!$B$19+AE377*'THAM SỐ'!$B$20+AF377*'THAM SỐ'!$B$21)*MIN(1,AO377/AG377),0)))</f>
        <v/>
      </c>
      <c r="AQ377" s="18"/>
    </row>
    <row r="378" spans="1:43" x14ac:dyDescent="0.45">
      <c r="A378" s="17"/>
      <c r="B378" s="18"/>
      <c r="C378" s="18"/>
      <c r="D378" s="25"/>
      <c r="E378" s="26"/>
      <c r="F378" s="26"/>
      <c r="G378" s="20"/>
      <c r="H378" s="20"/>
      <c r="I378" s="18"/>
      <c r="J378" s="18"/>
      <c r="K378" s="18"/>
      <c r="L378" s="18"/>
      <c r="M378" s="18"/>
      <c r="N378" s="18"/>
      <c r="O378" s="18"/>
      <c r="P378" s="18"/>
      <c r="Q378" s="18"/>
      <c r="R378" s="18"/>
      <c r="S378" s="18"/>
      <c r="T378" s="16" t="str">
        <f>IF($A378="","",COUNTIFS('LỆNH ĐIỀU XE'!$B$5:$B$604,$A378,'LỆNH ĐIỀU XE'!$C$5:$C$604,$B378))</f>
        <v/>
      </c>
      <c r="U378" s="27" t="str">
        <f>IF($A378="","",SUMIFS('LỆNH ĐIỀU XE'!$J$5:$J$604,'LỆNH ĐIỀU XE'!$B$5:$B$604,$A378,'LỆNH ĐIỀU XE'!$C$5:$C$604,$B378))</f>
        <v/>
      </c>
      <c r="V378" s="22" t="str">
        <f t="shared" si="50"/>
        <v/>
      </c>
      <c r="W378" s="28" t="str">
        <f t="shared" si="51"/>
        <v/>
      </c>
      <c r="X378" s="28" t="str">
        <f t="shared" si="52"/>
        <v/>
      </c>
      <c r="Y378" s="28" t="str">
        <f t="shared" si="53"/>
        <v/>
      </c>
      <c r="Z378" s="22" t="str">
        <f t="shared" si="54"/>
        <v/>
      </c>
      <c r="AA378" s="28" t="str">
        <f t="shared" si="55"/>
        <v/>
      </c>
      <c r="AB378" s="28" t="str">
        <f t="shared" si="56"/>
        <v/>
      </c>
      <c r="AC378" s="28" t="str">
        <f>IF($A378="","",SUMIFS('CHẶNG TĂNG CA'!$E$5:$E$304,'CHẶNG TĂNG CA'!$A$5:$A$304,$A378,'CHẶNG TĂNG CA'!$B$5:$B$304,$B378))</f>
        <v/>
      </c>
      <c r="AD378" s="28" t="str">
        <f>IF($A378="","",SUMIFS('CHẶNG TĂNG CA'!$F$5:$F$304,'CHẶNG TĂNG CA'!$A$5:$A$304,$A378,'CHẶNG TĂNG CA'!$B$5:$B$304,$B378))</f>
        <v/>
      </c>
      <c r="AE378" s="28" t="str">
        <f>IF($A378="","",SUMIFS('CHẶNG TĂNG CA'!$G$5:$G$304,'CHẶNG TĂNG CA'!$A$5:$A$304,$A378,'CHẶNG TĂNG CA'!$B$5:$B$304,$B378))</f>
        <v/>
      </c>
      <c r="AF378" s="28" t="str">
        <f>IF($A378="","",SUMIFS('CHẶNG TĂNG CA'!$H$5:$H$304,'CHẶNG TĂNG CA'!$A$5:$A$304,$A378,'CHẶNG TĂNG CA'!$B$5:$B$304,$B378))</f>
        <v/>
      </c>
      <c r="AG378" s="28" t="str">
        <f t="shared" si="57"/>
        <v/>
      </c>
      <c r="AH378" s="16" t="str">
        <f>IF($A378="","",IF(COUNTIFS('LỆNH ĐIỀU XE'!$B$5:$B$604,$A378,'LỆNH ĐIỀU XE'!$C$5:$C$604,$B378,'LỆNH ĐIỀU XE'!$N$5:$N$604,"Có")&gt;0,"Có","Không"))</f>
        <v/>
      </c>
      <c r="AI378" s="16" t="str">
        <f>IF(OR($A378="",H378="",N(T378)=0),"",IF(_xlfn.MAXIFS('LỆNH ĐIỀU XE'!$U$5:$U$604,'LỆNH ĐIỀU XE'!$B$5:$B$604,$A378,'LỆNH ĐIỀU XE'!$C$5:$C$604,$B378)=0,"",ROUND((H378+(H378&lt;4/24)-_xlfn.MAXIFS('LỆNH ĐIỀU XE'!$U$5:$U$604,'LỆNH ĐIỀU XE'!$B$5:$B$604,$A378,'LỆNH ĐIỀU XE'!$C$5:$C$604,$B378))*1440,0)))</f>
        <v/>
      </c>
      <c r="AJ378" s="16" t="str">
        <f>IF($A378="","",IF(OR(AI378="",V378=""),"Thiếu dữ liệu",IF(AND(AI378&lt;='THAM SỐ'!$B$29,ABS(V378)&lt;='THAM SỐ'!$B$28),"Đạt","Không đạt")))</f>
        <v/>
      </c>
      <c r="AK378" s="16" t="str">
        <f t="shared" si="58"/>
        <v/>
      </c>
      <c r="AL378" s="16" t="str">
        <f>IF($A378="","",TRIM(IF(T378=0,"Không có lệnh; ","")&amp;IF(N(N378)&gt;0,"Dừng ngoài lệnh; ","")&amp;IF(N(J378)&gt;0,"Quá tốc độ; ","")&amp;IF(N(K378)&gt;0,"Lái quá 4h; ","")&amp;IF(N(L378)&gt;0,"Không tắt máy; ","")&amp;IF(OR(P378&lt;&gt;"Đủ",Q378&lt;&gt;"Đủ",R378&lt;&gt;"Đủ"),"Thiếu ảnh; ","")&amp;IF(S378&lt;&gt;"Đạt","Lốp chưa đạt; ","")&amp;IF(N(W378)&gt;'THAM SỐ'!$B$27,"Có mặt quá giờ; ","")&amp;IF(N(X378)&gt;'THAM SỐ'!$B$25,"Lái quá giờ ngày; ","")&amp;IF(ISNUMBER(V378),IF(ABS(V378)&gt;'THAM SỐ'!$B$28,"Lệch km; ",""),"")))</f>
        <v/>
      </c>
      <c r="AM378" s="29"/>
      <c r="AN378" s="30"/>
      <c r="AO378" s="28" t="str">
        <f t="shared" si="59"/>
        <v/>
      </c>
      <c r="AP378" s="21" t="str">
        <f>IF(OR($A378="",AO378=""),"",IF(AG378=0,0,ROUND((AC378*'THAM SỐ'!$B$18+AD378*'THAM SỐ'!$B$19+AE378*'THAM SỐ'!$B$20+AF378*'THAM SỐ'!$B$21)*MIN(1,AO378/AG378),0)))</f>
        <v/>
      </c>
      <c r="AQ378" s="18"/>
    </row>
    <row r="379" spans="1:43" x14ac:dyDescent="0.45">
      <c r="A379" s="17"/>
      <c r="B379" s="18"/>
      <c r="C379" s="18"/>
      <c r="D379" s="25"/>
      <c r="E379" s="26"/>
      <c r="F379" s="26"/>
      <c r="G379" s="20"/>
      <c r="H379" s="20"/>
      <c r="I379" s="18"/>
      <c r="J379" s="18"/>
      <c r="K379" s="18"/>
      <c r="L379" s="18"/>
      <c r="M379" s="18"/>
      <c r="N379" s="18"/>
      <c r="O379" s="18"/>
      <c r="P379" s="18"/>
      <c r="Q379" s="18"/>
      <c r="R379" s="18"/>
      <c r="S379" s="18"/>
      <c r="T379" s="16" t="str">
        <f>IF($A379="","",COUNTIFS('LỆNH ĐIỀU XE'!$B$5:$B$604,$A379,'LỆNH ĐIỀU XE'!$C$5:$C$604,$B379))</f>
        <v/>
      </c>
      <c r="U379" s="27" t="str">
        <f>IF($A379="","",SUMIFS('LỆNH ĐIỀU XE'!$J$5:$J$604,'LỆNH ĐIỀU XE'!$B$5:$B$604,$A379,'LỆNH ĐIỀU XE'!$C$5:$C$604,$B379))</f>
        <v/>
      </c>
      <c r="V379" s="22" t="str">
        <f t="shared" si="50"/>
        <v/>
      </c>
      <c r="W379" s="28" t="str">
        <f t="shared" si="51"/>
        <v/>
      </c>
      <c r="X379" s="28" t="str">
        <f t="shared" si="52"/>
        <v/>
      </c>
      <c r="Y379" s="28" t="str">
        <f t="shared" si="53"/>
        <v/>
      </c>
      <c r="Z379" s="22" t="str">
        <f t="shared" si="54"/>
        <v/>
      </c>
      <c r="AA379" s="28" t="str">
        <f t="shared" si="55"/>
        <v/>
      </c>
      <c r="AB379" s="28" t="str">
        <f t="shared" si="56"/>
        <v/>
      </c>
      <c r="AC379" s="28" t="str">
        <f>IF($A379="","",SUMIFS('CHẶNG TĂNG CA'!$E$5:$E$304,'CHẶNG TĂNG CA'!$A$5:$A$304,$A379,'CHẶNG TĂNG CA'!$B$5:$B$304,$B379))</f>
        <v/>
      </c>
      <c r="AD379" s="28" t="str">
        <f>IF($A379="","",SUMIFS('CHẶNG TĂNG CA'!$F$5:$F$304,'CHẶNG TĂNG CA'!$A$5:$A$304,$A379,'CHẶNG TĂNG CA'!$B$5:$B$304,$B379))</f>
        <v/>
      </c>
      <c r="AE379" s="28" t="str">
        <f>IF($A379="","",SUMIFS('CHẶNG TĂNG CA'!$G$5:$G$304,'CHẶNG TĂNG CA'!$A$5:$A$304,$A379,'CHẶNG TĂNG CA'!$B$5:$B$304,$B379))</f>
        <v/>
      </c>
      <c r="AF379" s="28" t="str">
        <f>IF($A379="","",SUMIFS('CHẶNG TĂNG CA'!$H$5:$H$304,'CHẶNG TĂNG CA'!$A$5:$A$304,$A379,'CHẶNG TĂNG CA'!$B$5:$B$304,$B379))</f>
        <v/>
      </c>
      <c r="AG379" s="28" t="str">
        <f t="shared" si="57"/>
        <v/>
      </c>
      <c r="AH379" s="16" t="str">
        <f>IF($A379="","",IF(COUNTIFS('LỆNH ĐIỀU XE'!$B$5:$B$604,$A379,'LỆNH ĐIỀU XE'!$C$5:$C$604,$B379,'LỆNH ĐIỀU XE'!$N$5:$N$604,"Có")&gt;0,"Có","Không"))</f>
        <v/>
      </c>
      <c r="AI379" s="16" t="str">
        <f>IF(OR($A379="",H379="",N(T379)=0),"",IF(_xlfn.MAXIFS('LỆNH ĐIỀU XE'!$U$5:$U$604,'LỆNH ĐIỀU XE'!$B$5:$B$604,$A379,'LỆNH ĐIỀU XE'!$C$5:$C$604,$B379)=0,"",ROUND((H379+(H379&lt;4/24)-_xlfn.MAXIFS('LỆNH ĐIỀU XE'!$U$5:$U$604,'LỆNH ĐIỀU XE'!$B$5:$B$604,$A379,'LỆNH ĐIỀU XE'!$C$5:$C$604,$B379))*1440,0)))</f>
        <v/>
      </c>
      <c r="AJ379" s="16" t="str">
        <f>IF($A379="","",IF(OR(AI379="",V379=""),"Thiếu dữ liệu",IF(AND(AI379&lt;='THAM SỐ'!$B$29,ABS(V379)&lt;='THAM SỐ'!$B$28),"Đạt","Không đạt")))</f>
        <v/>
      </c>
      <c r="AK379" s="16" t="str">
        <f t="shared" si="58"/>
        <v/>
      </c>
      <c r="AL379" s="16" t="str">
        <f>IF($A379="","",TRIM(IF(T379=0,"Không có lệnh; ","")&amp;IF(N(N379)&gt;0,"Dừng ngoài lệnh; ","")&amp;IF(N(J379)&gt;0,"Quá tốc độ; ","")&amp;IF(N(K379)&gt;0,"Lái quá 4h; ","")&amp;IF(N(L379)&gt;0,"Không tắt máy; ","")&amp;IF(OR(P379&lt;&gt;"Đủ",Q379&lt;&gt;"Đủ",R379&lt;&gt;"Đủ"),"Thiếu ảnh; ","")&amp;IF(S379&lt;&gt;"Đạt","Lốp chưa đạt; ","")&amp;IF(N(W379)&gt;'THAM SỐ'!$B$27,"Có mặt quá giờ; ","")&amp;IF(N(X379)&gt;'THAM SỐ'!$B$25,"Lái quá giờ ngày; ","")&amp;IF(ISNUMBER(V379),IF(ABS(V379)&gt;'THAM SỐ'!$B$28,"Lệch km; ",""),"")))</f>
        <v/>
      </c>
      <c r="AM379" s="29"/>
      <c r="AN379" s="30"/>
      <c r="AO379" s="28" t="str">
        <f t="shared" si="59"/>
        <v/>
      </c>
      <c r="AP379" s="21" t="str">
        <f>IF(OR($A379="",AO379=""),"",IF(AG379=0,0,ROUND((AC379*'THAM SỐ'!$B$18+AD379*'THAM SỐ'!$B$19+AE379*'THAM SỐ'!$B$20+AF379*'THAM SỐ'!$B$21)*MIN(1,AO379/AG379),0)))</f>
        <v/>
      </c>
      <c r="AQ379" s="18"/>
    </row>
    <row r="380" spans="1:43" x14ac:dyDescent="0.45">
      <c r="A380" s="17"/>
      <c r="B380" s="18"/>
      <c r="C380" s="18"/>
      <c r="D380" s="25"/>
      <c r="E380" s="26"/>
      <c r="F380" s="26"/>
      <c r="G380" s="20"/>
      <c r="H380" s="20"/>
      <c r="I380" s="18"/>
      <c r="J380" s="18"/>
      <c r="K380" s="18"/>
      <c r="L380" s="18"/>
      <c r="M380" s="18"/>
      <c r="N380" s="18"/>
      <c r="O380" s="18"/>
      <c r="P380" s="18"/>
      <c r="Q380" s="18"/>
      <c r="R380" s="18"/>
      <c r="S380" s="18"/>
      <c r="T380" s="16" t="str">
        <f>IF($A380="","",COUNTIFS('LỆNH ĐIỀU XE'!$B$5:$B$604,$A380,'LỆNH ĐIỀU XE'!$C$5:$C$604,$B380))</f>
        <v/>
      </c>
      <c r="U380" s="27" t="str">
        <f>IF($A380="","",SUMIFS('LỆNH ĐIỀU XE'!$J$5:$J$604,'LỆNH ĐIỀU XE'!$B$5:$B$604,$A380,'LỆNH ĐIỀU XE'!$C$5:$C$604,$B380))</f>
        <v/>
      </c>
      <c r="V380" s="22" t="str">
        <f t="shared" si="50"/>
        <v/>
      </c>
      <c r="W380" s="28" t="str">
        <f t="shared" si="51"/>
        <v/>
      </c>
      <c r="X380" s="28" t="str">
        <f t="shared" si="52"/>
        <v/>
      </c>
      <c r="Y380" s="28" t="str">
        <f t="shared" si="53"/>
        <v/>
      </c>
      <c r="Z380" s="22" t="str">
        <f t="shared" si="54"/>
        <v/>
      </c>
      <c r="AA380" s="28" t="str">
        <f t="shared" si="55"/>
        <v/>
      </c>
      <c r="AB380" s="28" t="str">
        <f t="shared" si="56"/>
        <v/>
      </c>
      <c r="AC380" s="28" t="str">
        <f>IF($A380="","",SUMIFS('CHẶNG TĂNG CA'!$E$5:$E$304,'CHẶNG TĂNG CA'!$A$5:$A$304,$A380,'CHẶNG TĂNG CA'!$B$5:$B$304,$B380))</f>
        <v/>
      </c>
      <c r="AD380" s="28" t="str">
        <f>IF($A380="","",SUMIFS('CHẶNG TĂNG CA'!$F$5:$F$304,'CHẶNG TĂNG CA'!$A$5:$A$304,$A380,'CHẶNG TĂNG CA'!$B$5:$B$304,$B380))</f>
        <v/>
      </c>
      <c r="AE380" s="28" t="str">
        <f>IF($A380="","",SUMIFS('CHẶNG TĂNG CA'!$G$5:$G$304,'CHẶNG TĂNG CA'!$A$5:$A$304,$A380,'CHẶNG TĂNG CA'!$B$5:$B$304,$B380))</f>
        <v/>
      </c>
      <c r="AF380" s="28" t="str">
        <f>IF($A380="","",SUMIFS('CHẶNG TĂNG CA'!$H$5:$H$304,'CHẶNG TĂNG CA'!$A$5:$A$304,$A380,'CHẶNG TĂNG CA'!$B$5:$B$304,$B380))</f>
        <v/>
      </c>
      <c r="AG380" s="28" t="str">
        <f t="shared" si="57"/>
        <v/>
      </c>
      <c r="AH380" s="16" t="str">
        <f>IF($A380="","",IF(COUNTIFS('LỆNH ĐIỀU XE'!$B$5:$B$604,$A380,'LỆNH ĐIỀU XE'!$C$5:$C$604,$B380,'LỆNH ĐIỀU XE'!$N$5:$N$604,"Có")&gt;0,"Có","Không"))</f>
        <v/>
      </c>
      <c r="AI380" s="16" t="str">
        <f>IF(OR($A380="",H380="",N(T380)=0),"",IF(_xlfn.MAXIFS('LỆNH ĐIỀU XE'!$U$5:$U$604,'LỆNH ĐIỀU XE'!$B$5:$B$604,$A380,'LỆNH ĐIỀU XE'!$C$5:$C$604,$B380)=0,"",ROUND((H380+(H380&lt;4/24)-_xlfn.MAXIFS('LỆNH ĐIỀU XE'!$U$5:$U$604,'LỆNH ĐIỀU XE'!$B$5:$B$604,$A380,'LỆNH ĐIỀU XE'!$C$5:$C$604,$B380))*1440,0)))</f>
        <v/>
      </c>
      <c r="AJ380" s="16" t="str">
        <f>IF($A380="","",IF(OR(AI380="",V380=""),"Thiếu dữ liệu",IF(AND(AI380&lt;='THAM SỐ'!$B$29,ABS(V380)&lt;='THAM SỐ'!$B$28),"Đạt","Không đạt")))</f>
        <v/>
      </c>
      <c r="AK380" s="16" t="str">
        <f t="shared" si="58"/>
        <v/>
      </c>
      <c r="AL380" s="16" t="str">
        <f>IF($A380="","",TRIM(IF(T380=0,"Không có lệnh; ","")&amp;IF(N(N380)&gt;0,"Dừng ngoài lệnh; ","")&amp;IF(N(J380)&gt;0,"Quá tốc độ; ","")&amp;IF(N(K380)&gt;0,"Lái quá 4h; ","")&amp;IF(N(L380)&gt;0,"Không tắt máy; ","")&amp;IF(OR(P380&lt;&gt;"Đủ",Q380&lt;&gt;"Đủ",R380&lt;&gt;"Đủ"),"Thiếu ảnh; ","")&amp;IF(S380&lt;&gt;"Đạt","Lốp chưa đạt; ","")&amp;IF(N(W380)&gt;'THAM SỐ'!$B$27,"Có mặt quá giờ; ","")&amp;IF(N(X380)&gt;'THAM SỐ'!$B$25,"Lái quá giờ ngày; ","")&amp;IF(ISNUMBER(V380),IF(ABS(V380)&gt;'THAM SỐ'!$B$28,"Lệch km; ",""),"")))</f>
        <v/>
      </c>
      <c r="AM380" s="29"/>
      <c r="AN380" s="30"/>
      <c r="AO380" s="28" t="str">
        <f t="shared" si="59"/>
        <v/>
      </c>
      <c r="AP380" s="21" t="str">
        <f>IF(OR($A380="",AO380=""),"",IF(AG380=0,0,ROUND((AC380*'THAM SỐ'!$B$18+AD380*'THAM SỐ'!$B$19+AE380*'THAM SỐ'!$B$20+AF380*'THAM SỐ'!$B$21)*MIN(1,AO380/AG380),0)))</f>
        <v/>
      </c>
      <c r="AQ380" s="18"/>
    </row>
    <row r="381" spans="1:43" x14ac:dyDescent="0.45">
      <c r="A381" s="17"/>
      <c r="B381" s="18"/>
      <c r="C381" s="18"/>
      <c r="D381" s="25"/>
      <c r="E381" s="26"/>
      <c r="F381" s="26"/>
      <c r="G381" s="20"/>
      <c r="H381" s="20"/>
      <c r="I381" s="18"/>
      <c r="J381" s="18"/>
      <c r="K381" s="18"/>
      <c r="L381" s="18"/>
      <c r="M381" s="18"/>
      <c r="N381" s="18"/>
      <c r="O381" s="18"/>
      <c r="P381" s="18"/>
      <c r="Q381" s="18"/>
      <c r="R381" s="18"/>
      <c r="S381" s="18"/>
      <c r="T381" s="16" t="str">
        <f>IF($A381="","",COUNTIFS('LỆNH ĐIỀU XE'!$B$5:$B$604,$A381,'LỆNH ĐIỀU XE'!$C$5:$C$604,$B381))</f>
        <v/>
      </c>
      <c r="U381" s="27" t="str">
        <f>IF($A381="","",SUMIFS('LỆNH ĐIỀU XE'!$J$5:$J$604,'LỆNH ĐIỀU XE'!$B$5:$B$604,$A381,'LỆNH ĐIỀU XE'!$C$5:$C$604,$B381))</f>
        <v/>
      </c>
      <c r="V381" s="22" t="str">
        <f t="shared" si="50"/>
        <v/>
      </c>
      <c r="W381" s="28" t="str">
        <f t="shared" si="51"/>
        <v/>
      </c>
      <c r="X381" s="28" t="str">
        <f t="shared" si="52"/>
        <v/>
      </c>
      <c r="Y381" s="28" t="str">
        <f t="shared" si="53"/>
        <v/>
      </c>
      <c r="Z381" s="22" t="str">
        <f t="shared" si="54"/>
        <v/>
      </c>
      <c r="AA381" s="28" t="str">
        <f t="shared" si="55"/>
        <v/>
      </c>
      <c r="AB381" s="28" t="str">
        <f t="shared" si="56"/>
        <v/>
      </c>
      <c r="AC381" s="28" t="str">
        <f>IF($A381="","",SUMIFS('CHẶNG TĂNG CA'!$E$5:$E$304,'CHẶNG TĂNG CA'!$A$5:$A$304,$A381,'CHẶNG TĂNG CA'!$B$5:$B$304,$B381))</f>
        <v/>
      </c>
      <c r="AD381" s="28" t="str">
        <f>IF($A381="","",SUMIFS('CHẶNG TĂNG CA'!$F$5:$F$304,'CHẶNG TĂNG CA'!$A$5:$A$304,$A381,'CHẶNG TĂNG CA'!$B$5:$B$304,$B381))</f>
        <v/>
      </c>
      <c r="AE381" s="28" t="str">
        <f>IF($A381="","",SUMIFS('CHẶNG TĂNG CA'!$G$5:$G$304,'CHẶNG TĂNG CA'!$A$5:$A$304,$A381,'CHẶNG TĂNG CA'!$B$5:$B$304,$B381))</f>
        <v/>
      </c>
      <c r="AF381" s="28" t="str">
        <f>IF($A381="","",SUMIFS('CHẶNG TĂNG CA'!$H$5:$H$304,'CHẶNG TĂNG CA'!$A$5:$A$304,$A381,'CHẶNG TĂNG CA'!$B$5:$B$304,$B381))</f>
        <v/>
      </c>
      <c r="AG381" s="28" t="str">
        <f t="shared" si="57"/>
        <v/>
      </c>
      <c r="AH381" s="16" t="str">
        <f>IF($A381="","",IF(COUNTIFS('LỆNH ĐIỀU XE'!$B$5:$B$604,$A381,'LỆNH ĐIỀU XE'!$C$5:$C$604,$B381,'LỆNH ĐIỀU XE'!$N$5:$N$604,"Có")&gt;0,"Có","Không"))</f>
        <v/>
      </c>
      <c r="AI381" s="16" t="str">
        <f>IF(OR($A381="",H381="",N(T381)=0),"",IF(_xlfn.MAXIFS('LỆNH ĐIỀU XE'!$U$5:$U$604,'LỆNH ĐIỀU XE'!$B$5:$B$604,$A381,'LỆNH ĐIỀU XE'!$C$5:$C$604,$B381)=0,"",ROUND((H381+(H381&lt;4/24)-_xlfn.MAXIFS('LỆNH ĐIỀU XE'!$U$5:$U$604,'LỆNH ĐIỀU XE'!$B$5:$B$604,$A381,'LỆNH ĐIỀU XE'!$C$5:$C$604,$B381))*1440,0)))</f>
        <v/>
      </c>
      <c r="AJ381" s="16" t="str">
        <f>IF($A381="","",IF(OR(AI381="",V381=""),"Thiếu dữ liệu",IF(AND(AI381&lt;='THAM SỐ'!$B$29,ABS(V381)&lt;='THAM SỐ'!$B$28),"Đạt","Không đạt")))</f>
        <v/>
      </c>
      <c r="AK381" s="16" t="str">
        <f t="shared" si="58"/>
        <v/>
      </c>
      <c r="AL381" s="16" t="str">
        <f>IF($A381="","",TRIM(IF(T381=0,"Không có lệnh; ","")&amp;IF(N(N381)&gt;0,"Dừng ngoài lệnh; ","")&amp;IF(N(J381)&gt;0,"Quá tốc độ; ","")&amp;IF(N(K381)&gt;0,"Lái quá 4h; ","")&amp;IF(N(L381)&gt;0,"Không tắt máy; ","")&amp;IF(OR(P381&lt;&gt;"Đủ",Q381&lt;&gt;"Đủ",R381&lt;&gt;"Đủ"),"Thiếu ảnh; ","")&amp;IF(S381&lt;&gt;"Đạt","Lốp chưa đạt; ","")&amp;IF(N(W381)&gt;'THAM SỐ'!$B$27,"Có mặt quá giờ; ","")&amp;IF(N(X381)&gt;'THAM SỐ'!$B$25,"Lái quá giờ ngày; ","")&amp;IF(ISNUMBER(V381),IF(ABS(V381)&gt;'THAM SỐ'!$B$28,"Lệch km; ",""),"")))</f>
        <v/>
      </c>
      <c r="AM381" s="29"/>
      <c r="AN381" s="30"/>
      <c r="AO381" s="28" t="str">
        <f t="shared" si="59"/>
        <v/>
      </c>
      <c r="AP381" s="21" t="str">
        <f>IF(OR($A381="",AO381=""),"",IF(AG381=0,0,ROUND((AC381*'THAM SỐ'!$B$18+AD381*'THAM SỐ'!$B$19+AE381*'THAM SỐ'!$B$20+AF381*'THAM SỐ'!$B$21)*MIN(1,AO381/AG381),0)))</f>
        <v/>
      </c>
      <c r="AQ381" s="18"/>
    </row>
    <row r="382" spans="1:43" x14ac:dyDescent="0.45">
      <c r="A382" s="17"/>
      <c r="B382" s="18"/>
      <c r="C382" s="18"/>
      <c r="D382" s="25"/>
      <c r="E382" s="26"/>
      <c r="F382" s="26"/>
      <c r="G382" s="20"/>
      <c r="H382" s="20"/>
      <c r="I382" s="18"/>
      <c r="J382" s="18"/>
      <c r="K382" s="18"/>
      <c r="L382" s="18"/>
      <c r="M382" s="18"/>
      <c r="N382" s="18"/>
      <c r="O382" s="18"/>
      <c r="P382" s="18"/>
      <c r="Q382" s="18"/>
      <c r="R382" s="18"/>
      <c r="S382" s="18"/>
      <c r="T382" s="16" t="str">
        <f>IF($A382="","",COUNTIFS('LỆNH ĐIỀU XE'!$B$5:$B$604,$A382,'LỆNH ĐIỀU XE'!$C$5:$C$604,$B382))</f>
        <v/>
      </c>
      <c r="U382" s="27" t="str">
        <f>IF($A382="","",SUMIFS('LỆNH ĐIỀU XE'!$J$5:$J$604,'LỆNH ĐIỀU XE'!$B$5:$B$604,$A382,'LỆNH ĐIỀU XE'!$C$5:$C$604,$B382))</f>
        <v/>
      </c>
      <c r="V382" s="22" t="str">
        <f t="shared" si="50"/>
        <v/>
      </c>
      <c r="W382" s="28" t="str">
        <f t="shared" si="51"/>
        <v/>
      </c>
      <c r="X382" s="28" t="str">
        <f t="shared" si="52"/>
        <v/>
      </c>
      <c r="Y382" s="28" t="str">
        <f t="shared" si="53"/>
        <v/>
      </c>
      <c r="Z382" s="22" t="str">
        <f t="shared" si="54"/>
        <v/>
      </c>
      <c r="AA382" s="28" t="str">
        <f t="shared" si="55"/>
        <v/>
      </c>
      <c r="AB382" s="28" t="str">
        <f t="shared" si="56"/>
        <v/>
      </c>
      <c r="AC382" s="28" t="str">
        <f>IF($A382="","",SUMIFS('CHẶNG TĂNG CA'!$E$5:$E$304,'CHẶNG TĂNG CA'!$A$5:$A$304,$A382,'CHẶNG TĂNG CA'!$B$5:$B$304,$B382))</f>
        <v/>
      </c>
      <c r="AD382" s="28" t="str">
        <f>IF($A382="","",SUMIFS('CHẶNG TĂNG CA'!$F$5:$F$304,'CHẶNG TĂNG CA'!$A$5:$A$304,$A382,'CHẶNG TĂNG CA'!$B$5:$B$304,$B382))</f>
        <v/>
      </c>
      <c r="AE382" s="28" t="str">
        <f>IF($A382="","",SUMIFS('CHẶNG TĂNG CA'!$G$5:$G$304,'CHẶNG TĂNG CA'!$A$5:$A$304,$A382,'CHẶNG TĂNG CA'!$B$5:$B$304,$B382))</f>
        <v/>
      </c>
      <c r="AF382" s="28" t="str">
        <f>IF($A382="","",SUMIFS('CHẶNG TĂNG CA'!$H$5:$H$304,'CHẶNG TĂNG CA'!$A$5:$A$304,$A382,'CHẶNG TĂNG CA'!$B$5:$B$304,$B382))</f>
        <v/>
      </c>
      <c r="AG382" s="28" t="str">
        <f t="shared" si="57"/>
        <v/>
      </c>
      <c r="AH382" s="16" t="str">
        <f>IF($A382="","",IF(COUNTIFS('LỆNH ĐIỀU XE'!$B$5:$B$604,$A382,'LỆNH ĐIỀU XE'!$C$5:$C$604,$B382,'LỆNH ĐIỀU XE'!$N$5:$N$604,"Có")&gt;0,"Có","Không"))</f>
        <v/>
      </c>
      <c r="AI382" s="16" t="str">
        <f>IF(OR($A382="",H382="",N(T382)=0),"",IF(_xlfn.MAXIFS('LỆNH ĐIỀU XE'!$U$5:$U$604,'LỆNH ĐIỀU XE'!$B$5:$B$604,$A382,'LỆNH ĐIỀU XE'!$C$5:$C$604,$B382)=0,"",ROUND((H382+(H382&lt;4/24)-_xlfn.MAXIFS('LỆNH ĐIỀU XE'!$U$5:$U$604,'LỆNH ĐIỀU XE'!$B$5:$B$604,$A382,'LỆNH ĐIỀU XE'!$C$5:$C$604,$B382))*1440,0)))</f>
        <v/>
      </c>
      <c r="AJ382" s="16" t="str">
        <f>IF($A382="","",IF(OR(AI382="",V382=""),"Thiếu dữ liệu",IF(AND(AI382&lt;='THAM SỐ'!$B$29,ABS(V382)&lt;='THAM SỐ'!$B$28),"Đạt","Không đạt")))</f>
        <v/>
      </c>
      <c r="AK382" s="16" t="str">
        <f t="shared" si="58"/>
        <v/>
      </c>
      <c r="AL382" s="16" t="str">
        <f>IF($A382="","",TRIM(IF(T382=0,"Không có lệnh; ","")&amp;IF(N(N382)&gt;0,"Dừng ngoài lệnh; ","")&amp;IF(N(J382)&gt;0,"Quá tốc độ; ","")&amp;IF(N(K382)&gt;0,"Lái quá 4h; ","")&amp;IF(N(L382)&gt;0,"Không tắt máy; ","")&amp;IF(OR(P382&lt;&gt;"Đủ",Q382&lt;&gt;"Đủ",R382&lt;&gt;"Đủ"),"Thiếu ảnh; ","")&amp;IF(S382&lt;&gt;"Đạt","Lốp chưa đạt; ","")&amp;IF(N(W382)&gt;'THAM SỐ'!$B$27,"Có mặt quá giờ; ","")&amp;IF(N(X382)&gt;'THAM SỐ'!$B$25,"Lái quá giờ ngày; ","")&amp;IF(ISNUMBER(V382),IF(ABS(V382)&gt;'THAM SỐ'!$B$28,"Lệch km; ",""),"")))</f>
        <v/>
      </c>
      <c r="AM382" s="29"/>
      <c r="AN382" s="30"/>
      <c r="AO382" s="28" t="str">
        <f t="shared" si="59"/>
        <v/>
      </c>
      <c r="AP382" s="21" t="str">
        <f>IF(OR($A382="",AO382=""),"",IF(AG382=0,0,ROUND((AC382*'THAM SỐ'!$B$18+AD382*'THAM SỐ'!$B$19+AE382*'THAM SỐ'!$B$20+AF382*'THAM SỐ'!$B$21)*MIN(1,AO382/AG382),0)))</f>
        <v/>
      </c>
      <c r="AQ382" s="18"/>
    </row>
    <row r="383" spans="1:43" x14ac:dyDescent="0.45">
      <c r="A383" s="17"/>
      <c r="B383" s="18"/>
      <c r="C383" s="18"/>
      <c r="D383" s="25"/>
      <c r="E383" s="26"/>
      <c r="F383" s="26"/>
      <c r="G383" s="20"/>
      <c r="H383" s="20"/>
      <c r="I383" s="18"/>
      <c r="J383" s="18"/>
      <c r="K383" s="18"/>
      <c r="L383" s="18"/>
      <c r="M383" s="18"/>
      <c r="N383" s="18"/>
      <c r="O383" s="18"/>
      <c r="P383" s="18"/>
      <c r="Q383" s="18"/>
      <c r="R383" s="18"/>
      <c r="S383" s="18"/>
      <c r="T383" s="16" t="str">
        <f>IF($A383="","",COUNTIFS('LỆNH ĐIỀU XE'!$B$5:$B$604,$A383,'LỆNH ĐIỀU XE'!$C$5:$C$604,$B383))</f>
        <v/>
      </c>
      <c r="U383" s="27" t="str">
        <f>IF($A383="","",SUMIFS('LỆNH ĐIỀU XE'!$J$5:$J$604,'LỆNH ĐIỀU XE'!$B$5:$B$604,$A383,'LỆNH ĐIỀU XE'!$C$5:$C$604,$B383))</f>
        <v/>
      </c>
      <c r="V383" s="22" t="str">
        <f t="shared" si="50"/>
        <v/>
      </c>
      <c r="W383" s="28" t="str">
        <f t="shared" si="51"/>
        <v/>
      </c>
      <c r="X383" s="28" t="str">
        <f t="shared" si="52"/>
        <v/>
      </c>
      <c r="Y383" s="28" t="str">
        <f t="shared" si="53"/>
        <v/>
      </c>
      <c r="Z383" s="22" t="str">
        <f t="shared" si="54"/>
        <v/>
      </c>
      <c r="AA383" s="28" t="str">
        <f t="shared" si="55"/>
        <v/>
      </c>
      <c r="AB383" s="28" t="str">
        <f t="shared" si="56"/>
        <v/>
      </c>
      <c r="AC383" s="28" t="str">
        <f>IF($A383="","",SUMIFS('CHẶNG TĂNG CA'!$E$5:$E$304,'CHẶNG TĂNG CA'!$A$5:$A$304,$A383,'CHẶNG TĂNG CA'!$B$5:$B$304,$B383))</f>
        <v/>
      </c>
      <c r="AD383" s="28" t="str">
        <f>IF($A383="","",SUMIFS('CHẶNG TĂNG CA'!$F$5:$F$304,'CHẶNG TĂNG CA'!$A$5:$A$304,$A383,'CHẶNG TĂNG CA'!$B$5:$B$304,$B383))</f>
        <v/>
      </c>
      <c r="AE383" s="28" t="str">
        <f>IF($A383="","",SUMIFS('CHẶNG TĂNG CA'!$G$5:$G$304,'CHẶNG TĂNG CA'!$A$5:$A$304,$A383,'CHẶNG TĂNG CA'!$B$5:$B$304,$B383))</f>
        <v/>
      </c>
      <c r="AF383" s="28" t="str">
        <f>IF($A383="","",SUMIFS('CHẶNG TĂNG CA'!$H$5:$H$304,'CHẶNG TĂNG CA'!$A$5:$A$304,$A383,'CHẶNG TĂNG CA'!$B$5:$B$304,$B383))</f>
        <v/>
      </c>
      <c r="AG383" s="28" t="str">
        <f t="shared" si="57"/>
        <v/>
      </c>
      <c r="AH383" s="16" t="str">
        <f>IF($A383="","",IF(COUNTIFS('LỆNH ĐIỀU XE'!$B$5:$B$604,$A383,'LỆNH ĐIỀU XE'!$C$5:$C$604,$B383,'LỆNH ĐIỀU XE'!$N$5:$N$604,"Có")&gt;0,"Có","Không"))</f>
        <v/>
      </c>
      <c r="AI383" s="16" t="str">
        <f>IF(OR($A383="",H383="",N(T383)=0),"",IF(_xlfn.MAXIFS('LỆNH ĐIỀU XE'!$U$5:$U$604,'LỆNH ĐIỀU XE'!$B$5:$B$604,$A383,'LỆNH ĐIỀU XE'!$C$5:$C$604,$B383)=0,"",ROUND((H383+(H383&lt;4/24)-_xlfn.MAXIFS('LỆNH ĐIỀU XE'!$U$5:$U$604,'LỆNH ĐIỀU XE'!$B$5:$B$604,$A383,'LỆNH ĐIỀU XE'!$C$5:$C$604,$B383))*1440,0)))</f>
        <v/>
      </c>
      <c r="AJ383" s="16" t="str">
        <f>IF($A383="","",IF(OR(AI383="",V383=""),"Thiếu dữ liệu",IF(AND(AI383&lt;='THAM SỐ'!$B$29,ABS(V383)&lt;='THAM SỐ'!$B$28),"Đạt","Không đạt")))</f>
        <v/>
      </c>
      <c r="AK383" s="16" t="str">
        <f t="shared" si="58"/>
        <v/>
      </c>
      <c r="AL383" s="16" t="str">
        <f>IF($A383="","",TRIM(IF(T383=0,"Không có lệnh; ","")&amp;IF(N(N383)&gt;0,"Dừng ngoài lệnh; ","")&amp;IF(N(J383)&gt;0,"Quá tốc độ; ","")&amp;IF(N(K383)&gt;0,"Lái quá 4h; ","")&amp;IF(N(L383)&gt;0,"Không tắt máy; ","")&amp;IF(OR(P383&lt;&gt;"Đủ",Q383&lt;&gt;"Đủ",R383&lt;&gt;"Đủ"),"Thiếu ảnh; ","")&amp;IF(S383&lt;&gt;"Đạt","Lốp chưa đạt; ","")&amp;IF(N(W383)&gt;'THAM SỐ'!$B$27,"Có mặt quá giờ; ","")&amp;IF(N(X383)&gt;'THAM SỐ'!$B$25,"Lái quá giờ ngày; ","")&amp;IF(ISNUMBER(V383),IF(ABS(V383)&gt;'THAM SỐ'!$B$28,"Lệch km; ",""),"")))</f>
        <v/>
      </c>
      <c r="AM383" s="29"/>
      <c r="AN383" s="30"/>
      <c r="AO383" s="28" t="str">
        <f t="shared" si="59"/>
        <v/>
      </c>
      <c r="AP383" s="21" t="str">
        <f>IF(OR($A383="",AO383=""),"",IF(AG383=0,0,ROUND((AC383*'THAM SỐ'!$B$18+AD383*'THAM SỐ'!$B$19+AE383*'THAM SỐ'!$B$20+AF383*'THAM SỐ'!$B$21)*MIN(1,AO383/AG383),0)))</f>
        <v/>
      </c>
      <c r="AQ383" s="18"/>
    </row>
    <row r="384" spans="1:43" x14ac:dyDescent="0.45">
      <c r="A384" s="17"/>
      <c r="B384" s="18"/>
      <c r="C384" s="18"/>
      <c r="D384" s="25"/>
      <c r="E384" s="26"/>
      <c r="F384" s="26"/>
      <c r="G384" s="20"/>
      <c r="H384" s="20"/>
      <c r="I384" s="18"/>
      <c r="J384" s="18"/>
      <c r="K384" s="18"/>
      <c r="L384" s="18"/>
      <c r="M384" s="18"/>
      <c r="N384" s="18"/>
      <c r="O384" s="18"/>
      <c r="P384" s="18"/>
      <c r="Q384" s="18"/>
      <c r="R384" s="18"/>
      <c r="S384" s="18"/>
      <c r="T384" s="16" t="str">
        <f>IF($A384="","",COUNTIFS('LỆNH ĐIỀU XE'!$B$5:$B$604,$A384,'LỆNH ĐIỀU XE'!$C$5:$C$604,$B384))</f>
        <v/>
      </c>
      <c r="U384" s="27" t="str">
        <f>IF($A384="","",SUMIFS('LỆNH ĐIỀU XE'!$J$5:$J$604,'LỆNH ĐIỀU XE'!$B$5:$B$604,$A384,'LỆNH ĐIỀU XE'!$C$5:$C$604,$B384))</f>
        <v/>
      </c>
      <c r="V384" s="22" t="str">
        <f t="shared" si="50"/>
        <v/>
      </c>
      <c r="W384" s="28" t="str">
        <f t="shared" si="51"/>
        <v/>
      </c>
      <c r="X384" s="28" t="str">
        <f t="shared" si="52"/>
        <v/>
      </c>
      <c r="Y384" s="28" t="str">
        <f t="shared" si="53"/>
        <v/>
      </c>
      <c r="Z384" s="22" t="str">
        <f t="shared" si="54"/>
        <v/>
      </c>
      <c r="AA384" s="28" t="str">
        <f t="shared" si="55"/>
        <v/>
      </c>
      <c r="AB384" s="28" t="str">
        <f t="shared" si="56"/>
        <v/>
      </c>
      <c r="AC384" s="28" t="str">
        <f>IF($A384="","",SUMIFS('CHẶNG TĂNG CA'!$E$5:$E$304,'CHẶNG TĂNG CA'!$A$5:$A$304,$A384,'CHẶNG TĂNG CA'!$B$5:$B$304,$B384))</f>
        <v/>
      </c>
      <c r="AD384" s="28" t="str">
        <f>IF($A384="","",SUMIFS('CHẶNG TĂNG CA'!$F$5:$F$304,'CHẶNG TĂNG CA'!$A$5:$A$304,$A384,'CHẶNG TĂNG CA'!$B$5:$B$304,$B384))</f>
        <v/>
      </c>
      <c r="AE384" s="28" t="str">
        <f>IF($A384="","",SUMIFS('CHẶNG TĂNG CA'!$G$5:$G$304,'CHẶNG TĂNG CA'!$A$5:$A$304,$A384,'CHẶNG TĂNG CA'!$B$5:$B$304,$B384))</f>
        <v/>
      </c>
      <c r="AF384" s="28" t="str">
        <f>IF($A384="","",SUMIFS('CHẶNG TĂNG CA'!$H$5:$H$304,'CHẶNG TĂNG CA'!$A$5:$A$304,$A384,'CHẶNG TĂNG CA'!$B$5:$B$304,$B384))</f>
        <v/>
      </c>
      <c r="AG384" s="28" t="str">
        <f t="shared" si="57"/>
        <v/>
      </c>
      <c r="AH384" s="16" t="str">
        <f>IF($A384="","",IF(COUNTIFS('LỆNH ĐIỀU XE'!$B$5:$B$604,$A384,'LỆNH ĐIỀU XE'!$C$5:$C$604,$B384,'LỆNH ĐIỀU XE'!$N$5:$N$604,"Có")&gt;0,"Có","Không"))</f>
        <v/>
      </c>
      <c r="AI384" s="16" t="str">
        <f>IF(OR($A384="",H384="",N(T384)=0),"",IF(_xlfn.MAXIFS('LỆNH ĐIỀU XE'!$U$5:$U$604,'LỆNH ĐIỀU XE'!$B$5:$B$604,$A384,'LỆNH ĐIỀU XE'!$C$5:$C$604,$B384)=0,"",ROUND((H384+(H384&lt;4/24)-_xlfn.MAXIFS('LỆNH ĐIỀU XE'!$U$5:$U$604,'LỆNH ĐIỀU XE'!$B$5:$B$604,$A384,'LỆNH ĐIỀU XE'!$C$5:$C$604,$B384))*1440,0)))</f>
        <v/>
      </c>
      <c r="AJ384" s="16" t="str">
        <f>IF($A384="","",IF(OR(AI384="",V384=""),"Thiếu dữ liệu",IF(AND(AI384&lt;='THAM SỐ'!$B$29,ABS(V384)&lt;='THAM SỐ'!$B$28),"Đạt","Không đạt")))</f>
        <v/>
      </c>
      <c r="AK384" s="16" t="str">
        <f t="shared" si="58"/>
        <v/>
      </c>
      <c r="AL384" s="16" t="str">
        <f>IF($A384="","",TRIM(IF(T384=0,"Không có lệnh; ","")&amp;IF(N(N384)&gt;0,"Dừng ngoài lệnh; ","")&amp;IF(N(J384)&gt;0,"Quá tốc độ; ","")&amp;IF(N(K384)&gt;0,"Lái quá 4h; ","")&amp;IF(N(L384)&gt;0,"Không tắt máy; ","")&amp;IF(OR(P384&lt;&gt;"Đủ",Q384&lt;&gt;"Đủ",R384&lt;&gt;"Đủ"),"Thiếu ảnh; ","")&amp;IF(S384&lt;&gt;"Đạt","Lốp chưa đạt; ","")&amp;IF(N(W384)&gt;'THAM SỐ'!$B$27,"Có mặt quá giờ; ","")&amp;IF(N(X384)&gt;'THAM SỐ'!$B$25,"Lái quá giờ ngày; ","")&amp;IF(ISNUMBER(V384),IF(ABS(V384)&gt;'THAM SỐ'!$B$28,"Lệch km; ",""),"")))</f>
        <v/>
      </c>
      <c r="AM384" s="29"/>
      <c r="AN384" s="30"/>
      <c r="AO384" s="28" t="str">
        <f t="shared" si="59"/>
        <v/>
      </c>
      <c r="AP384" s="21" t="str">
        <f>IF(OR($A384="",AO384=""),"",IF(AG384=0,0,ROUND((AC384*'THAM SỐ'!$B$18+AD384*'THAM SỐ'!$B$19+AE384*'THAM SỐ'!$B$20+AF384*'THAM SỐ'!$B$21)*MIN(1,AO384/AG384),0)))</f>
        <v/>
      </c>
      <c r="AQ384" s="18"/>
    </row>
    <row r="385" spans="1:43" x14ac:dyDescent="0.45">
      <c r="A385" s="17"/>
      <c r="B385" s="18"/>
      <c r="C385" s="18"/>
      <c r="D385" s="25"/>
      <c r="E385" s="26"/>
      <c r="F385" s="26"/>
      <c r="G385" s="20"/>
      <c r="H385" s="20"/>
      <c r="I385" s="18"/>
      <c r="J385" s="18"/>
      <c r="K385" s="18"/>
      <c r="L385" s="18"/>
      <c r="M385" s="18"/>
      <c r="N385" s="18"/>
      <c r="O385" s="18"/>
      <c r="P385" s="18"/>
      <c r="Q385" s="18"/>
      <c r="R385" s="18"/>
      <c r="S385" s="18"/>
      <c r="T385" s="16" t="str">
        <f>IF($A385="","",COUNTIFS('LỆNH ĐIỀU XE'!$B$5:$B$604,$A385,'LỆNH ĐIỀU XE'!$C$5:$C$604,$B385))</f>
        <v/>
      </c>
      <c r="U385" s="27" t="str">
        <f>IF($A385="","",SUMIFS('LỆNH ĐIỀU XE'!$J$5:$J$604,'LỆNH ĐIỀU XE'!$B$5:$B$604,$A385,'LỆNH ĐIỀU XE'!$C$5:$C$604,$B385))</f>
        <v/>
      </c>
      <c r="V385" s="22" t="str">
        <f t="shared" si="50"/>
        <v/>
      </c>
      <c r="W385" s="28" t="str">
        <f t="shared" si="51"/>
        <v/>
      </c>
      <c r="X385" s="28" t="str">
        <f t="shared" si="52"/>
        <v/>
      </c>
      <c r="Y385" s="28" t="str">
        <f t="shared" si="53"/>
        <v/>
      </c>
      <c r="Z385" s="22" t="str">
        <f t="shared" si="54"/>
        <v/>
      </c>
      <c r="AA385" s="28" t="str">
        <f t="shared" si="55"/>
        <v/>
      </c>
      <c r="AB385" s="28" t="str">
        <f t="shared" si="56"/>
        <v/>
      </c>
      <c r="AC385" s="28" t="str">
        <f>IF($A385="","",SUMIFS('CHẶNG TĂNG CA'!$E$5:$E$304,'CHẶNG TĂNG CA'!$A$5:$A$304,$A385,'CHẶNG TĂNG CA'!$B$5:$B$304,$B385))</f>
        <v/>
      </c>
      <c r="AD385" s="28" t="str">
        <f>IF($A385="","",SUMIFS('CHẶNG TĂNG CA'!$F$5:$F$304,'CHẶNG TĂNG CA'!$A$5:$A$304,$A385,'CHẶNG TĂNG CA'!$B$5:$B$304,$B385))</f>
        <v/>
      </c>
      <c r="AE385" s="28" t="str">
        <f>IF($A385="","",SUMIFS('CHẶNG TĂNG CA'!$G$5:$G$304,'CHẶNG TĂNG CA'!$A$5:$A$304,$A385,'CHẶNG TĂNG CA'!$B$5:$B$304,$B385))</f>
        <v/>
      </c>
      <c r="AF385" s="28" t="str">
        <f>IF($A385="","",SUMIFS('CHẶNG TĂNG CA'!$H$5:$H$304,'CHẶNG TĂNG CA'!$A$5:$A$304,$A385,'CHẶNG TĂNG CA'!$B$5:$B$304,$B385))</f>
        <v/>
      </c>
      <c r="AG385" s="28" t="str">
        <f t="shared" si="57"/>
        <v/>
      </c>
      <c r="AH385" s="16" t="str">
        <f>IF($A385="","",IF(COUNTIFS('LỆNH ĐIỀU XE'!$B$5:$B$604,$A385,'LỆNH ĐIỀU XE'!$C$5:$C$604,$B385,'LỆNH ĐIỀU XE'!$N$5:$N$604,"Có")&gt;0,"Có","Không"))</f>
        <v/>
      </c>
      <c r="AI385" s="16" t="str">
        <f>IF(OR($A385="",H385="",N(T385)=0),"",IF(_xlfn.MAXIFS('LỆNH ĐIỀU XE'!$U$5:$U$604,'LỆNH ĐIỀU XE'!$B$5:$B$604,$A385,'LỆNH ĐIỀU XE'!$C$5:$C$604,$B385)=0,"",ROUND((H385+(H385&lt;4/24)-_xlfn.MAXIFS('LỆNH ĐIỀU XE'!$U$5:$U$604,'LỆNH ĐIỀU XE'!$B$5:$B$604,$A385,'LỆNH ĐIỀU XE'!$C$5:$C$604,$B385))*1440,0)))</f>
        <v/>
      </c>
      <c r="AJ385" s="16" t="str">
        <f>IF($A385="","",IF(OR(AI385="",V385=""),"Thiếu dữ liệu",IF(AND(AI385&lt;='THAM SỐ'!$B$29,ABS(V385)&lt;='THAM SỐ'!$B$28),"Đạt","Không đạt")))</f>
        <v/>
      </c>
      <c r="AK385" s="16" t="str">
        <f t="shared" si="58"/>
        <v/>
      </c>
      <c r="AL385" s="16" t="str">
        <f>IF($A385="","",TRIM(IF(T385=0,"Không có lệnh; ","")&amp;IF(N(N385)&gt;0,"Dừng ngoài lệnh; ","")&amp;IF(N(J385)&gt;0,"Quá tốc độ; ","")&amp;IF(N(K385)&gt;0,"Lái quá 4h; ","")&amp;IF(N(L385)&gt;0,"Không tắt máy; ","")&amp;IF(OR(P385&lt;&gt;"Đủ",Q385&lt;&gt;"Đủ",R385&lt;&gt;"Đủ"),"Thiếu ảnh; ","")&amp;IF(S385&lt;&gt;"Đạt","Lốp chưa đạt; ","")&amp;IF(N(W385)&gt;'THAM SỐ'!$B$27,"Có mặt quá giờ; ","")&amp;IF(N(X385)&gt;'THAM SỐ'!$B$25,"Lái quá giờ ngày; ","")&amp;IF(ISNUMBER(V385),IF(ABS(V385)&gt;'THAM SỐ'!$B$28,"Lệch km; ",""),"")))</f>
        <v/>
      </c>
      <c r="AM385" s="29"/>
      <c r="AN385" s="30"/>
      <c r="AO385" s="28" t="str">
        <f t="shared" si="59"/>
        <v/>
      </c>
      <c r="AP385" s="21" t="str">
        <f>IF(OR($A385="",AO385=""),"",IF(AG385=0,0,ROUND((AC385*'THAM SỐ'!$B$18+AD385*'THAM SỐ'!$B$19+AE385*'THAM SỐ'!$B$20+AF385*'THAM SỐ'!$B$21)*MIN(1,AO385/AG385),0)))</f>
        <v/>
      </c>
      <c r="AQ385" s="18"/>
    </row>
    <row r="386" spans="1:43" x14ac:dyDescent="0.45">
      <c r="A386" s="17"/>
      <c r="B386" s="18"/>
      <c r="C386" s="18"/>
      <c r="D386" s="25"/>
      <c r="E386" s="26"/>
      <c r="F386" s="26"/>
      <c r="G386" s="20"/>
      <c r="H386" s="20"/>
      <c r="I386" s="18"/>
      <c r="J386" s="18"/>
      <c r="K386" s="18"/>
      <c r="L386" s="18"/>
      <c r="M386" s="18"/>
      <c r="N386" s="18"/>
      <c r="O386" s="18"/>
      <c r="P386" s="18"/>
      <c r="Q386" s="18"/>
      <c r="R386" s="18"/>
      <c r="S386" s="18"/>
      <c r="T386" s="16" t="str">
        <f>IF($A386="","",COUNTIFS('LỆNH ĐIỀU XE'!$B$5:$B$604,$A386,'LỆNH ĐIỀU XE'!$C$5:$C$604,$B386))</f>
        <v/>
      </c>
      <c r="U386" s="27" t="str">
        <f>IF($A386="","",SUMIFS('LỆNH ĐIỀU XE'!$J$5:$J$604,'LỆNH ĐIỀU XE'!$B$5:$B$604,$A386,'LỆNH ĐIỀU XE'!$C$5:$C$604,$B386))</f>
        <v/>
      </c>
      <c r="V386" s="22" t="str">
        <f t="shared" si="50"/>
        <v/>
      </c>
      <c r="W386" s="28" t="str">
        <f t="shared" si="51"/>
        <v/>
      </c>
      <c r="X386" s="28" t="str">
        <f t="shared" si="52"/>
        <v/>
      </c>
      <c r="Y386" s="28" t="str">
        <f t="shared" si="53"/>
        <v/>
      </c>
      <c r="Z386" s="22" t="str">
        <f t="shared" si="54"/>
        <v/>
      </c>
      <c r="AA386" s="28" t="str">
        <f t="shared" si="55"/>
        <v/>
      </c>
      <c r="AB386" s="28" t="str">
        <f t="shared" si="56"/>
        <v/>
      </c>
      <c r="AC386" s="28" t="str">
        <f>IF($A386="","",SUMIFS('CHẶNG TĂNG CA'!$E$5:$E$304,'CHẶNG TĂNG CA'!$A$5:$A$304,$A386,'CHẶNG TĂNG CA'!$B$5:$B$304,$B386))</f>
        <v/>
      </c>
      <c r="AD386" s="28" t="str">
        <f>IF($A386="","",SUMIFS('CHẶNG TĂNG CA'!$F$5:$F$304,'CHẶNG TĂNG CA'!$A$5:$A$304,$A386,'CHẶNG TĂNG CA'!$B$5:$B$304,$B386))</f>
        <v/>
      </c>
      <c r="AE386" s="28" t="str">
        <f>IF($A386="","",SUMIFS('CHẶNG TĂNG CA'!$G$5:$G$304,'CHẶNG TĂNG CA'!$A$5:$A$304,$A386,'CHẶNG TĂNG CA'!$B$5:$B$304,$B386))</f>
        <v/>
      </c>
      <c r="AF386" s="28" t="str">
        <f>IF($A386="","",SUMIFS('CHẶNG TĂNG CA'!$H$5:$H$304,'CHẶNG TĂNG CA'!$A$5:$A$304,$A386,'CHẶNG TĂNG CA'!$B$5:$B$304,$B386))</f>
        <v/>
      </c>
      <c r="AG386" s="28" t="str">
        <f t="shared" si="57"/>
        <v/>
      </c>
      <c r="AH386" s="16" t="str">
        <f>IF($A386="","",IF(COUNTIFS('LỆNH ĐIỀU XE'!$B$5:$B$604,$A386,'LỆNH ĐIỀU XE'!$C$5:$C$604,$B386,'LỆNH ĐIỀU XE'!$N$5:$N$604,"Có")&gt;0,"Có","Không"))</f>
        <v/>
      </c>
      <c r="AI386" s="16" t="str">
        <f>IF(OR($A386="",H386="",N(T386)=0),"",IF(_xlfn.MAXIFS('LỆNH ĐIỀU XE'!$U$5:$U$604,'LỆNH ĐIỀU XE'!$B$5:$B$604,$A386,'LỆNH ĐIỀU XE'!$C$5:$C$604,$B386)=0,"",ROUND((H386+(H386&lt;4/24)-_xlfn.MAXIFS('LỆNH ĐIỀU XE'!$U$5:$U$604,'LỆNH ĐIỀU XE'!$B$5:$B$604,$A386,'LỆNH ĐIỀU XE'!$C$5:$C$604,$B386))*1440,0)))</f>
        <v/>
      </c>
      <c r="AJ386" s="16" t="str">
        <f>IF($A386="","",IF(OR(AI386="",V386=""),"Thiếu dữ liệu",IF(AND(AI386&lt;='THAM SỐ'!$B$29,ABS(V386)&lt;='THAM SỐ'!$B$28),"Đạt","Không đạt")))</f>
        <v/>
      </c>
      <c r="AK386" s="16" t="str">
        <f t="shared" si="58"/>
        <v/>
      </c>
      <c r="AL386" s="16" t="str">
        <f>IF($A386="","",TRIM(IF(T386=0,"Không có lệnh; ","")&amp;IF(N(N386)&gt;0,"Dừng ngoài lệnh; ","")&amp;IF(N(J386)&gt;0,"Quá tốc độ; ","")&amp;IF(N(K386)&gt;0,"Lái quá 4h; ","")&amp;IF(N(L386)&gt;0,"Không tắt máy; ","")&amp;IF(OR(P386&lt;&gt;"Đủ",Q386&lt;&gt;"Đủ",R386&lt;&gt;"Đủ"),"Thiếu ảnh; ","")&amp;IF(S386&lt;&gt;"Đạt","Lốp chưa đạt; ","")&amp;IF(N(W386)&gt;'THAM SỐ'!$B$27,"Có mặt quá giờ; ","")&amp;IF(N(X386)&gt;'THAM SỐ'!$B$25,"Lái quá giờ ngày; ","")&amp;IF(ISNUMBER(V386),IF(ABS(V386)&gt;'THAM SỐ'!$B$28,"Lệch km; ",""),"")))</f>
        <v/>
      </c>
      <c r="AM386" s="29"/>
      <c r="AN386" s="30"/>
      <c r="AO386" s="28" t="str">
        <f t="shared" si="59"/>
        <v/>
      </c>
      <c r="AP386" s="21" t="str">
        <f>IF(OR($A386="",AO386=""),"",IF(AG386=0,0,ROUND((AC386*'THAM SỐ'!$B$18+AD386*'THAM SỐ'!$B$19+AE386*'THAM SỐ'!$B$20+AF386*'THAM SỐ'!$B$21)*MIN(1,AO386/AG386),0)))</f>
        <v/>
      </c>
      <c r="AQ386" s="18"/>
    </row>
    <row r="387" spans="1:43" x14ac:dyDescent="0.45">
      <c r="A387" s="17"/>
      <c r="B387" s="18"/>
      <c r="C387" s="18"/>
      <c r="D387" s="25"/>
      <c r="E387" s="26"/>
      <c r="F387" s="26"/>
      <c r="G387" s="20"/>
      <c r="H387" s="20"/>
      <c r="I387" s="18"/>
      <c r="J387" s="18"/>
      <c r="K387" s="18"/>
      <c r="L387" s="18"/>
      <c r="M387" s="18"/>
      <c r="N387" s="18"/>
      <c r="O387" s="18"/>
      <c r="P387" s="18"/>
      <c r="Q387" s="18"/>
      <c r="R387" s="18"/>
      <c r="S387" s="18"/>
      <c r="T387" s="16" t="str">
        <f>IF($A387="","",COUNTIFS('LỆNH ĐIỀU XE'!$B$5:$B$604,$A387,'LỆNH ĐIỀU XE'!$C$5:$C$604,$B387))</f>
        <v/>
      </c>
      <c r="U387" s="27" t="str">
        <f>IF($A387="","",SUMIFS('LỆNH ĐIỀU XE'!$J$5:$J$604,'LỆNH ĐIỀU XE'!$B$5:$B$604,$A387,'LỆNH ĐIỀU XE'!$C$5:$C$604,$B387))</f>
        <v/>
      </c>
      <c r="V387" s="22" t="str">
        <f t="shared" si="50"/>
        <v/>
      </c>
      <c r="W387" s="28" t="str">
        <f t="shared" si="51"/>
        <v/>
      </c>
      <c r="X387" s="28" t="str">
        <f t="shared" si="52"/>
        <v/>
      </c>
      <c r="Y387" s="28" t="str">
        <f t="shared" si="53"/>
        <v/>
      </c>
      <c r="Z387" s="22" t="str">
        <f t="shared" si="54"/>
        <v/>
      </c>
      <c r="AA387" s="28" t="str">
        <f t="shared" si="55"/>
        <v/>
      </c>
      <c r="AB387" s="28" t="str">
        <f t="shared" si="56"/>
        <v/>
      </c>
      <c r="AC387" s="28" t="str">
        <f>IF($A387="","",SUMIFS('CHẶNG TĂNG CA'!$E$5:$E$304,'CHẶNG TĂNG CA'!$A$5:$A$304,$A387,'CHẶNG TĂNG CA'!$B$5:$B$304,$B387))</f>
        <v/>
      </c>
      <c r="AD387" s="28" t="str">
        <f>IF($A387="","",SUMIFS('CHẶNG TĂNG CA'!$F$5:$F$304,'CHẶNG TĂNG CA'!$A$5:$A$304,$A387,'CHẶNG TĂNG CA'!$B$5:$B$304,$B387))</f>
        <v/>
      </c>
      <c r="AE387" s="28" t="str">
        <f>IF($A387="","",SUMIFS('CHẶNG TĂNG CA'!$G$5:$G$304,'CHẶNG TĂNG CA'!$A$5:$A$304,$A387,'CHẶNG TĂNG CA'!$B$5:$B$304,$B387))</f>
        <v/>
      </c>
      <c r="AF387" s="28" t="str">
        <f>IF($A387="","",SUMIFS('CHẶNG TĂNG CA'!$H$5:$H$304,'CHẶNG TĂNG CA'!$A$5:$A$304,$A387,'CHẶNG TĂNG CA'!$B$5:$B$304,$B387))</f>
        <v/>
      </c>
      <c r="AG387" s="28" t="str">
        <f t="shared" si="57"/>
        <v/>
      </c>
      <c r="AH387" s="16" t="str">
        <f>IF($A387="","",IF(COUNTIFS('LỆNH ĐIỀU XE'!$B$5:$B$604,$A387,'LỆNH ĐIỀU XE'!$C$5:$C$604,$B387,'LỆNH ĐIỀU XE'!$N$5:$N$604,"Có")&gt;0,"Có","Không"))</f>
        <v/>
      </c>
      <c r="AI387" s="16" t="str">
        <f>IF(OR($A387="",H387="",N(T387)=0),"",IF(_xlfn.MAXIFS('LỆNH ĐIỀU XE'!$U$5:$U$604,'LỆNH ĐIỀU XE'!$B$5:$B$604,$A387,'LỆNH ĐIỀU XE'!$C$5:$C$604,$B387)=0,"",ROUND((H387+(H387&lt;4/24)-_xlfn.MAXIFS('LỆNH ĐIỀU XE'!$U$5:$U$604,'LỆNH ĐIỀU XE'!$B$5:$B$604,$A387,'LỆNH ĐIỀU XE'!$C$5:$C$604,$B387))*1440,0)))</f>
        <v/>
      </c>
      <c r="AJ387" s="16" t="str">
        <f>IF($A387="","",IF(OR(AI387="",V387=""),"Thiếu dữ liệu",IF(AND(AI387&lt;='THAM SỐ'!$B$29,ABS(V387)&lt;='THAM SỐ'!$B$28),"Đạt","Không đạt")))</f>
        <v/>
      </c>
      <c r="AK387" s="16" t="str">
        <f t="shared" si="58"/>
        <v/>
      </c>
      <c r="AL387" s="16" t="str">
        <f>IF($A387="","",TRIM(IF(T387=0,"Không có lệnh; ","")&amp;IF(N(N387)&gt;0,"Dừng ngoài lệnh; ","")&amp;IF(N(J387)&gt;0,"Quá tốc độ; ","")&amp;IF(N(K387)&gt;0,"Lái quá 4h; ","")&amp;IF(N(L387)&gt;0,"Không tắt máy; ","")&amp;IF(OR(P387&lt;&gt;"Đủ",Q387&lt;&gt;"Đủ",R387&lt;&gt;"Đủ"),"Thiếu ảnh; ","")&amp;IF(S387&lt;&gt;"Đạt","Lốp chưa đạt; ","")&amp;IF(N(W387)&gt;'THAM SỐ'!$B$27,"Có mặt quá giờ; ","")&amp;IF(N(X387)&gt;'THAM SỐ'!$B$25,"Lái quá giờ ngày; ","")&amp;IF(ISNUMBER(V387),IF(ABS(V387)&gt;'THAM SỐ'!$B$28,"Lệch km; ",""),"")))</f>
        <v/>
      </c>
      <c r="AM387" s="29"/>
      <c r="AN387" s="30"/>
      <c r="AO387" s="28" t="str">
        <f t="shared" si="59"/>
        <v/>
      </c>
      <c r="AP387" s="21" t="str">
        <f>IF(OR($A387="",AO387=""),"",IF(AG387=0,0,ROUND((AC387*'THAM SỐ'!$B$18+AD387*'THAM SỐ'!$B$19+AE387*'THAM SỐ'!$B$20+AF387*'THAM SỐ'!$B$21)*MIN(1,AO387/AG387),0)))</f>
        <v/>
      </c>
      <c r="AQ387" s="18"/>
    </row>
    <row r="388" spans="1:43" x14ac:dyDescent="0.45">
      <c r="A388" s="17"/>
      <c r="B388" s="18"/>
      <c r="C388" s="18"/>
      <c r="D388" s="25"/>
      <c r="E388" s="26"/>
      <c r="F388" s="26"/>
      <c r="G388" s="20"/>
      <c r="H388" s="20"/>
      <c r="I388" s="18"/>
      <c r="J388" s="18"/>
      <c r="K388" s="18"/>
      <c r="L388" s="18"/>
      <c r="M388" s="18"/>
      <c r="N388" s="18"/>
      <c r="O388" s="18"/>
      <c r="P388" s="18"/>
      <c r="Q388" s="18"/>
      <c r="R388" s="18"/>
      <c r="S388" s="18"/>
      <c r="T388" s="16" t="str">
        <f>IF($A388="","",COUNTIFS('LỆNH ĐIỀU XE'!$B$5:$B$604,$A388,'LỆNH ĐIỀU XE'!$C$5:$C$604,$B388))</f>
        <v/>
      </c>
      <c r="U388" s="27" t="str">
        <f>IF($A388="","",SUMIFS('LỆNH ĐIỀU XE'!$J$5:$J$604,'LỆNH ĐIỀU XE'!$B$5:$B$604,$A388,'LỆNH ĐIỀU XE'!$C$5:$C$604,$B388))</f>
        <v/>
      </c>
      <c r="V388" s="22" t="str">
        <f t="shared" si="50"/>
        <v/>
      </c>
      <c r="W388" s="28" t="str">
        <f t="shared" si="51"/>
        <v/>
      </c>
      <c r="X388" s="28" t="str">
        <f t="shared" si="52"/>
        <v/>
      </c>
      <c r="Y388" s="28" t="str">
        <f t="shared" si="53"/>
        <v/>
      </c>
      <c r="Z388" s="22" t="str">
        <f t="shared" si="54"/>
        <v/>
      </c>
      <c r="AA388" s="28" t="str">
        <f t="shared" si="55"/>
        <v/>
      </c>
      <c r="AB388" s="28" t="str">
        <f t="shared" si="56"/>
        <v/>
      </c>
      <c r="AC388" s="28" t="str">
        <f>IF($A388="","",SUMIFS('CHẶNG TĂNG CA'!$E$5:$E$304,'CHẶNG TĂNG CA'!$A$5:$A$304,$A388,'CHẶNG TĂNG CA'!$B$5:$B$304,$B388))</f>
        <v/>
      </c>
      <c r="AD388" s="28" t="str">
        <f>IF($A388="","",SUMIFS('CHẶNG TĂNG CA'!$F$5:$F$304,'CHẶNG TĂNG CA'!$A$5:$A$304,$A388,'CHẶNG TĂNG CA'!$B$5:$B$304,$B388))</f>
        <v/>
      </c>
      <c r="AE388" s="28" t="str">
        <f>IF($A388="","",SUMIFS('CHẶNG TĂNG CA'!$G$5:$G$304,'CHẶNG TĂNG CA'!$A$5:$A$304,$A388,'CHẶNG TĂNG CA'!$B$5:$B$304,$B388))</f>
        <v/>
      </c>
      <c r="AF388" s="28" t="str">
        <f>IF($A388="","",SUMIFS('CHẶNG TĂNG CA'!$H$5:$H$304,'CHẶNG TĂNG CA'!$A$5:$A$304,$A388,'CHẶNG TĂNG CA'!$B$5:$B$304,$B388))</f>
        <v/>
      </c>
      <c r="AG388" s="28" t="str">
        <f t="shared" si="57"/>
        <v/>
      </c>
      <c r="AH388" s="16" t="str">
        <f>IF($A388="","",IF(COUNTIFS('LỆNH ĐIỀU XE'!$B$5:$B$604,$A388,'LỆNH ĐIỀU XE'!$C$5:$C$604,$B388,'LỆNH ĐIỀU XE'!$N$5:$N$604,"Có")&gt;0,"Có","Không"))</f>
        <v/>
      </c>
      <c r="AI388" s="16" t="str">
        <f>IF(OR($A388="",H388="",N(T388)=0),"",IF(_xlfn.MAXIFS('LỆNH ĐIỀU XE'!$U$5:$U$604,'LỆNH ĐIỀU XE'!$B$5:$B$604,$A388,'LỆNH ĐIỀU XE'!$C$5:$C$604,$B388)=0,"",ROUND((H388+(H388&lt;4/24)-_xlfn.MAXIFS('LỆNH ĐIỀU XE'!$U$5:$U$604,'LỆNH ĐIỀU XE'!$B$5:$B$604,$A388,'LỆNH ĐIỀU XE'!$C$5:$C$604,$B388))*1440,0)))</f>
        <v/>
      </c>
      <c r="AJ388" s="16" t="str">
        <f>IF($A388="","",IF(OR(AI388="",V388=""),"Thiếu dữ liệu",IF(AND(AI388&lt;='THAM SỐ'!$B$29,ABS(V388)&lt;='THAM SỐ'!$B$28),"Đạt","Không đạt")))</f>
        <v/>
      </c>
      <c r="AK388" s="16" t="str">
        <f t="shared" si="58"/>
        <v/>
      </c>
      <c r="AL388" s="16" t="str">
        <f>IF($A388="","",TRIM(IF(T388=0,"Không có lệnh; ","")&amp;IF(N(N388)&gt;0,"Dừng ngoài lệnh; ","")&amp;IF(N(J388)&gt;0,"Quá tốc độ; ","")&amp;IF(N(K388)&gt;0,"Lái quá 4h; ","")&amp;IF(N(L388)&gt;0,"Không tắt máy; ","")&amp;IF(OR(P388&lt;&gt;"Đủ",Q388&lt;&gt;"Đủ",R388&lt;&gt;"Đủ"),"Thiếu ảnh; ","")&amp;IF(S388&lt;&gt;"Đạt","Lốp chưa đạt; ","")&amp;IF(N(W388)&gt;'THAM SỐ'!$B$27,"Có mặt quá giờ; ","")&amp;IF(N(X388)&gt;'THAM SỐ'!$B$25,"Lái quá giờ ngày; ","")&amp;IF(ISNUMBER(V388),IF(ABS(V388)&gt;'THAM SỐ'!$B$28,"Lệch km; ",""),"")))</f>
        <v/>
      </c>
      <c r="AM388" s="29"/>
      <c r="AN388" s="30"/>
      <c r="AO388" s="28" t="str">
        <f t="shared" si="59"/>
        <v/>
      </c>
      <c r="AP388" s="21" t="str">
        <f>IF(OR($A388="",AO388=""),"",IF(AG388=0,0,ROUND((AC388*'THAM SỐ'!$B$18+AD388*'THAM SỐ'!$B$19+AE388*'THAM SỐ'!$B$20+AF388*'THAM SỐ'!$B$21)*MIN(1,AO388/AG388),0)))</f>
        <v/>
      </c>
      <c r="AQ388" s="18"/>
    </row>
    <row r="389" spans="1:43" x14ac:dyDescent="0.45">
      <c r="A389" s="17"/>
      <c r="B389" s="18"/>
      <c r="C389" s="18"/>
      <c r="D389" s="25"/>
      <c r="E389" s="26"/>
      <c r="F389" s="26"/>
      <c r="G389" s="20"/>
      <c r="H389" s="20"/>
      <c r="I389" s="18"/>
      <c r="J389" s="18"/>
      <c r="K389" s="18"/>
      <c r="L389" s="18"/>
      <c r="M389" s="18"/>
      <c r="N389" s="18"/>
      <c r="O389" s="18"/>
      <c r="P389" s="18"/>
      <c r="Q389" s="18"/>
      <c r="R389" s="18"/>
      <c r="S389" s="18"/>
      <c r="T389" s="16" t="str">
        <f>IF($A389="","",COUNTIFS('LỆNH ĐIỀU XE'!$B$5:$B$604,$A389,'LỆNH ĐIỀU XE'!$C$5:$C$604,$B389))</f>
        <v/>
      </c>
      <c r="U389" s="27" t="str">
        <f>IF($A389="","",SUMIFS('LỆNH ĐIỀU XE'!$J$5:$J$604,'LỆNH ĐIỀU XE'!$B$5:$B$604,$A389,'LỆNH ĐIỀU XE'!$C$5:$C$604,$B389))</f>
        <v/>
      </c>
      <c r="V389" s="22" t="str">
        <f t="shared" ref="V389:V452" si="60">IF(OR($A389="",D389="",N(U389)=0),"",(D389-U389)/U389)</f>
        <v/>
      </c>
      <c r="W389" s="28" t="str">
        <f t="shared" ref="W389:W404" si="61">IF(OR($A389="",G389="",H389=""),"",ROUND((H389+(H389&lt;G389)-G389)*24,2))</f>
        <v/>
      </c>
      <c r="X389" s="28" t="str">
        <f t="shared" ref="X389:X404" si="62">IF(OR($A389="",E389=""),"",ROUND(E389*24,2))</f>
        <v/>
      </c>
      <c r="Y389" s="28" t="str">
        <f t="shared" ref="Y389:Y452" si="63">IF(OR(W389="",X389=""),"",MAX(0,W389-X389))</f>
        <v/>
      </c>
      <c r="Z389" s="22" t="str">
        <f t="shared" ref="Z389:Z404" si="64">IF(OR(W389="",X389="",N(W389)=0),"",X389/W389)</f>
        <v/>
      </c>
      <c r="AA389" s="28" t="str">
        <f t="shared" ref="AA389:AA404" si="65">IF(OR($A389="",F389="",X389=""),"",MAX(0,ROUND(F389*24-X389,2)))</f>
        <v/>
      </c>
      <c r="AB389" s="28" t="str">
        <f t="shared" ref="AB389:AB404" si="66">IF(OR($A389="",M389="",N(D389)=0),"",M389/D389*100)</f>
        <v/>
      </c>
      <c r="AC389" s="28" t="str">
        <f>IF($A389="","",SUMIFS('CHẶNG TĂNG CA'!$E$5:$E$304,'CHẶNG TĂNG CA'!$A$5:$A$304,$A389,'CHẶNG TĂNG CA'!$B$5:$B$304,$B389))</f>
        <v/>
      </c>
      <c r="AD389" s="28" t="str">
        <f>IF($A389="","",SUMIFS('CHẶNG TĂNG CA'!$F$5:$F$304,'CHẶNG TĂNG CA'!$A$5:$A$304,$A389,'CHẶNG TĂNG CA'!$B$5:$B$304,$B389))</f>
        <v/>
      </c>
      <c r="AE389" s="28" t="str">
        <f>IF($A389="","",SUMIFS('CHẶNG TĂNG CA'!$G$5:$G$304,'CHẶNG TĂNG CA'!$A$5:$A$304,$A389,'CHẶNG TĂNG CA'!$B$5:$B$304,$B389))</f>
        <v/>
      </c>
      <c r="AF389" s="28" t="str">
        <f>IF($A389="","",SUMIFS('CHẶNG TĂNG CA'!$H$5:$H$304,'CHẶNG TĂNG CA'!$A$5:$A$304,$A389,'CHẶNG TĂNG CA'!$B$5:$B$304,$B389))</f>
        <v/>
      </c>
      <c r="AG389" s="28" t="str">
        <f t="shared" ref="AG389:AG452" si="67">IF($A389="","",SUM(AC389:AF389))</f>
        <v/>
      </c>
      <c r="AH389" s="16" t="str">
        <f>IF($A389="","",IF(COUNTIFS('LỆNH ĐIỀU XE'!$B$5:$B$604,$A389,'LỆNH ĐIỀU XE'!$C$5:$C$604,$B389,'LỆNH ĐIỀU XE'!$N$5:$N$604,"Có")&gt;0,"Có","Không"))</f>
        <v/>
      </c>
      <c r="AI389" s="16" t="str">
        <f>IF(OR($A389="",H389="",N(T389)=0),"",IF(_xlfn.MAXIFS('LỆNH ĐIỀU XE'!$U$5:$U$604,'LỆNH ĐIỀU XE'!$B$5:$B$604,$A389,'LỆNH ĐIỀU XE'!$C$5:$C$604,$B389)=0,"",ROUND((H389+(H389&lt;4/24)-_xlfn.MAXIFS('LỆNH ĐIỀU XE'!$U$5:$U$604,'LỆNH ĐIỀU XE'!$B$5:$B$604,$A389,'LỆNH ĐIỀU XE'!$C$5:$C$604,$B389))*1440,0)))</f>
        <v/>
      </c>
      <c r="AJ389" s="16" t="str">
        <f>IF($A389="","",IF(OR(AI389="",V389=""),"Thiếu dữ liệu",IF(AND(AI389&lt;='THAM SỐ'!$B$29,ABS(V389)&lt;='THAM SỐ'!$B$28),"Đạt","Không đạt")))</f>
        <v/>
      </c>
      <c r="AK389" s="16" t="str">
        <f t="shared" ref="AK389:AK452" si="68">IF($A389="","",IF(AG389=0,"Không có OT",IF(AND(AH389="Có",AJ389="Đạt"),"Đủ điều kiện","Cần giải trình")))</f>
        <v/>
      </c>
      <c r="AL389" s="16" t="str">
        <f>IF($A389="","",TRIM(IF(T389=0,"Không có lệnh; ","")&amp;IF(N(N389)&gt;0,"Dừng ngoài lệnh; ","")&amp;IF(N(J389)&gt;0,"Quá tốc độ; ","")&amp;IF(N(K389)&gt;0,"Lái quá 4h; ","")&amp;IF(N(L389)&gt;0,"Không tắt máy; ","")&amp;IF(OR(P389&lt;&gt;"Đủ",Q389&lt;&gt;"Đủ",R389&lt;&gt;"Đủ"),"Thiếu ảnh; ","")&amp;IF(S389&lt;&gt;"Đạt","Lốp chưa đạt; ","")&amp;IF(N(W389)&gt;'THAM SỐ'!$B$27,"Có mặt quá giờ; ","")&amp;IF(N(X389)&gt;'THAM SỐ'!$B$25,"Lái quá giờ ngày; ","")&amp;IF(ISNUMBER(V389),IF(ABS(V389)&gt;'THAM SỐ'!$B$28,"Lệch km; ",""),"")))</f>
        <v/>
      </c>
      <c r="AM389" s="29"/>
      <c r="AN389" s="30"/>
      <c r="AO389" s="28" t="str">
        <f t="shared" ref="AO389:AO452" si="69">IF($A389="","",IF(AM389="Duyệt đủ",AG389,IF(AM389="Duyệt một phần",N(AN389),IF(AM389="Không duyệt",0,""))))</f>
        <v/>
      </c>
      <c r="AP389" s="21" t="str">
        <f>IF(OR($A389="",AO389=""),"",IF(AG389=0,0,ROUND((AC389*'THAM SỐ'!$B$18+AD389*'THAM SỐ'!$B$19+AE389*'THAM SỐ'!$B$20+AF389*'THAM SỐ'!$B$21)*MIN(1,AO389/AG389),0)))</f>
        <v/>
      </c>
      <c r="AQ389" s="18"/>
    </row>
    <row r="390" spans="1:43" x14ac:dyDescent="0.45">
      <c r="A390" s="17"/>
      <c r="B390" s="18"/>
      <c r="C390" s="18"/>
      <c r="D390" s="25"/>
      <c r="E390" s="26"/>
      <c r="F390" s="26"/>
      <c r="G390" s="20"/>
      <c r="H390" s="20"/>
      <c r="I390" s="18"/>
      <c r="J390" s="18"/>
      <c r="K390" s="18"/>
      <c r="L390" s="18"/>
      <c r="M390" s="18"/>
      <c r="N390" s="18"/>
      <c r="O390" s="18"/>
      <c r="P390" s="18"/>
      <c r="Q390" s="18"/>
      <c r="R390" s="18"/>
      <c r="S390" s="18"/>
      <c r="T390" s="16" t="str">
        <f>IF($A390="","",COUNTIFS('LỆNH ĐIỀU XE'!$B$5:$B$604,$A390,'LỆNH ĐIỀU XE'!$C$5:$C$604,$B390))</f>
        <v/>
      </c>
      <c r="U390" s="27" t="str">
        <f>IF($A390="","",SUMIFS('LỆNH ĐIỀU XE'!$J$5:$J$604,'LỆNH ĐIỀU XE'!$B$5:$B$604,$A390,'LỆNH ĐIỀU XE'!$C$5:$C$604,$B390))</f>
        <v/>
      </c>
      <c r="V390" s="22" t="str">
        <f t="shared" si="60"/>
        <v/>
      </c>
      <c r="W390" s="28" t="str">
        <f t="shared" si="61"/>
        <v/>
      </c>
      <c r="X390" s="28" t="str">
        <f t="shared" si="62"/>
        <v/>
      </c>
      <c r="Y390" s="28" t="str">
        <f t="shared" si="63"/>
        <v/>
      </c>
      <c r="Z390" s="22" t="str">
        <f t="shared" si="64"/>
        <v/>
      </c>
      <c r="AA390" s="28" t="str">
        <f t="shared" si="65"/>
        <v/>
      </c>
      <c r="AB390" s="28" t="str">
        <f t="shared" si="66"/>
        <v/>
      </c>
      <c r="AC390" s="28" t="str">
        <f>IF($A390="","",SUMIFS('CHẶNG TĂNG CA'!$E$5:$E$304,'CHẶNG TĂNG CA'!$A$5:$A$304,$A390,'CHẶNG TĂNG CA'!$B$5:$B$304,$B390))</f>
        <v/>
      </c>
      <c r="AD390" s="28" t="str">
        <f>IF($A390="","",SUMIFS('CHẶNG TĂNG CA'!$F$5:$F$304,'CHẶNG TĂNG CA'!$A$5:$A$304,$A390,'CHẶNG TĂNG CA'!$B$5:$B$304,$B390))</f>
        <v/>
      </c>
      <c r="AE390" s="28" t="str">
        <f>IF($A390="","",SUMIFS('CHẶNG TĂNG CA'!$G$5:$G$304,'CHẶNG TĂNG CA'!$A$5:$A$304,$A390,'CHẶNG TĂNG CA'!$B$5:$B$304,$B390))</f>
        <v/>
      </c>
      <c r="AF390" s="28" t="str">
        <f>IF($A390="","",SUMIFS('CHẶNG TĂNG CA'!$H$5:$H$304,'CHẶNG TĂNG CA'!$A$5:$A$304,$A390,'CHẶNG TĂNG CA'!$B$5:$B$304,$B390))</f>
        <v/>
      </c>
      <c r="AG390" s="28" t="str">
        <f t="shared" si="67"/>
        <v/>
      </c>
      <c r="AH390" s="16" t="str">
        <f>IF($A390="","",IF(COUNTIFS('LỆNH ĐIỀU XE'!$B$5:$B$604,$A390,'LỆNH ĐIỀU XE'!$C$5:$C$604,$B390,'LỆNH ĐIỀU XE'!$N$5:$N$604,"Có")&gt;0,"Có","Không"))</f>
        <v/>
      </c>
      <c r="AI390" s="16" t="str">
        <f>IF(OR($A390="",H390="",N(T390)=0),"",IF(_xlfn.MAXIFS('LỆNH ĐIỀU XE'!$U$5:$U$604,'LỆNH ĐIỀU XE'!$B$5:$B$604,$A390,'LỆNH ĐIỀU XE'!$C$5:$C$604,$B390)=0,"",ROUND((H390+(H390&lt;4/24)-_xlfn.MAXIFS('LỆNH ĐIỀU XE'!$U$5:$U$604,'LỆNH ĐIỀU XE'!$B$5:$B$604,$A390,'LỆNH ĐIỀU XE'!$C$5:$C$604,$B390))*1440,0)))</f>
        <v/>
      </c>
      <c r="AJ390" s="16" t="str">
        <f>IF($A390="","",IF(OR(AI390="",V390=""),"Thiếu dữ liệu",IF(AND(AI390&lt;='THAM SỐ'!$B$29,ABS(V390)&lt;='THAM SỐ'!$B$28),"Đạt","Không đạt")))</f>
        <v/>
      </c>
      <c r="AK390" s="16" t="str">
        <f t="shared" si="68"/>
        <v/>
      </c>
      <c r="AL390" s="16" t="str">
        <f>IF($A390="","",TRIM(IF(T390=0,"Không có lệnh; ","")&amp;IF(N(N390)&gt;0,"Dừng ngoài lệnh; ","")&amp;IF(N(J390)&gt;0,"Quá tốc độ; ","")&amp;IF(N(K390)&gt;0,"Lái quá 4h; ","")&amp;IF(N(L390)&gt;0,"Không tắt máy; ","")&amp;IF(OR(P390&lt;&gt;"Đủ",Q390&lt;&gt;"Đủ",R390&lt;&gt;"Đủ"),"Thiếu ảnh; ","")&amp;IF(S390&lt;&gt;"Đạt","Lốp chưa đạt; ","")&amp;IF(N(W390)&gt;'THAM SỐ'!$B$27,"Có mặt quá giờ; ","")&amp;IF(N(X390)&gt;'THAM SỐ'!$B$25,"Lái quá giờ ngày; ","")&amp;IF(ISNUMBER(V390),IF(ABS(V390)&gt;'THAM SỐ'!$B$28,"Lệch km; ",""),"")))</f>
        <v/>
      </c>
      <c r="AM390" s="29"/>
      <c r="AN390" s="30"/>
      <c r="AO390" s="28" t="str">
        <f t="shared" si="69"/>
        <v/>
      </c>
      <c r="AP390" s="21" t="str">
        <f>IF(OR($A390="",AO390=""),"",IF(AG390=0,0,ROUND((AC390*'THAM SỐ'!$B$18+AD390*'THAM SỐ'!$B$19+AE390*'THAM SỐ'!$B$20+AF390*'THAM SỐ'!$B$21)*MIN(1,AO390/AG390),0)))</f>
        <v/>
      </c>
      <c r="AQ390" s="18"/>
    </row>
    <row r="391" spans="1:43" x14ac:dyDescent="0.45">
      <c r="A391" s="17"/>
      <c r="B391" s="18"/>
      <c r="C391" s="18"/>
      <c r="D391" s="25"/>
      <c r="E391" s="26"/>
      <c r="F391" s="26"/>
      <c r="G391" s="20"/>
      <c r="H391" s="20"/>
      <c r="I391" s="18"/>
      <c r="J391" s="18"/>
      <c r="K391" s="18"/>
      <c r="L391" s="18"/>
      <c r="M391" s="18"/>
      <c r="N391" s="18"/>
      <c r="O391" s="18"/>
      <c r="P391" s="18"/>
      <c r="Q391" s="18"/>
      <c r="R391" s="18"/>
      <c r="S391" s="18"/>
      <c r="T391" s="16" t="str">
        <f>IF($A391="","",COUNTIFS('LỆNH ĐIỀU XE'!$B$5:$B$604,$A391,'LỆNH ĐIỀU XE'!$C$5:$C$604,$B391))</f>
        <v/>
      </c>
      <c r="U391" s="27" t="str">
        <f>IF($A391="","",SUMIFS('LỆNH ĐIỀU XE'!$J$5:$J$604,'LỆNH ĐIỀU XE'!$B$5:$B$604,$A391,'LỆNH ĐIỀU XE'!$C$5:$C$604,$B391))</f>
        <v/>
      </c>
      <c r="V391" s="22" t="str">
        <f t="shared" si="60"/>
        <v/>
      </c>
      <c r="W391" s="28" t="str">
        <f t="shared" si="61"/>
        <v/>
      </c>
      <c r="X391" s="28" t="str">
        <f t="shared" si="62"/>
        <v/>
      </c>
      <c r="Y391" s="28" t="str">
        <f t="shared" si="63"/>
        <v/>
      </c>
      <c r="Z391" s="22" t="str">
        <f t="shared" si="64"/>
        <v/>
      </c>
      <c r="AA391" s="28" t="str">
        <f t="shared" si="65"/>
        <v/>
      </c>
      <c r="AB391" s="28" t="str">
        <f t="shared" si="66"/>
        <v/>
      </c>
      <c r="AC391" s="28" t="str">
        <f>IF($A391="","",SUMIFS('CHẶNG TĂNG CA'!$E$5:$E$304,'CHẶNG TĂNG CA'!$A$5:$A$304,$A391,'CHẶNG TĂNG CA'!$B$5:$B$304,$B391))</f>
        <v/>
      </c>
      <c r="AD391" s="28" t="str">
        <f>IF($A391="","",SUMIFS('CHẶNG TĂNG CA'!$F$5:$F$304,'CHẶNG TĂNG CA'!$A$5:$A$304,$A391,'CHẶNG TĂNG CA'!$B$5:$B$304,$B391))</f>
        <v/>
      </c>
      <c r="AE391" s="28" t="str">
        <f>IF($A391="","",SUMIFS('CHẶNG TĂNG CA'!$G$5:$G$304,'CHẶNG TĂNG CA'!$A$5:$A$304,$A391,'CHẶNG TĂNG CA'!$B$5:$B$304,$B391))</f>
        <v/>
      </c>
      <c r="AF391" s="28" t="str">
        <f>IF($A391="","",SUMIFS('CHẶNG TĂNG CA'!$H$5:$H$304,'CHẶNG TĂNG CA'!$A$5:$A$304,$A391,'CHẶNG TĂNG CA'!$B$5:$B$304,$B391))</f>
        <v/>
      </c>
      <c r="AG391" s="28" t="str">
        <f t="shared" si="67"/>
        <v/>
      </c>
      <c r="AH391" s="16" t="str">
        <f>IF($A391="","",IF(COUNTIFS('LỆNH ĐIỀU XE'!$B$5:$B$604,$A391,'LỆNH ĐIỀU XE'!$C$5:$C$604,$B391,'LỆNH ĐIỀU XE'!$N$5:$N$604,"Có")&gt;0,"Có","Không"))</f>
        <v/>
      </c>
      <c r="AI391" s="16" t="str">
        <f>IF(OR($A391="",H391="",N(T391)=0),"",IF(_xlfn.MAXIFS('LỆNH ĐIỀU XE'!$U$5:$U$604,'LỆNH ĐIỀU XE'!$B$5:$B$604,$A391,'LỆNH ĐIỀU XE'!$C$5:$C$604,$B391)=0,"",ROUND((H391+(H391&lt;4/24)-_xlfn.MAXIFS('LỆNH ĐIỀU XE'!$U$5:$U$604,'LỆNH ĐIỀU XE'!$B$5:$B$604,$A391,'LỆNH ĐIỀU XE'!$C$5:$C$604,$B391))*1440,0)))</f>
        <v/>
      </c>
      <c r="AJ391" s="16" t="str">
        <f>IF($A391="","",IF(OR(AI391="",V391=""),"Thiếu dữ liệu",IF(AND(AI391&lt;='THAM SỐ'!$B$29,ABS(V391)&lt;='THAM SỐ'!$B$28),"Đạt","Không đạt")))</f>
        <v/>
      </c>
      <c r="AK391" s="16" t="str">
        <f t="shared" si="68"/>
        <v/>
      </c>
      <c r="AL391" s="16" t="str">
        <f>IF($A391="","",TRIM(IF(T391=0,"Không có lệnh; ","")&amp;IF(N(N391)&gt;0,"Dừng ngoài lệnh; ","")&amp;IF(N(J391)&gt;0,"Quá tốc độ; ","")&amp;IF(N(K391)&gt;0,"Lái quá 4h; ","")&amp;IF(N(L391)&gt;0,"Không tắt máy; ","")&amp;IF(OR(P391&lt;&gt;"Đủ",Q391&lt;&gt;"Đủ",R391&lt;&gt;"Đủ"),"Thiếu ảnh; ","")&amp;IF(S391&lt;&gt;"Đạt","Lốp chưa đạt; ","")&amp;IF(N(W391)&gt;'THAM SỐ'!$B$27,"Có mặt quá giờ; ","")&amp;IF(N(X391)&gt;'THAM SỐ'!$B$25,"Lái quá giờ ngày; ","")&amp;IF(ISNUMBER(V391),IF(ABS(V391)&gt;'THAM SỐ'!$B$28,"Lệch km; ",""),"")))</f>
        <v/>
      </c>
      <c r="AM391" s="29"/>
      <c r="AN391" s="30"/>
      <c r="AO391" s="28" t="str">
        <f t="shared" si="69"/>
        <v/>
      </c>
      <c r="AP391" s="21" t="str">
        <f>IF(OR($A391="",AO391=""),"",IF(AG391=0,0,ROUND((AC391*'THAM SỐ'!$B$18+AD391*'THAM SỐ'!$B$19+AE391*'THAM SỐ'!$B$20+AF391*'THAM SỐ'!$B$21)*MIN(1,AO391/AG391),0)))</f>
        <v/>
      </c>
      <c r="AQ391" s="18"/>
    </row>
    <row r="392" spans="1:43" x14ac:dyDescent="0.45">
      <c r="A392" s="17"/>
      <c r="B392" s="18"/>
      <c r="C392" s="18"/>
      <c r="D392" s="25"/>
      <c r="E392" s="26"/>
      <c r="F392" s="26"/>
      <c r="G392" s="20"/>
      <c r="H392" s="20"/>
      <c r="I392" s="18"/>
      <c r="J392" s="18"/>
      <c r="K392" s="18"/>
      <c r="L392" s="18"/>
      <c r="M392" s="18"/>
      <c r="N392" s="18"/>
      <c r="O392" s="18"/>
      <c r="P392" s="18"/>
      <c r="Q392" s="18"/>
      <c r="R392" s="18"/>
      <c r="S392" s="18"/>
      <c r="T392" s="16" t="str">
        <f>IF($A392="","",COUNTIFS('LỆNH ĐIỀU XE'!$B$5:$B$604,$A392,'LỆNH ĐIỀU XE'!$C$5:$C$604,$B392))</f>
        <v/>
      </c>
      <c r="U392" s="27" t="str">
        <f>IF($A392="","",SUMIFS('LỆNH ĐIỀU XE'!$J$5:$J$604,'LỆNH ĐIỀU XE'!$B$5:$B$604,$A392,'LỆNH ĐIỀU XE'!$C$5:$C$604,$B392))</f>
        <v/>
      </c>
      <c r="V392" s="22" t="str">
        <f t="shared" si="60"/>
        <v/>
      </c>
      <c r="W392" s="28" t="str">
        <f t="shared" si="61"/>
        <v/>
      </c>
      <c r="X392" s="28" t="str">
        <f t="shared" si="62"/>
        <v/>
      </c>
      <c r="Y392" s="28" t="str">
        <f t="shared" si="63"/>
        <v/>
      </c>
      <c r="Z392" s="22" t="str">
        <f t="shared" si="64"/>
        <v/>
      </c>
      <c r="AA392" s="28" t="str">
        <f t="shared" si="65"/>
        <v/>
      </c>
      <c r="AB392" s="28" t="str">
        <f t="shared" si="66"/>
        <v/>
      </c>
      <c r="AC392" s="28" t="str">
        <f>IF($A392="","",SUMIFS('CHẶNG TĂNG CA'!$E$5:$E$304,'CHẶNG TĂNG CA'!$A$5:$A$304,$A392,'CHẶNG TĂNG CA'!$B$5:$B$304,$B392))</f>
        <v/>
      </c>
      <c r="AD392" s="28" t="str">
        <f>IF($A392="","",SUMIFS('CHẶNG TĂNG CA'!$F$5:$F$304,'CHẶNG TĂNG CA'!$A$5:$A$304,$A392,'CHẶNG TĂNG CA'!$B$5:$B$304,$B392))</f>
        <v/>
      </c>
      <c r="AE392" s="28" t="str">
        <f>IF($A392="","",SUMIFS('CHẶNG TĂNG CA'!$G$5:$G$304,'CHẶNG TĂNG CA'!$A$5:$A$304,$A392,'CHẶNG TĂNG CA'!$B$5:$B$304,$B392))</f>
        <v/>
      </c>
      <c r="AF392" s="28" t="str">
        <f>IF($A392="","",SUMIFS('CHẶNG TĂNG CA'!$H$5:$H$304,'CHẶNG TĂNG CA'!$A$5:$A$304,$A392,'CHẶNG TĂNG CA'!$B$5:$B$304,$B392))</f>
        <v/>
      </c>
      <c r="AG392" s="28" t="str">
        <f t="shared" si="67"/>
        <v/>
      </c>
      <c r="AH392" s="16" t="str">
        <f>IF($A392="","",IF(COUNTIFS('LỆNH ĐIỀU XE'!$B$5:$B$604,$A392,'LỆNH ĐIỀU XE'!$C$5:$C$604,$B392,'LỆNH ĐIỀU XE'!$N$5:$N$604,"Có")&gt;0,"Có","Không"))</f>
        <v/>
      </c>
      <c r="AI392" s="16" t="str">
        <f>IF(OR($A392="",H392="",N(T392)=0),"",IF(_xlfn.MAXIFS('LỆNH ĐIỀU XE'!$U$5:$U$604,'LỆNH ĐIỀU XE'!$B$5:$B$604,$A392,'LỆNH ĐIỀU XE'!$C$5:$C$604,$B392)=0,"",ROUND((H392+(H392&lt;4/24)-_xlfn.MAXIFS('LỆNH ĐIỀU XE'!$U$5:$U$604,'LỆNH ĐIỀU XE'!$B$5:$B$604,$A392,'LỆNH ĐIỀU XE'!$C$5:$C$604,$B392))*1440,0)))</f>
        <v/>
      </c>
      <c r="AJ392" s="16" t="str">
        <f>IF($A392="","",IF(OR(AI392="",V392=""),"Thiếu dữ liệu",IF(AND(AI392&lt;='THAM SỐ'!$B$29,ABS(V392)&lt;='THAM SỐ'!$B$28),"Đạt","Không đạt")))</f>
        <v/>
      </c>
      <c r="AK392" s="16" t="str">
        <f t="shared" si="68"/>
        <v/>
      </c>
      <c r="AL392" s="16" t="str">
        <f>IF($A392="","",TRIM(IF(T392=0,"Không có lệnh; ","")&amp;IF(N(N392)&gt;0,"Dừng ngoài lệnh; ","")&amp;IF(N(J392)&gt;0,"Quá tốc độ; ","")&amp;IF(N(K392)&gt;0,"Lái quá 4h; ","")&amp;IF(N(L392)&gt;0,"Không tắt máy; ","")&amp;IF(OR(P392&lt;&gt;"Đủ",Q392&lt;&gt;"Đủ",R392&lt;&gt;"Đủ"),"Thiếu ảnh; ","")&amp;IF(S392&lt;&gt;"Đạt","Lốp chưa đạt; ","")&amp;IF(N(W392)&gt;'THAM SỐ'!$B$27,"Có mặt quá giờ; ","")&amp;IF(N(X392)&gt;'THAM SỐ'!$B$25,"Lái quá giờ ngày; ","")&amp;IF(ISNUMBER(V392),IF(ABS(V392)&gt;'THAM SỐ'!$B$28,"Lệch km; ",""),"")))</f>
        <v/>
      </c>
      <c r="AM392" s="29"/>
      <c r="AN392" s="30"/>
      <c r="AO392" s="28" t="str">
        <f t="shared" si="69"/>
        <v/>
      </c>
      <c r="AP392" s="21" t="str">
        <f>IF(OR($A392="",AO392=""),"",IF(AG392=0,0,ROUND((AC392*'THAM SỐ'!$B$18+AD392*'THAM SỐ'!$B$19+AE392*'THAM SỐ'!$B$20+AF392*'THAM SỐ'!$B$21)*MIN(1,AO392/AG392),0)))</f>
        <v/>
      </c>
      <c r="AQ392" s="18"/>
    </row>
    <row r="393" spans="1:43" x14ac:dyDescent="0.45">
      <c r="A393" s="17"/>
      <c r="B393" s="18"/>
      <c r="C393" s="18"/>
      <c r="D393" s="25"/>
      <c r="E393" s="26"/>
      <c r="F393" s="26"/>
      <c r="G393" s="20"/>
      <c r="H393" s="20"/>
      <c r="I393" s="18"/>
      <c r="J393" s="18"/>
      <c r="K393" s="18"/>
      <c r="L393" s="18"/>
      <c r="M393" s="18"/>
      <c r="N393" s="18"/>
      <c r="O393" s="18"/>
      <c r="P393" s="18"/>
      <c r="Q393" s="18"/>
      <c r="R393" s="18"/>
      <c r="S393" s="18"/>
      <c r="T393" s="16" t="str">
        <f>IF($A393="","",COUNTIFS('LỆNH ĐIỀU XE'!$B$5:$B$604,$A393,'LỆNH ĐIỀU XE'!$C$5:$C$604,$B393))</f>
        <v/>
      </c>
      <c r="U393" s="27" t="str">
        <f>IF($A393="","",SUMIFS('LỆNH ĐIỀU XE'!$J$5:$J$604,'LỆNH ĐIỀU XE'!$B$5:$B$604,$A393,'LỆNH ĐIỀU XE'!$C$5:$C$604,$B393))</f>
        <v/>
      </c>
      <c r="V393" s="22" t="str">
        <f t="shared" si="60"/>
        <v/>
      </c>
      <c r="W393" s="28" t="str">
        <f t="shared" si="61"/>
        <v/>
      </c>
      <c r="X393" s="28" t="str">
        <f t="shared" si="62"/>
        <v/>
      </c>
      <c r="Y393" s="28" t="str">
        <f t="shared" si="63"/>
        <v/>
      </c>
      <c r="Z393" s="22" t="str">
        <f t="shared" si="64"/>
        <v/>
      </c>
      <c r="AA393" s="28" t="str">
        <f t="shared" si="65"/>
        <v/>
      </c>
      <c r="AB393" s="28" t="str">
        <f t="shared" si="66"/>
        <v/>
      </c>
      <c r="AC393" s="28" t="str">
        <f>IF($A393="","",SUMIFS('CHẶNG TĂNG CA'!$E$5:$E$304,'CHẶNG TĂNG CA'!$A$5:$A$304,$A393,'CHẶNG TĂNG CA'!$B$5:$B$304,$B393))</f>
        <v/>
      </c>
      <c r="AD393" s="28" t="str">
        <f>IF($A393="","",SUMIFS('CHẶNG TĂNG CA'!$F$5:$F$304,'CHẶNG TĂNG CA'!$A$5:$A$304,$A393,'CHẶNG TĂNG CA'!$B$5:$B$304,$B393))</f>
        <v/>
      </c>
      <c r="AE393" s="28" t="str">
        <f>IF($A393="","",SUMIFS('CHẶNG TĂNG CA'!$G$5:$G$304,'CHẶNG TĂNG CA'!$A$5:$A$304,$A393,'CHẶNG TĂNG CA'!$B$5:$B$304,$B393))</f>
        <v/>
      </c>
      <c r="AF393" s="28" t="str">
        <f>IF($A393="","",SUMIFS('CHẶNG TĂNG CA'!$H$5:$H$304,'CHẶNG TĂNG CA'!$A$5:$A$304,$A393,'CHẶNG TĂNG CA'!$B$5:$B$304,$B393))</f>
        <v/>
      </c>
      <c r="AG393" s="28" t="str">
        <f t="shared" si="67"/>
        <v/>
      </c>
      <c r="AH393" s="16" t="str">
        <f>IF($A393="","",IF(COUNTIFS('LỆNH ĐIỀU XE'!$B$5:$B$604,$A393,'LỆNH ĐIỀU XE'!$C$5:$C$604,$B393,'LỆNH ĐIỀU XE'!$N$5:$N$604,"Có")&gt;0,"Có","Không"))</f>
        <v/>
      </c>
      <c r="AI393" s="16" t="str">
        <f>IF(OR($A393="",H393="",N(T393)=0),"",IF(_xlfn.MAXIFS('LỆNH ĐIỀU XE'!$U$5:$U$604,'LỆNH ĐIỀU XE'!$B$5:$B$604,$A393,'LỆNH ĐIỀU XE'!$C$5:$C$604,$B393)=0,"",ROUND((H393+(H393&lt;4/24)-_xlfn.MAXIFS('LỆNH ĐIỀU XE'!$U$5:$U$604,'LỆNH ĐIỀU XE'!$B$5:$B$604,$A393,'LỆNH ĐIỀU XE'!$C$5:$C$604,$B393))*1440,0)))</f>
        <v/>
      </c>
      <c r="AJ393" s="16" t="str">
        <f>IF($A393="","",IF(OR(AI393="",V393=""),"Thiếu dữ liệu",IF(AND(AI393&lt;='THAM SỐ'!$B$29,ABS(V393)&lt;='THAM SỐ'!$B$28),"Đạt","Không đạt")))</f>
        <v/>
      </c>
      <c r="AK393" s="16" t="str">
        <f t="shared" si="68"/>
        <v/>
      </c>
      <c r="AL393" s="16" t="str">
        <f>IF($A393="","",TRIM(IF(T393=0,"Không có lệnh; ","")&amp;IF(N(N393)&gt;0,"Dừng ngoài lệnh; ","")&amp;IF(N(J393)&gt;0,"Quá tốc độ; ","")&amp;IF(N(K393)&gt;0,"Lái quá 4h; ","")&amp;IF(N(L393)&gt;0,"Không tắt máy; ","")&amp;IF(OR(P393&lt;&gt;"Đủ",Q393&lt;&gt;"Đủ",R393&lt;&gt;"Đủ"),"Thiếu ảnh; ","")&amp;IF(S393&lt;&gt;"Đạt","Lốp chưa đạt; ","")&amp;IF(N(W393)&gt;'THAM SỐ'!$B$27,"Có mặt quá giờ; ","")&amp;IF(N(X393)&gt;'THAM SỐ'!$B$25,"Lái quá giờ ngày; ","")&amp;IF(ISNUMBER(V393),IF(ABS(V393)&gt;'THAM SỐ'!$B$28,"Lệch km; ",""),"")))</f>
        <v/>
      </c>
      <c r="AM393" s="29"/>
      <c r="AN393" s="30"/>
      <c r="AO393" s="28" t="str">
        <f t="shared" si="69"/>
        <v/>
      </c>
      <c r="AP393" s="21" t="str">
        <f>IF(OR($A393="",AO393=""),"",IF(AG393=0,0,ROUND((AC393*'THAM SỐ'!$B$18+AD393*'THAM SỐ'!$B$19+AE393*'THAM SỐ'!$B$20+AF393*'THAM SỐ'!$B$21)*MIN(1,AO393/AG393),0)))</f>
        <v/>
      </c>
      <c r="AQ393" s="18"/>
    </row>
    <row r="394" spans="1:43" x14ac:dyDescent="0.45">
      <c r="A394" s="17"/>
      <c r="B394" s="18"/>
      <c r="C394" s="18"/>
      <c r="D394" s="25"/>
      <c r="E394" s="26"/>
      <c r="F394" s="26"/>
      <c r="G394" s="20"/>
      <c r="H394" s="20"/>
      <c r="I394" s="18"/>
      <c r="J394" s="18"/>
      <c r="K394" s="18"/>
      <c r="L394" s="18"/>
      <c r="M394" s="18"/>
      <c r="N394" s="18"/>
      <c r="O394" s="18"/>
      <c r="P394" s="18"/>
      <c r="Q394" s="18"/>
      <c r="R394" s="18"/>
      <c r="S394" s="18"/>
      <c r="T394" s="16" t="str">
        <f>IF($A394="","",COUNTIFS('LỆNH ĐIỀU XE'!$B$5:$B$604,$A394,'LỆNH ĐIỀU XE'!$C$5:$C$604,$B394))</f>
        <v/>
      </c>
      <c r="U394" s="27" t="str">
        <f>IF($A394="","",SUMIFS('LỆNH ĐIỀU XE'!$J$5:$J$604,'LỆNH ĐIỀU XE'!$B$5:$B$604,$A394,'LỆNH ĐIỀU XE'!$C$5:$C$604,$B394))</f>
        <v/>
      </c>
      <c r="V394" s="22" t="str">
        <f t="shared" si="60"/>
        <v/>
      </c>
      <c r="W394" s="28" t="str">
        <f t="shared" si="61"/>
        <v/>
      </c>
      <c r="X394" s="28" t="str">
        <f t="shared" si="62"/>
        <v/>
      </c>
      <c r="Y394" s="28" t="str">
        <f t="shared" si="63"/>
        <v/>
      </c>
      <c r="Z394" s="22" t="str">
        <f t="shared" si="64"/>
        <v/>
      </c>
      <c r="AA394" s="28" t="str">
        <f t="shared" si="65"/>
        <v/>
      </c>
      <c r="AB394" s="28" t="str">
        <f t="shared" si="66"/>
        <v/>
      </c>
      <c r="AC394" s="28" t="str">
        <f>IF($A394="","",SUMIFS('CHẶNG TĂNG CA'!$E$5:$E$304,'CHẶNG TĂNG CA'!$A$5:$A$304,$A394,'CHẶNG TĂNG CA'!$B$5:$B$304,$B394))</f>
        <v/>
      </c>
      <c r="AD394" s="28" t="str">
        <f>IF($A394="","",SUMIFS('CHẶNG TĂNG CA'!$F$5:$F$304,'CHẶNG TĂNG CA'!$A$5:$A$304,$A394,'CHẶNG TĂNG CA'!$B$5:$B$304,$B394))</f>
        <v/>
      </c>
      <c r="AE394" s="28" t="str">
        <f>IF($A394="","",SUMIFS('CHẶNG TĂNG CA'!$G$5:$G$304,'CHẶNG TĂNG CA'!$A$5:$A$304,$A394,'CHẶNG TĂNG CA'!$B$5:$B$304,$B394))</f>
        <v/>
      </c>
      <c r="AF394" s="28" t="str">
        <f>IF($A394="","",SUMIFS('CHẶNG TĂNG CA'!$H$5:$H$304,'CHẶNG TĂNG CA'!$A$5:$A$304,$A394,'CHẶNG TĂNG CA'!$B$5:$B$304,$B394))</f>
        <v/>
      </c>
      <c r="AG394" s="28" t="str">
        <f t="shared" si="67"/>
        <v/>
      </c>
      <c r="AH394" s="16" t="str">
        <f>IF($A394="","",IF(COUNTIFS('LỆNH ĐIỀU XE'!$B$5:$B$604,$A394,'LỆNH ĐIỀU XE'!$C$5:$C$604,$B394,'LỆNH ĐIỀU XE'!$N$5:$N$604,"Có")&gt;0,"Có","Không"))</f>
        <v/>
      </c>
      <c r="AI394" s="16" t="str">
        <f>IF(OR($A394="",H394="",N(T394)=0),"",IF(_xlfn.MAXIFS('LỆNH ĐIỀU XE'!$U$5:$U$604,'LỆNH ĐIỀU XE'!$B$5:$B$604,$A394,'LỆNH ĐIỀU XE'!$C$5:$C$604,$B394)=0,"",ROUND((H394+(H394&lt;4/24)-_xlfn.MAXIFS('LỆNH ĐIỀU XE'!$U$5:$U$604,'LỆNH ĐIỀU XE'!$B$5:$B$604,$A394,'LỆNH ĐIỀU XE'!$C$5:$C$604,$B394))*1440,0)))</f>
        <v/>
      </c>
      <c r="AJ394" s="16" t="str">
        <f>IF($A394="","",IF(OR(AI394="",V394=""),"Thiếu dữ liệu",IF(AND(AI394&lt;='THAM SỐ'!$B$29,ABS(V394)&lt;='THAM SỐ'!$B$28),"Đạt","Không đạt")))</f>
        <v/>
      </c>
      <c r="AK394" s="16" t="str">
        <f t="shared" si="68"/>
        <v/>
      </c>
      <c r="AL394" s="16" t="str">
        <f>IF($A394="","",TRIM(IF(T394=0,"Không có lệnh; ","")&amp;IF(N(N394)&gt;0,"Dừng ngoài lệnh; ","")&amp;IF(N(J394)&gt;0,"Quá tốc độ; ","")&amp;IF(N(K394)&gt;0,"Lái quá 4h; ","")&amp;IF(N(L394)&gt;0,"Không tắt máy; ","")&amp;IF(OR(P394&lt;&gt;"Đủ",Q394&lt;&gt;"Đủ",R394&lt;&gt;"Đủ"),"Thiếu ảnh; ","")&amp;IF(S394&lt;&gt;"Đạt","Lốp chưa đạt; ","")&amp;IF(N(W394)&gt;'THAM SỐ'!$B$27,"Có mặt quá giờ; ","")&amp;IF(N(X394)&gt;'THAM SỐ'!$B$25,"Lái quá giờ ngày; ","")&amp;IF(ISNUMBER(V394),IF(ABS(V394)&gt;'THAM SỐ'!$B$28,"Lệch km; ",""),"")))</f>
        <v/>
      </c>
      <c r="AM394" s="29"/>
      <c r="AN394" s="30"/>
      <c r="AO394" s="28" t="str">
        <f t="shared" si="69"/>
        <v/>
      </c>
      <c r="AP394" s="21" t="str">
        <f>IF(OR($A394="",AO394=""),"",IF(AG394=0,0,ROUND((AC394*'THAM SỐ'!$B$18+AD394*'THAM SỐ'!$B$19+AE394*'THAM SỐ'!$B$20+AF394*'THAM SỐ'!$B$21)*MIN(1,AO394/AG394),0)))</f>
        <v/>
      </c>
      <c r="AQ394" s="18"/>
    </row>
    <row r="395" spans="1:43" x14ac:dyDescent="0.45">
      <c r="A395" s="17"/>
      <c r="B395" s="18"/>
      <c r="C395" s="18"/>
      <c r="D395" s="25"/>
      <c r="E395" s="26"/>
      <c r="F395" s="26"/>
      <c r="G395" s="20"/>
      <c r="H395" s="20"/>
      <c r="I395" s="18"/>
      <c r="J395" s="18"/>
      <c r="K395" s="18"/>
      <c r="L395" s="18"/>
      <c r="M395" s="18"/>
      <c r="N395" s="18"/>
      <c r="O395" s="18"/>
      <c r="P395" s="18"/>
      <c r="Q395" s="18"/>
      <c r="R395" s="18"/>
      <c r="S395" s="18"/>
      <c r="T395" s="16" t="str">
        <f>IF($A395="","",COUNTIFS('LỆNH ĐIỀU XE'!$B$5:$B$604,$A395,'LỆNH ĐIỀU XE'!$C$5:$C$604,$B395))</f>
        <v/>
      </c>
      <c r="U395" s="27" t="str">
        <f>IF($A395="","",SUMIFS('LỆNH ĐIỀU XE'!$J$5:$J$604,'LỆNH ĐIỀU XE'!$B$5:$B$604,$A395,'LỆNH ĐIỀU XE'!$C$5:$C$604,$B395))</f>
        <v/>
      </c>
      <c r="V395" s="22" t="str">
        <f t="shared" si="60"/>
        <v/>
      </c>
      <c r="W395" s="28" t="str">
        <f t="shared" si="61"/>
        <v/>
      </c>
      <c r="X395" s="28" t="str">
        <f t="shared" si="62"/>
        <v/>
      </c>
      <c r="Y395" s="28" t="str">
        <f t="shared" si="63"/>
        <v/>
      </c>
      <c r="Z395" s="22" t="str">
        <f t="shared" si="64"/>
        <v/>
      </c>
      <c r="AA395" s="28" t="str">
        <f t="shared" si="65"/>
        <v/>
      </c>
      <c r="AB395" s="28" t="str">
        <f t="shared" si="66"/>
        <v/>
      </c>
      <c r="AC395" s="28" t="str">
        <f>IF($A395="","",SUMIFS('CHẶNG TĂNG CA'!$E$5:$E$304,'CHẶNG TĂNG CA'!$A$5:$A$304,$A395,'CHẶNG TĂNG CA'!$B$5:$B$304,$B395))</f>
        <v/>
      </c>
      <c r="AD395" s="28" t="str">
        <f>IF($A395="","",SUMIFS('CHẶNG TĂNG CA'!$F$5:$F$304,'CHẶNG TĂNG CA'!$A$5:$A$304,$A395,'CHẶNG TĂNG CA'!$B$5:$B$304,$B395))</f>
        <v/>
      </c>
      <c r="AE395" s="28" t="str">
        <f>IF($A395="","",SUMIFS('CHẶNG TĂNG CA'!$G$5:$G$304,'CHẶNG TĂNG CA'!$A$5:$A$304,$A395,'CHẶNG TĂNG CA'!$B$5:$B$304,$B395))</f>
        <v/>
      </c>
      <c r="AF395" s="28" t="str">
        <f>IF($A395="","",SUMIFS('CHẶNG TĂNG CA'!$H$5:$H$304,'CHẶNG TĂNG CA'!$A$5:$A$304,$A395,'CHẶNG TĂNG CA'!$B$5:$B$304,$B395))</f>
        <v/>
      </c>
      <c r="AG395" s="28" t="str">
        <f t="shared" si="67"/>
        <v/>
      </c>
      <c r="AH395" s="16" t="str">
        <f>IF($A395="","",IF(COUNTIFS('LỆNH ĐIỀU XE'!$B$5:$B$604,$A395,'LỆNH ĐIỀU XE'!$C$5:$C$604,$B395,'LỆNH ĐIỀU XE'!$N$5:$N$604,"Có")&gt;0,"Có","Không"))</f>
        <v/>
      </c>
      <c r="AI395" s="16" t="str">
        <f>IF(OR($A395="",H395="",N(T395)=0),"",IF(_xlfn.MAXIFS('LỆNH ĐIỀU XE'!$U$5:$U$604,'LỆNH ĐIỀU XE'!$B$5:$B$604,$A395,'LỆNH ĐIỀU XE'!$C$5:$C$604,$B395)=0,"",ROUND((H395+(H395&lt;4/24)-_xlfn.MAXIFS('LỆNH ĐIỀU XE'!$U$5:$U$604,'LỆNH ĐIỀU XE'!$B$5:$B$604,$A395,'LỆNH ĐIỀU XE'!$C$5:$C$604,$B395))*1440,0)))</f>
        <v/>
      </c>
      <c r="AJ395" s="16" t="str">
        <f>IF($A395="","",IF(OR(AI395="",V395=""),"Thiếu dữ liệu",IF(AND(AI395&lt;='THAM SỐ'!$B$29,ABS(V395)&lt;='THAM SỐ'!$B$28),"Đạt","Không đạt")))</f>
        <v/>
      </c>
      <c r="AK395" s="16" t="str">
        <f t="shared" si="68"/>
        <v/>
      </c>
      <c r="AL395" s="16" t="str">
        <f>IF($A395="","",TRIM(IF(T395=0,"Không có lệnh; ","")&amp;IF(N(N395)&gt;0,"Dừng ngoài lệnh; ","")&amp;IF(N(J395)&gt;0,"Quá tốc độ; ","")&amp;IF(N(K395)&gt;0,"Lái quá 4h; ","")&amp;IF(N(L395)&gt;0,"Không tắt máy; ","")&amp;IF(OR(P395&lt;&gt;"Đủ",Q395&lt;&gt;"Đủ",R395&lt;&gt;"Đủ"),"Thiếu ảnh; ","")&amp;IF(S395&lt;&gt;"Đạt","Lốp chưa đạt; ","")&amp;IF(N(W395)&gt;'THAM SỐ'!$B$27,"Có mặt quá giờ; ","")&amp;IF(N(X395)&gt;'THAM SỐ'!$B$25,"Lái quá giờ ngày; ","")&amp;IF(ISNUMBER(V395),IF(ABS(V395)&gt;'THAM SỐ'!$B$28,"Lệch km; ",""),"")))</f>
        <v/>
      </c>
      <c r="AM395" s="29"/>
      <c r="AN395" s="30"/>
      <c r="AO395" s="28" t="str">
        <f t="shared" si="69"/>
        <v/>
      </c>
      <c r="AP395" s="21" t="str">
        <f>IF(OR($A395="",AO395=""),"",IF(AG395=0,0,ROUND((AC395*'THAM SỐ'!$B$18+AD395*'THAM SỐ'!$B$19+AE395*'THAM SỐ'!$B$20+AF395*'THAM SỐ'!$B$21)*MIN(1,AO395/AG395),0)))</f>
        <v/>
      </c>
      <c r="AQ395" s="18"/>
    </row>
    <row r="396" spans="1:43" x14ac:dyDescent="0.45">
      <c r="A396" s="17"/>
      <c r="B396" s="18"/>
      <c r="C396" s="18"/>
      <c r="D396" s="25"/>
      <c r="E396" s="26"/>
      <c r="F396" s="26"/>
      <c r="G396" s="20"/>
      <c r="H396" s="20"/>
      <c r="I396" s="18"/>
      <c r="J396" s="18"/>
      <c r="K396" s="18"/>
      <c r="L396" s="18"/>
      <c r="M396" s="18"/>
      <c r="N396" s="18"/>
      <c r="O396" s="18"/>
      <c r="P396" s="18"/>
      <c r="Q396" s="18"/>
      <c r="R396" s="18"/>
      <c r="S396" s="18"/>
      <c r="T396" s="16" t="str">
        <f>IF($A396="","",COUNTIFS('LỆNH ĐIỀU XE'!$B$5:$B$604,$A396,'LỆNH ĐIỀU XE'!$C$5:$C$604,$B396))</f>
        <v/>
      </c>
      <c r="U396" s="27" t="str">
        <f>IF($A396="","",SUMIFS('LỆNH ĐIỀU XE'!$J$5:$J$604,'LỆNH ĐIỀU XE'!$B$5:$B$604,$A396,'LỆNH ĐIỀU XE'!$C$5:$C$604,$B396))</f>
        <v/>
      </c>
      <c r="V396" s="22" t="str">
        <f t="shared" si="60"/>
        <v/>
      </c>
      <c r="W396" s="28" t="str">
        <f t="shared" si="61"/>
        <v/>
      </c>
      <c r="X396" s="28" t="str">
        <f t="shared" si="62"/>
        <v/>
      </c>
      <c r="Y396" s="28" t="str">
        <f t="shared" si="63"/>
        <v/>
      </c>
      <c r="Z396" s="22" t="str">
        <f t="shared" si="64"/>
        <v/>
      </c>
      <c r="AA396" s="28" t="str">
        <f t="shared" si="65"/>
        <v/>
      </c>
      <c r="AB396" s="28" t="str">
        <f t="shared" si="66"/>
        <v/>
      </c>
      <c r="AC396" s="28" t="str">
        <f>IF($A396="","",SUMIFS('CHẶNG TĂNG CA'!$E$5:$E$304,'CHẶNG TĂNG CA'!$A$5:$A$304,$A396,'CHẶNG TĂNG CA'!$B$5:$B$304,$B396))</f>
        <v/>
      </c>
      <c r="AD396" s="28" t="str">
        <f>IF($A396="","",SUMIFS('CHẶNG TĂNG CA'!$F$5:$F$304,'CHẶNG TĂNG CA'!$A$5:$A$304,$A396,'CHẶNG TĂNG CA'!$B$5:$B$304,$B396))</f>
        <v/>
      </c>
      <c r="AE396" s="28" t="str">
        <f>IF($A396="","",SUMIFS('CHẶNG TĂNG CA'!$G$5:$G$304,'CHẶNG TĂNG CA'!$A$5:$A$304,$A396,'CHẶNG TĂNG CA'!$B$5:$B$304,$B396))</f>
        <v/>
      </c>
      <c r="AF396" s="28" t="str">
        <f>IF($A396="","",SUMIFS('CHẶNG TĂNG CA'!$H$5:$H$304,'CHẶNG TĂNG CA'!$A$5:$A$304,$A396,'CHẶNG TĂNG CA'!$B$5:$B$304,$B396))</f>
        <v/>
      </c>
      <c r="AG396" s="28" t="str">
        <f t="shared" si="67"/>
        <v/>
      </c>
      <c r="AH396" s="16" t="str">
        <f>IF($A396="","",IF(COUNTIFS('LỆNH ĐIỀU XE'!$B$5:$B$604,$A396,'LỆNH ĐIỀU XE'!$C$5:$C$604,$B396,'LỆNH ĐIỀU XE'!$N$5:$N$604,"Có")&gt;0,"Có","Không"))</f>
        <v/>
      </c>
      <c r="AI396" s="16" t="str">
        <f>IF(OR($A396="",H396="",N(T396)=0),"",IF(_xlfn.MAXIFS('LỆNH ĐIỀU XE'!$U$5:$U$604,'LỆNH ĐIỀU XE'!$B$5:$B$604,$A396,'LỆNH ĐIỀU XE'!$C$5:$C$604,$B396)=0,"",ROUND((H396+(H396&lt;4/24)-_xlfn.MAXIFS('LỆNH ĐIỀU XE'!$U$5:$U$604,'LỆNH ĐIỀU XE'!$B$5:$B$604,$A396,'LỆNH ĐIỀU XE'!$C$5:$C$604,$B396))*1440,0)))</f>
        <v/>
      </c>
      <c r="AJ396" s="16" t="str">
        <f>IF($A396="","",IF(OR(AI396="",V396=""),"Thiếu dữ liệu",IF(AND(AI396&lt;='THAM SỐ'!$B$29,ABS(V396)&lt;='THAM SỐ'!$B$28),"Đạt","Không đạt")))</f>
        <v/>
      </c>
      <c r="AK396" s="16" t="str">
        <f t="shared" si="68"/>
        <v/>
      </c>
      <c r="AL396" s="16" t="str">
        <f>IF($A396="","",TRIM(IF(T396=0,"Không có lệnh; ","")&amp;IF(N(N396)&gt;0,"Dừng ngoài lệnh; ","")&amp;IF(N(J396)&gt;0,"Quá tốc độ; ","")&amp;IF(N(K396)&gt;0,"Lái quá 4h; ","")&amp;IF(N(L396)&gt;0,"Không tắt máy; ","")&amp;IF(OR(P396&lt;&gt;"Đủ",Q396&lt;&gt;"Đủ",R396&lt;&gt;"Đủ"),"Thiếu ảnh; ","")&amp;IF(S396&lt;&gt;"Đạt","Lốp chưa đạt; ","")&amp;IF(N(W396)&gt;'THAM SỐ'!$B$27,"Có mặt quá giờ; ","")&amp;IF(N(X396)&gt;'THAM SỐ'!$B$25,"Lái quá giờ ngày; ","")&amp;IF(ISNUMBER(V396),IF(ABS(V396)&gt;'THAM SỐ'!$B$28,"Lệch km; ",""),"")))</f>
        <v/>
      </c>
      <c r="AM396" s="29"/>
      <c r="AN396" s="30"/>
      <c r="AO396" s="28" t="str">
        <f t="shared" si="69"/>
        <v/>
      </c>
      <c r="AP396" s="21" t="str">
        <f>IF(OR($A396="",AO396=""),"",IF(AG396=0,0,ROUND((AC396*'THAM SỐ'!$B$18+AD396*'THAM SỐ'!$B$19+AE396*'THAM SỐ'!$B$20+AF396*'THAM SỐ'!$B$21)*MIN(1,AO396/AG396),0)))</f>
        <v/>
      </c>
      <c r="AQ396" s="18"/>
    </row>
    <row r="397" spans="1:43" x14ac:dyDescent="0.45">
      <c r="A397" s="17"/>
      <c r="B397" s="18"/>
      <c r="C397" s="18"/>
      <c r="D397" s="25"/>
      <c r="E397" s="26"/>
      <c r="F397" s="26"/>
      <c r="G397" s="20"/>
      <c r="H397" s="20"/>
      <c r="I397" s="18"/>
      <c r="J397" s="18"/>
      <c r="K397" s="18"/>
      <c r="L397" s="18"/>
      <c r="M397" s="18"/>
      <c r="N397" s="18"/>
      <c r="O397" s="18"/>
      <c r="P397" s="18"/>
      <c r="Q397" s="18"/>
      <c r="R397" s="18"/>
      <c r="S397" s="18"/>
      <c r="T397" s="16" t="str">
        <f>IF($A397="","",COUNTIFS('LỆNH ĐIỀU XE'!$B$5:$B$604,$A397,'LỆNH ĐIỀU XE'!$C$5:$C$604,$B397))</f>
        <v/>
      </c>
      <c r="U397" s="27" t="str">
        <f>IF($A397="","",SUMIFS('LỆNH ĐIỀU XE'!$J$5:$J$604,'LỆNH ĐIỀU XE'!$B$5:$B$604,$A397,'LỆNH ĐIỀU XE'!$C$5:$C$604,$B397))</f>
        <v/>
      </c>
      <c r="V397" s="22" t="str">
        <f t="shared" si="60"/>
        <v/>
      </c>
      <c r="W397" s="28" t="str">
        <f t="shared" si="61"/>
        <v/>
      </c>
      <c r="X397" s="28" t="str">
        <f t="shared" si="62"/>
        <v/>
      </c>
      <c r="Y397" s="28" t="str">
        <f t="shared" si="63"/>
        <v/>
      </c>
      <c r="Z397" s="22" t="str">
        <f t="shared" si="64"/>
        <v/>
      </c>
      <c r="AA397" s="28" t="str">
        <f t="shared" si="65"/>
        <v/>
      </c>
      <c r="AB397" s="28" t="str">
        <f t="shared" si="66"/>
        <v/>
      </c>
      <c r="AC397" s="28" t="str">
        <f>IF($A397="","",SUMIFS('CHẶNG TĂNG CA'!$E$5:$E$304,'CHẶNG TĂNG CA'!$A$5:$A$304,$A397,'CHẶNG TĂNG CA'!$B$5:$B$304,$B397))</f>
        <v/>
      </c>
      <c r="AD397" s="28" t="str">
        <f>IF($A397="","",SUMIFS('CHẶNG TĂNG CA'!$F$5:$F$304,'CHẶNG TĂNG CA'!$A$5:$A$304,$A397,'CHẶNG TĂNG CA'!$B$5:$B$304,$B397))</f>
        <v/>
      </c>
      <c r="AE397" s="28" t="str">
        <f>IF($A397="","",SUMIFS('CHẶNG TĂNG CA'!$G$5:$G$304,'CHẶNG TĂNG CA'!$A$5:$A$304,$A397,'CHẶNG TĂNG CA'!$B$5:$B$304,$B397))</f>
        <v/>
      </c>
      <c r="AF397" s="28" t="str">
        <f>IF($A397="","",SUMIFS('CHẶNG TĂNG CA'!$H$5:$H$304,'CHẶNG TĂNG CA'!$A$5:$A$304,$A397,'CHẶNG TĂNG CA'!$B$5:$B$304,$B397))</f>
        <v/>
      </c>
      <c r="AG397" s="28" t="str">
        <f t="shared" si="67"/>
        <v/>
      </c>
      <c r="AH397" s="16" t="str">
        <f>IF($A397="","",IF(COUNTIFS('LỆNH ĐIỀU XE'!$B$5:$B$604,$A397,'LỆNH ĐIỀU XE'!$C$5:$C$604,$B397,'LỆNH ĐIỀU XE'!$N$5:$N$604,"Có")&gt;0,"Có","Không"))</f>
        <v/>
      </c>
      <c r="AI397" s="16" t="str">
        <f>IF(OR($A397="",H397="",N(T397)=0),"",IF(_xlfn.MAXIFS('LỆNH ĐIỀU XE'!$U$5:$U$604,'LỆNH ĐIỀU XE'!$B$5:$B$604,$A397,'LỆNH ĐIỀU XE'!$C$5:$C$604,$B397)=0,"",ROUND((H397+(H397&lt;4/24)-_xlfn.MAXIFS('LỆNH ĐIỀU XE'!$U$5:$U$604,'LỆNH ĐIỀU XE'!$B$5:$B$604,$A397,'LỆNH ĐIỀU XE'!$C$5:$C$604,$B397))*1440,0)))</f>
        <v/>
      </c>
      <c r="AJ397" s="16" t="str">
        <f>IF($A397="","",IF(OR(AI397="",V397=""),"Thiếu dữ liệu",IF(AND(AI397&lt;='THAM SỐ'!$B$29,ABS(V397)&lt;='THAM SỐ'!$B$28),"Đạt","Không đạt")))</f>
        <v/>
      </c>
      <c r="AK397" s="16" t="str">
        <f t="shared" si="68"/>
        <v/>
      </c>
      <c r="AL397" s="16" t="str">
        <f>IF($A397="","",TRIM(IF(T397=0,"Không có lệnh; ","")&amp;IF(N(N397)&gt;0,"Dừng ngoài lệnh; ","")&amp;IF(N(J397)&gt;0,"Quá tốc độ; ","")&amp;IF(N(K397)&gt;0,"Lái quá 4h; ","")&amp;IF(N(L397)&gt;0,"Không tắt máy; ","")&amp;IF(OR(P397&lt;&gt;"Đủ",Q397&lt;&gt;"Đủ",R397&lt;&gt;"Đủ"),"Thiếu ảnh; ","")&amp;IF(S397&lt;&gt;"Đạt","Lốp chưa đạt; ","")&amp;IF(N(W397)&gt;'THAM SỐ'!$B$27,"Có mặt quá giờ; ","")&amp;IF(N(X397)&gt;'THAM SỐ'!$B$25,"Lái quá giờ ngày; ","")&amp;IF(ISNUMBER(V397),IF(ABS(V397)&gt;'THAM SỐ'!$B$28,"Lệch km; ",""),"")))</f>
        <v/>
      </c>
      <c r="AM397" s="29"/>
      <c r="AN397" s="30"/>
      <c r="AO397" s="28" t="str">
        <f t="shared" si="69"/>
        <v/>
      </c>
      <c r="AP397" s="21" t="str">
        <f>IF(OR($A397="",AO397=""),"",IF(AG397=0,0,ROUND((AC397*'THAM SỐ'!$B$18+AD397*'THAM SỐ'!$B$19+AE397*'THAM SỐ'!$B$20+AF397*'THAM SỐ'!$B$21)*MIN(1,AO397/AG397),0)))</f>
        <v/>
      </c>
      <c r="AQ397" s="18"/>
    </row>
    <row r="398" spans="1:43" x14ac:dyDescent="0.45">
      <c r="A398" s="17"/>
      <c r="B398" s="18"/>
      <c r="C398" s="18"/>
      <c r="D398" s="25"/>
      <c r="E398" s="26"/>
      <c r="F398" s="26"/>
      <c r="G398" s="20"/>
      <c r="H398" s="20"/>
      <c r="I398" s="18"/>
      <c r="J398" s="18"/>
      <c r="K398" s="18"/>
      <c r="L398" s="18"/>
      <c r="M398" s="18"/>
      <c r="N398" s="18"/>
      <c r="O398" s="18"/>
      <c r="P398" s="18"/>
      <c r="Q398" s="18"/>
      <c r="R398" s="18"/>
      <c r="S398" s="18"/>
      <c r="T398" s="16" t="str">
        <f>IF($A398="","",COUNTIFS('LỆNH ĐIỀU XE'!$B$5:$B$604,$A398,'LỆNH ĐIỀU XE'!$C$5:$C$604,$B398))</f>
        <v/>
      </c>
      <c r="U398" s="27" t="str">
        <f>IF($A398="","",SUMIFS('LỆNH ĐIỀU XE'!$J$5:$J$604,'LỆNH ĐIỀU XE'!$B$5:$B$604,$A398,'LỆNH ĐIỀU XE'!$C$5:$C$604,$B398))</f>
        <v/>
      </c>
      <c r="V398" s="22" t="str">
        <f t="shared" si="60"/>
        <v/>
      </c>
      <c r="W398" s="28" t="str">
        <f t="shared" si="61"/>
        <v/>
      </c>
      <c r="X398" s="28" t="str">
        <f t="shared" si="62"/>
        <v/>
      </c>
      <c r="Y398" s="28" t="str">
        <f t="shared" si="63"/>
        <v/>
      </c>
      <c r="Z398" s="22" t="str">
        <f t="shared" si="64"/>
        <v/>
      </c>
      <c r="AA398" s="28" t="str">
        <f t="shared" si="65"/>
        <v/>
      </c>
      <c r="AB398" s="28" t="str">
        <f t="shared" si="66"/>
        <v/>
      </c>
      <c r="AC398" s="28" t="str">
        <f>IF($A398="","",SUMIFS('CHẶNG TĂNG CA'!$E$5:$E$304,'CHẶNG TĂNG CA'!$A$5:$A$304,$A398,'CHẶNG TĂNG CA'!$B$5:$B$304,$B398))</f>
        <v/>
      </c>
      <c r="AD398" s="28" t="str">
        <f>IF($A398="","",SUMIFS('CHẶNG TĂNG CA'!$F$5:$F$304,'CHẶNG TĂNG CA'!$A$5:$A$304,$A398,'CHẶNG TĂNG CA'!$B$5:$B$304,$B398))</f>
        <v/>
      </c>
      <c r="AE398" s="28" t="str">
        <f>IF($A398="","",SUMIFS('CHẶNG TĂNG CA'!$G$5:$G$304,'CHẶNG TĂNG CA'!$A$5:$A$304,$A398,'CHẶNG TĂNG CA'!$B$5:$B$304,$B398))</f>
        <v/>
      </c>
      <c r="AF398" s="28" t="str">
        <f>IF($A398="","",SUMIFS('CHẶNG TĂNG CA'!$H$5:$H$304,'CHẶNG TĂNG CA'!$A$5:$A$304,$A398,'CHẶNG TĂNG CA'!$B$5:$B$304,$B398))</f>
        <v/>
      </c>
      <c r="AG398" s="28" t="str">
        <f t="shared" si="67"/>
        <v/>
      </c>
      <c r="AH398" s="16" t="str">
        <f>IF($A398="","",IF(COUNTIFS('LỆNH ĐIỀU XE'!$B$5:$B$604,$A398,'LỆNH ĐIỀU XE'!$C$5:$C$604,$B398,'LỆNH ĐIỀU XE'!$N$5:$N$604,"Có")&gt;0,"Có","Không"))</f>
        <v/>
      </c>
      <c r="AI398" s="16" t="str">
        <f>IF(OR($A398="",H398="",N(T398)=0),"",IF(_xlfn.MAXIFS('LỆNH ĐIỀU XE'!$U$5:$U$604,'LỆNH ĐIỀU XE'!$B$5:$B$604,$A398,'LỆNH ĐIỀU XE'!$C$5:$C$604,$B398)=0,"",ROUND((H398+(H398&lt;4/24)-_xlfn.MAXIFS('LỆNH ĐIỀU XE'!$U$5:$U$604,'LỆNH ĐIỀU XE'!$B$5:$B$604,$A398,'LỆNH ĐIỀU XE'!$C$5:$C$604,$B398))*1440,0)))</f>
        <v/>
      </c>
      <c r="AJ398" s="16" t="str">
        <f>IF($A398="","",IF(OR(AI398="",V398=""),"Thiếu dữ liệu",IF(AND(AI398&lt;='THAM SỐ'!$B$29,ABS(V398)&lt;='THAM SỐ'!$B$28),"Đạt","Không đạt")))</f>
        <v/>
      </c>
      <c r="AK398" s="16" t="str">
        <f t="shared" si="68"/>
        <v/>
      </c>
      <c r="AL398" s="16" t="str">
        <f>IF($A398="","",TRIM(IF(T398=0,"Không có lệnh; ","")&amp;IF(N(N398)&gt;0,"Dừng ngoài lệnh; ","")&amp;IF(N(J398)&gt;0,"Quá tốc độ; ","")&amp;IF(N(K398)&gt;0,"Lái quá 4h; ","")&amp;IF(N(L398)&gt;0,"Không tắt máy; ","")&amp;IF(OR(P398&lt;&gt;"Đủ",Q398&lt;&gt;"Đủ",R398&lt;&gt;"Đủ"),"Thiếu ảnh; ","")&amp;IF(S398&lt;&gt;"Đạt","Lốp chưa đạt; ","")&amp;IF(N(W398)&gt;'THAM SỐ'!$B$27,"Có mặt quá giờ; ","")&amp;IF(N(X398)&gt;'THAM SỐ'!$B$25,"Lái quá giờ ngày; ","")&amp;IF(ISNUMBER(V398),IF(ABS(V398)&gt;'THAM SỐ'!$B$28,"Lệch km; ",""),"")))</f>
        <v/>
      </c>
      <c r="AM398" s="29"/>
      <c r="AN398" s="30"/>
      <c r="AO398" s="28" t="str">
        <f t="shared" si="69"/>
        <v/>
      </c>
      <c r="AP398" s="21" t="str">
        <f>IF(OR($A398="",AO398=""),"",IF(AG398=0,0,ROUND((AC398*'THAM SỐ'!$B$18+AD398*'THAM SỐ'!$B$19+AE398*'THAM SỐ'!$B$20+AF398*'THAM SỐ'!$B$21)*MIN(1,AO398/AG398),0)))</f>
        <v/>
      </c>
      <c r="AQ398" s="18"/>
    </row>
    <row r="399" spans="1:43" x14ac:dyDescent="0.45">
      <c r="A399" s="17"/>
      <c r="B399" s="18"/>
      <c r="C399" s="18"/>
      <c r="D399" s="25"/>
      <c r="E399" s="26"/>
      <c r="F399" s="26"/>
      <c r="G399" s="20"/>
      <c r="H399" s="20"/>
      <c r="I399" s="18"/>
      <c r="J399" s="18"/>
      <c r="K399" s="18"/>
      <c r="L399" s="18"/>
      <c r="M399" s="18"/>
      <c r="N399" s="18"/>
      <c r="O399" s="18"/>
      <c r="P399" s="18"/>
      <c r="Q399" s="18"/>
      <c r="R399" s="18"/>
      <c r="S399" s="18"/>
      <c r="T399" s="16" t="str">
        <f>IF($A399="","",COUNTIFS('LỆNH ĐIỀU XE'!$B$5:$B$604,$A399,'LỆNH ĐIỀU XE'!$C$5:$C$604,$B399))</f>
        <v/>
      </c>
      <c r="U399" s="27" t="str">
        <f>IF($A399="","",SUMIFS('LỆNH ĐIỀU XE'!$J$5:$J$604,'LỆNH ĐIỀU XE'!$B$5:$B$604,$A399,'LỆNH ĐIỀU XE'!$C$5:$C$604,$B399))</f>
        <v/>
      </c>
      <c r="V399" s="22" t="str">
        <f t="shared" si="60"/>
        <v/>
      </c>
      <c r="W399" s="28" t="str">
        <f t="shared" si="61"/>
        <v/>
      </c>
      <c r="X399" s="28" t="str">
        <f t="shared" si="62"/>
        <v/>
      </c>
      <c r="Y399" s="28" t="str">
        <f t="shared" si="63"/>
        <v/>
      </c>
      <c r="Z399" s="22" t="str">
        <f t="shared" si="64"/>
        <v/>
      </c>
      <c r="AA399" s="28" t="str">
        <f t="shared" si="65"/>
        <v/>
      </c>
      <c r="AB399" s="28" t="str">
        <f t="shared" si="66"/>
        <v/>
      </c>
      <c r="AC399" s="28" t="str">
        <f>IF($A399="","",SUMIFS('CHẶNG TĂNG CA'!$E$5:$E$304,'CHẶNG TĂNG CA'!$A$5:$A$304,$A399,'CHẶNG TĂNG CA'!$B$5:$B$304,$B399))</f>
        <v/>
      </c>
      <c r="AD399" s="28" t="str">
        <f>IF($A399="","",SUMIFS('CHẶNG TĂNG CA'!$F$5:$F$304,'CHẶNG TĂNG CA'!$A$5:$A$304,$A399,'CHẶNG TĂNG CA'!$B$5:$B$304,$B399))</f>
        <v/>
      </c>
      <c r="AE399" s="28" t="str">
        <f>IF($A399="","",SUMIFS('CHẶNG TĂNG CA'!$G$5:$G$304,'CHẶNG TĂNG CA'!$A$5:$A$304,$A399,'CHẶNG TĂNG CA'!$B$5:$B$304,$B399))</f>
        <v/>
      </c>
      <c r="AF399" s="28" t="str">
        <f>IF($A399="","",SUMIFS('CHẶNG TĂNG CA'!$H$5:$H$304,'CHẶNG TĂNG CA'!$A$5:$A$304,$A399,'CHẶNG TĂNG CA'!$B$5:$B$304,$B399))</f>
        <v/>
      </c>
      <c r="AG399" s="28" t="str">
        <f t="shared" si="67"/>
        <v/>
      </c>
      <c r="AH399" s="16" t="str">
        <f>IF($A399="","",IF(COUNTIFS('LỆNH ĐIỀU XE'!$B$5:$B$604,$A399,'LỆNH ĐIỀU XE'!$C$5:$C$604,$B399,'LỆNH ĐIỀU XE'!$N$5:$N$604,"Có")&gt;0,"Có","Không"))</f>
        <v/>
      </c>
      <c r="AI399" s="16" t="str">
        <f>IF(OR($A399="",H399="",N(T399)=0),"",IF(_xlfn.MAXIFS('LỆNH ĐIỀU XE'!$U$5:$U$604,'LỆNH ĐIỀU XE'!$B$5:$B$604,$A399,'LỆNH ĐIỀU XE'!$C$5:$C$604,$B399)=0,"",ROUND((H399+(H399&lt;4/24)-_xlfn.MAXIFS('LỆNH ĐIỀU XE'!$U$5:$U$604,'LỆNH ĐIỀU XE'!$B$5:$B$604,$A399,'LỆNH ĐIỀU XE'!$C$5:$C$604,$B399))*1440,0)))</f>
        <v/>
      </c>
      <c r="AJ399" s="16" t="str">
        <f>IF($A399="","",IF(OR(AI399="",V399=""),"Thiếu dữ liệu",IF(AND(AI399&lt;='THAM SỐ'!$B$29,ABS(V399)&lt;='THAM SỐ'!$B$28),"Đạt","Không đạt")))</f>
        <v/>
      </c>
      <c r="AK399" s="16" t="str">
        <f t="shared" si="68"/>
        <v/>
      </c>
      <c r="AL399" s="16" t="str">
        <f>IF($A399="","",TRIM(IF(T399=0,"Không có lệnh; ","")&amp;IF(N(N399)&gt;0,"Dừng ngoài lệnh; ","")&amp;IF(N(J399)&gt;0,"Quá tốc độ; ","")&amp;IF(N(K399)&gt;0,"Lái quá 4h; ","")&amp;IF(N(L399)&gt;0,"Không tắt máy; ","")&amp;IF(OR(P399&lt;&gt;"Đủ",Q399&lt;&gt;"Đủ",R399&lt;&gt;"Đủ"),"Thiếu ảnh; ","")&amp;IF(S399&lt;&gt;"Đạt","Lốp chưa đạt; ","")&amp;IF(N(W399)&gt;'THAM SỐ'!$B$27,"Có mặt quá giờ; ","")&amp;IF(N(X399)&gt;'THAM SỐ'!$B$25,"Lái quá giờ ngày; ","")&amp;IF(ISNUMBER(V399),IF(ABS(V399)&gt;'THAM SỐ'!$B$28,"Lệch km; ",""),"")))</f>
        <v/>
      </c>
      <c r="AM399" s="29"/>
      <c r="AN399" s="30"/>
      <c r="AO399" s="28" t="str">
        <f t="shared" si="69"/>
        <v/>
      </c>
      <c r="AP399" s="21" t="str">
        <f>IF(OR($A399="",AO399=""),"",IF(AG399=0,0,ROUND((AC399*'THAM SỐ'!$B$18+AD399*'THAM SỐ'!$B$19+AE399*'THAM SỐ'!$B$20+AF399*'THAM SỐ'!$B$21)*MIN(1,AO399/AG399),0)))</f>
        <v/>
      </c>
      <c r="AQ399" s="18"/>
    </row>
    <row r="400" spans="1:43" x14ac:dyDescent="0.45">
      <c r="A400" s="17"/>
      <c r="B400" s="18"/>
      <c r="C400" s="18"/>
      <c r="D400" s="25"/>
      <c r="E400" s="26"/>
      <c r="F400" s="26"/>
      <c r="G400" s="20"/>
      <c r="H400" s="20"/>
      <c r="I400" s="18"/>
      <c r="J400" s="18"/>
      <c r="K400" s="18"/>
      <c r="L400" s="18"/>
      <c r="M400" s="18"/>
      <c r="N400" s="18"/>
      <c r="O400" s="18"/>
      <c r="P400" s="18"/>
      <c r="Q400" s="18"/>
      <c r="R400" s="18"/>
      <c r="S400" s="18"/>
      <c r="T400" s="16" t="str">
        <f>IF($A400="","",COUNTIFS('LỆNH ĐIỀU XE'!$B$5:$B$604,$A400,'LỆNH ĐIỀU XE'!$C$5:$C$604,$B400))</f>
        <v/>
      </c>
      <c r="U400" s="27" t="str">
        <f>IF($A400="","",SUMIFS('LỆNH ĐIỀU XE'!$J$5:$J$604,'LỆNH ĐIỀU XE'!$B$5:$B$604,$A400,'LỆNH ĐIỀU XE'!$C$5:$C$604,$B400))</f>
        <v/>
      </c>
      <c r="V400" s="22" t="str">
        <f t="shared" si="60"/>
        <v/>
      </c>
      <c r="W400" s="28" t="str">
        <f t="shared" si="61"/>
        <v/>
      </c>
      <c r="X400" s="28" t="str">
        <f t="shared" si="62"/>
        <v/>
      </c>
      <c r="Y400" s="28" t="str">
        <f t="shared" si="63"/>
        <v/>
      </c>
      <c r="Z400" s="22" t="str">
        <f t="shared" si="64"/>
        <v/>
      </c>
      <c r="AA400" s="28" t="str">
        <f t="shared" si="65"/>
        <v/>
      </c>
      <c r="AB400" s="28" t="str">
        <f t="shared" si="66"/>
        <v/>
      </c>
      <c r="AC400" s="28" t="str">
        <f>IF($A400="","",SUMIFS('CHẶNG TĂNG CA'!$E$5:$E$304,'CHẶNG TĂNG CA'!$A$5:$A$304,$A400,'CHẶNG TĂNG CA'!$B$5:$B$304,$B400))</f>
        <v/>
      </c>
      <c r="AD400" s="28" t="str">
        <f>IF($A400="","",SUMIFS('CHẶNG TĂNG CA'!$F$5:$F$304,'CHẶNG TĂNG CA'!$A$5:$A$304,$A400,'CHẶNG TĂNG CA'!$B$5:$B$304,$B400))</f>
        <v/>
      </c>
      <c r="AE400" s="28" t="str">
        <f>IF($A400="","",SUMIFS('CHẶNG TĂNG CA'!$G$5:$G$304,'CHẶNG TĂNG CA'!$A$5:$A$304,$A400,'CHẶNG TĂNG CA'!$B$5:$B$304,$B400))</f>
        <v/>
      </c>
      <c r="AF400" s="28" t="str">
        <f>IF($A400="","",SUMIFS('CHẶNG TĂNG CA'!$H$5:$H$304,'CHẶNG TĂNG CA'!$A$5:$A$304,$A400,'CHẶNG TĂNG CA'!$B$5:$B$304,$B400))</f>
        <v/>
      </c>
      <c r="AG400" s="28" t="str">
        <f t="shared" si="67"/>
        <v/>
      </c>
      <c r="AH400" s="16" t="str">
        <f>IF($A400="","",IF(COUNTIFS('LỆNH ĐIỀU XE'!$B$5:$B$604,$A400,'LỆNH ĐIỀU XE'!$C$5:$C$604,$B400,'LỆNH ĐIỀU XE'!$N$5:$N$604,"Có")&gt;0,"Có","Không"))</f>
        <v/>
      </c>
      <c r="AI400" s="16" t="str">
        <f>IF(OR($A400="",H400="",N(T400)=0),"",IF(_xlfn.MAXIFS('LỆNH ĐIỀU XE'!$U$5:$U$604,'LỆNH ĐIỀU XE'!$B$5:$B$604,$A400,'LỆNH ĐIỀU XE'!$C$5:$C$604,$B400)=0,"",ROUND((H400+(H400&lt;4/24)-_xlfn.MAXIFS('LỆNH ĐIỀU XE'!$U$5:$U$604,'LỆNH ĐIỀU XE'!$B$5:$B$604,$A400,'LỆNH ĐIỀU XE'!$C$5:$C$604,$B400))*1440,0)))</f>
        <v/>
      </c>
      <c r="AJ400" s="16" t="str">
        <f>IF($A400="","",IF(OR(AI400="",V400=""),"Thiếu dữ liệu",IF(AND(AI400&lt;='THAM SỐ'!$B$29,ABS(V400)&lt;='THAM SỐ'!$B$28),"Đạt","Không đạt")))</f>
        <v/>
      </c>
      <c r="AK400" s="16" t="str">
        <f t="shared" si="68"/>
        <v/>
      </c>
      <c r="AL400" s="16" t="str">
        <f>IF($A400="","",TRIM(IF(T400=0,"Không có lệnh; ","")&amp;IF(N(N400)&gt;0,"Dừng ngoài lệnh; ","")&amp;IF(N(J400)&gt;0,"Quá tốc độ; ","")&amp;IF(N(K400)&gt;0,"Lái quá 4h; ","")&amp;IF(N(L400)&gt;0,"Không tắt máy; ","")&amp;IF(OR(P400&lt;&gt;"Đủ",Q400&lt;&gt;"Đủ",R400&lt;&gt;"Đủ"),"Thiếu ảnh; ","")&amp;IF(S400&lt;&gt;"Đạt","Lốp chưa đạt; ","")&amp;IF(N(W400)&gt;'THAM SỐ'!$B$27,"Có mặt quá giờ; ","")&amp;IF(N(X400)&gt;'THAM SỐ'!$B$25,"Lái quá giờ ngày; ","")&amp;IF(ISNUMBER(V400),IF(ABS(V400)&gt;'THAM SỐ'!$B$28,"Lệch km; ",""),"")))</f>
        <v/>
      </c>
      <c r="AM400" s="29"/>
      <c r="AN400" s="30"/>
      <c r="AO400" s="28" t="str">
        <f t="shared" si="69"/>
        <v/>
      </c>
      <c r="AP400" s="21" t="str">
        <f>IF(OR($A400="",AO400=""),"",IF(AG400=0,0,ROUND((AC400*'THAM SỐ'!$B$18+AD400*'THAM SỐ'!$B$19+AE400*'THAM SỐ'!$B$20+AF400*'THAM SỐ'!$B$21)*MIN(1,AO400/AG400),0)))</f>
        <v/>
      </c>
      <c r="AQ400" s="18"/>
    </row>
    <row r="401" spans="1:43" x14ac:dyDescent="0.45">
      <c r="A401" s="17"/>
      <c r="B401" s="18"/>
      <c r="C401" s="18"/>
      <c r="D401" s="25"/>
      <c r="E401" s="26"/>
      <c r="F401" s="26"/>
      <c r="G401" s="20"/>
      <c r="H401" s="20"/>
      <c r="I401" s="18"/>
      <c r="J401" s="18"/>
      <c r="K401" s="18"/>
      <c r="L401" s="18"/>
      <c r="M401" s="18"/>
      <c r="N401" s="18"/>
      <c r="O401" s="18"/>
      <c r="P401" s="18"/>
      <c r="Q401" s="18"/>
      <c r="R401" s="18"/>
      <c r="S401" s="18"/>
      <c r="T401" s="16" t="str">
        <f>IF($A401="","",COUNTIFS('LỆNH ĐIỀU XE'!$B$5:$B$604,$A401,'LỆNH ĐIỀU XE'!$C$5:$C$604,$B401))</f>
        <v/>
      </c>
      <c r="U401" s="27" t="str">
        <f>IF($A401="","",SUMIFS('LỆNH ĐIỀU XE'!$J$5:$J$604,'LỆNH ĐIỀU XE'!$B$5:$B$604,$A401,'LỆNH ĐIỀU XE'!$C$5:$C$604,$B401))</f>
        <v/>
      </c>
      <c r="V401" s="22" t="str">
        <f t="shared" si="60"/>
        <v/>
      </c>
      <c r="W401" s="28" t="str">
        <f t="shared" si="61"/>
        <v/>
      </c>
      <c r="X401" s="28" t="str">
        <f t="shared" si="62"/>
        <v/>
      </c>
      <c r="Y401" s="28" t="str">
        <f t="shared" si="63"/>
        <v/>
      </c>
      <c r="Z401" s="22" t="str">
        <f t="shared" si="64"/>
        <v/>
      </c>
      <c r="AA401" s="28" t="str">
        <f t="shared" si="65"/>
        <v/>
      </c>
      <c r="AB401" s="28" t="str">
        <f t="shared" si="66"/>
        <v/>
      </c>
      <c r="AC401" s="28" t="str">
        <f>IF($A401="","",SUMIFS('CHẶNG TĂNG CA'!$E$5:$E$304,'CHẶNG TĂNG CA'!$A$5:$A$304,$A401,'CHẶNG TĂNG CA'!$B$5:$B$304,$B401))</f>
        <v/>
      </c>
      <c r="AD401" s="28" t="str">
        <f>IF($A401="","",SUMIFS('CHẶNG TĂNG CA'!$F$5:$F$304,'CHẶNG TĂNG CA'!$A$5:$A$304,$A401,'CHẶNG TĂNG CA'!$B$5:$B$304,$B401))</f>
        <v/>
      </c>
      <c r="AE401" s="28" t="str">
        <f>IF($A401="","",SUMIFS('CHẶNG TĂNG CA'!$G$5:$G$304,'CHẶNG TĂNG CA'!$A$5:$A$304,$A401,'CHẶNG TĂNG CA'!$B$5:$B$304,$B401))</f>
        <v/>
      </c>
      <c r="AF401" s="28" t="str">
        <f>IF($A401="","",SUMIFS('CHẶNG TĂNG CA'!$H$5:$H$304,'CHẶNG TĂNG CA'!$A$5:$A$304,$A401,'CHẶNG TĂNG CA'!$B$5:$B$304,$B401))</f>
        <v/>
      </c>
      <c r="AG401" s="28" t="str">
        <f t="shared" si="67"/>
        <v/>
      </c>
      <c r="AH401" s="16" t="str">
        <f>IF($A401="","",IF(COUNTIFS('LỆNH ĐIỀU XE'!$B$5:$B$604,$A401,'LỆNH ĐIỀU XE'!$C$5:$C$604,$B401,'LỆNH ĐIỀU XE'!$N$5:$N$604,"Có")&gt;0,"Có","Không"))</f>
        <v/>
      </c>
      <c r="AI401" s="16" t="str">
        <f>IF(OR($A401="",H401="",N(T401)=0),"",IF(_xlfn.MAXIFS('LỆNH ĐIỀU XE'!$U$5:$U$604,'LỆNH ĐIỀU XE'!$B$5:$B$604,$A401,'LỆNH ĐIỀU XE'!$C$5:$C$604,$B401)=0,"",ROUND((H401+(H401&lt;4/24)-_xlfn.MAXIFS('LỆNH ĐIỀU XE'!$U$5:$U$604,'LỆNH ĐIỀU XE'!$B$5:$B$604,$A401,'LỆNH ĐIỀU XE'!$C$5:$C$604,$B401))*1440,0)))</f>
        <v/>
      </c>
      <c r="AJ401" s="16" t="str">
        <f>IF($A401="","",IF(OR(AI401="",V401=""),"Thiếu dữ liệu",IF(AND(AI401&lt;='THAM SỐ'!$B$29,ABS(V401)&lt;='THAM SỐ'!$B$28),"Đạt","Không đạt")))</f>
        <v/>
      </c>
      <c r="AK401" s="16" t="str">
        <f t="shared" si="68"/>
        <v/>
      </c>
      <c r="AL401" s="16" t="str">
        <f>IF($A401="","",TRIM(IF(T401=0,"Không có lệnh; ","")&amp;IF(N(N401)&gt;0,"Dừng ngoài lệnh; ","")&amp;IF(N(J401)&gt;0,"Quá tốc độ; ","")&amp;IF(N(K401)&gt;0,"Lái quá 4h; ","")&amp;IF(N(L401)&gt;0,"Không tắt máy; ","")&amp;IF(OR(P401&lt;&gt;"Đủ",Q401&lt;&gt;"Đủ",R401&lt;&gt;"Đủ"),"Thiếu ảnh; ","")&amp;IF(S401&lt;&gt;"Đạt","Lốp chưa đạt; ","")&amp;IF(N(W401)&gt;'THAM SỐ'!$B$27,"Có mặt quá giờ; ","")&amp;IF(N(X401)&gt;'THAM SỐ'!$B$25,"Lái quá giờ ngày; ","")&amp;IF(ISNUMBER(V401),IF(ABS(V401)&gt;'THAM SỐ'!$B$28,"Lệch km; ",""),"")))</f>
        <v/>
      </c>
      <c r="AM401" s="29"/>
      <c r="AN401" s="30"/>
      <c r="AO401" s="28" t="str">
        <f t="shared" si="69"/>
        <v/>
      </c>
      <c r="AP401" s="21" t="str">
        <f>IF(OR($A401="",AO401=""),"",IF(AG401=0,0,ROUND((AC401*'THAM SỐ'!$B$18+AD401*'THAM SỐ'!$B$19+AE401*'THAM SỐ'!$B$20+AF401*'THAM SỐ'!$B$21)*MIN(1,AO401/AG401),0)))</f>
        <v/>
      </c>
      <c r="AQ401" s="18"/>
    </row>
    <row r="402" spans="1:43" x14ac:dyDescent="0.45">
      <c r="A402" s="17"/>
      <c r="B402" s="18"/>
      <c r="C402" s="18"/>
      <c r="D402" s="25"/>
      <c r="E402" s="26"/>
      <c r="F402" s="26"/>
      <c r="G402" s="20"/>
      <c r="H402" s="20"/>
      <c r="I402" s="18"/>
      <c r="J402" s="18"/>
      <c r="K402" s="18"/>
      <c r="L402" s="18"/>
      <c r="M402" s="18"/>
      <c r="N402" s="18"/>
      <c r="O402" s="18"/>
      <c r="P402" s="18"/>
      <c r="Q402" s="18"/>
      <c r="R402" s="18"/>
      <c r="S402" s="18"/>
      <c r="T402" s="16" t="str">
        <f>IF($A402="","",COUNTIFS('LỆNH ĐIỀU XE'!$B$5:$B$604,$A402,'LỆNH ĐIỀU XE'!$C$5:$C$604,$B402))</f>
        <v/>
      </c>
      <c r="U402" s="27" t="str">
        <f>IF($A402="","",SUMIFS('LỆNH ĐIỀU XE'!$J$5:$J$604,'LỆNH ĐIỀU XE'!$B$5:$B$604,$A402,'LỆNH ĐIỀU XE'!$C$5:$C$604,$B402))</f>
        <v/>
      </c>
      <c r="V402" s="22" t="str">
        <f t="shared" si="60"/>
        <v/>
      </c>
      <c r="W402" s="28" t="str">
        <f t="shared" si="61"/>
        <v/>
      </c>
      <c r="X402" s="28" t="str">
        <f t="shared" si="62"/>
        <v/>
      </c>
      <c r="Y402" s="28" t="str">
        <f t="shared" si="63"/>
        <v/>
      </c>
      <c r="Z402" s="22" t="str">
        <f t="shared" si="64"/>
        <v/>
      </c>
      <c r="AA402" s="28" t="str">
        <f t="shared" si="65"/>
        <v/>
      </c>
      <c r="AB402" s="28" t="str">
        <f t="shared" si="66"/>
        <v/>
      </c>
      <c r="AC402" s="28" t="str">
        <f>IF($A402="","",SUMIFS('CHẶNG TĂNG CA'!$E$5:$E$304,'CHẶNG TĂNG CA'!$A$5:$A$304,$A402,'CHẶNG TĂNG CA'!$B$5:$B$304,$B402))</f>
        <v/>
      </c>
      <c r="AD402" s="28" t="str">
        <f>IF($A402="","",SUMIFS('CHẶNG TĂNG CA'!$F$5:$F$304,'CHẶNG TĂNG CA'!$A$5:$A$304,$A402,'CHẶNG TĂNG CA'!$B$5:$B$304,$B402))</f>
        <v/>
      </c>
      <c r="AE402" s="28" t="str">
        <f>IF($A402="","",SUMIFS('CHẶNG TĂNG CA'!$G$5:$G$304,'CHẶNG TĂNG CA'!$A$5:$A$304,$A402,'CHẶNG TĂNG CA'!$B$5:$B$304,$B402))</f>
        <v/>
      </c>
      <c r="AF402" s="28" t="str">
        <f>IF($A402="","",SUMIFS('CHẶNG TĂNG CA'!$H$5:$H$304,'CHẶNG TĂNG CA'!$A$5:$A$304,$A402,'CHẶNG TĂNG CA'!$B$5:$B$304,$B402))</f>
        <v/>
      </c>
      <c r="AG402" s="28" t="str">
        <f t="shared" si="67"/>
        <v/>
      </c>
      <c r="AH402" s="16" t="str">
        <f>IF($A402="","",IF(COUNTIFS('LỆNH ĐIỀU XE'!$B$5:$B$604,$A402,'LỆNH ĐIỀU XE'!$C$5:$C$604,$B402,'LỆNH ĐIỀU XE'!$N$5:$N$604,"Có")&gt;0,"Có","Không"))</f>
        <v/>
      </c>
      <c r="AI402" s="16" t="str">
        <f>IF(OR($A402="",H402="",N(T402)=0),"",IF(_xlfn.MAXIFS('LỆNH ĐIỀU XE'!$U$5:$U$604,'LỆNH ĐIỀU XE'!$B$5:$B$604,$A402,'LỆNH ĐIỀU XE'!$C$5:$C$604,$B402)=0,"",ROUND((H402+(H402&lt;4/24)-_xlfn.MAXIFS('LỆNH ĐIỀU XE'!$U$5:$U$604,'LỆNH ĐIỀU XE'!$B$5:$B$604,$A402,'LỆNH ĐIỀU XE'!$C$5:$C$604,$B402))*1440,0)))</f>
        <v/>
      </c>
      <c r="AJ402" s="16" t="str">
        <f>IF($A402="","",IF(OR(AI402="",V402=""),"Thiếu dữ liệu",IF(AND(AI402&lt;='THAM SỐ'!$B$29,ABS(V402)&lt;='THAM SỐ'!$B$28),"Đạt","Không đạt")))</f>
        <v/>
      </c>
      <c r="AK402" s="16" t="str">
        <f t="shared" si="68"/>
        <v/>
      </c>
      <c r="AL402" s="16" t="str">
        <f>IF($A402="","",TRIM(IF(T402=0,"Không có lệnh; ","")&amp;IF(N(N402)&gt;0,"Dừng ngoài lệnh; ","")&amp;IF(N(J402)&gt;0,"Quá tốc độ; ","")&amp;IF(N(K402)&gt;0,"Lái quá 4h; ","")&amp;IF(N(L402)&gt;0,"Không tắt máy; ","")&amp;IF(OR(P402&lt;&gt;"Đủ",Q402&lt;&gt;"Đủ",R402&lt;&gt;"Đủ"),"Thiếu ảnh; ","")&amp;IF(S402&lt;&gt;"Đạt","Lốp chưa đạt; ","")&amp;IF(N(W402)&gt;'THAM SỐ'!$B$27,"Có mặt quá giờ; ","")&amp;IF(N(X402)&gt;'THAM SỐ'!$B$25,"Lái quá giờ ngày; ","")&amp;IF(ISNUMBER(V402),IF(ABS(V402)&gt;'THAM SỐ'!$B$28,"Lệch km; ",""),"")))</f>
        <v/>
      </c>
      <c r="AM402" s="29"/>
      <c r="AN402" s="30"/>
      <c r="AO402" s="28" t="str">
        <f t="shared" si="69"/>
        <v/>
      </c>
      <c r="AP402" s="21" t="str">
        <f>IF(OR($A402="",AO402=""),"",IF(AG402=0,0,ROUND((AC402*'THAM SỐ'!$B$18+AD402*'THAM SỐ'!$B$19+AE402*'THAM SỐ'!$B$20+AF402*'THAM SỐ'!$B$21)*MIN(1,AO402/AG402),0)))</f>
        <v/>
      </c>
      <c r="AQ402" s="18"/>
    </row>
    <row r="403" spans="1:43" x14ac:dyDescent="0.45">
      <c r="A403" s="17"/>
      <c r="B403" s="18"/>
      <c r="C403" s="18"/>
      <c r="D403" s="25"/>
      <c r="E403" s="26"/>
      <c r="F403" s="26"/>
      <c r="G403" s="20"/>
      <c r="H403" s="20"/>
      <c r="I403" s="18"/>
      <c r="J403" s="18"/>
      <c r="K403" s="18"/>
      <c r="L403" s="18"/>
      <c r="M403" s="18"/>
      <c r="N403" s="18"/>
      <c r="O403" s="18"/>
      <c r="P403" s="18"/>
      <c r="Q403" s="18"/>
      <c r="R403" s="18"/>
      <c r="S403" s="18"/>
      <c r="T403" s="16" t="str">
        <f>IF($A403="","",COUNTIFS('LỆNH ĐIỀU XE'!$B$5:$B$604,$A403,'LỆNH ĐIỀU XE'!$C$5:$C$604,$B403))</f>
        <v/>
      </c>
      <c r="U403" s="27" t="str">
        <f>IF($A403="","",SUMIFS('LỆNH ĐIỀU XE'!$J$5:$J$604,'LỆNH ĐIỀU XE'!$B$5:$B$604,$A403,'LỆNH ĐIỀU XE'!$C$5:$C$604,$B403))</f>
        <v/>
      </c>
      <c r="V403" s="22" t="str">
        <f t="shared" si="60"/>
        <v/>
      </c>
      <c r="W403" s="28" t="str">
        <f t="shared" si="61"/>
        <v/>
      </c>
      <c r="X403" s="28" t="str">
        <f t="shared" si="62"/>
        <v/>
      </c>
      <c r="Y403" s="28" t="str">
        <f t="shared" si="63"/>
        <v/>
      </c>
      <c r="Z403" s="22" t="str">
        <f t="shared" si="64"/>
        <v/>
      </c>
      <c r="AA403" s="28" t="str">
        <f t="shared" si="65"/>
        <v/>
      </c>
      <c r="AB403" s="28" t="str">
        <f t="shared" si="66"/>
        <v/>
      </c>
      <c r="AC403" s="28" t="str">
        <f>IF($A403="","",SUMIFS('CHẶNG TĂNG CA'!$E$5:$E$304,'CHẶNG TĂNG CA'!$A$5:$A$304,$A403,'CHẶNG TĂNG CA'!$B$5:$B$304,$B403))</f>
        <v/>
      </c>
      <c r="AD403" s="28" t="str">
        <f>IF($A403="","",SUMIFS('CHẶNG TĂNG CA'!$F$5:$F$304,'CHẶNG TĂNG CA'!$A$5:$A$304,$A403,'CHẶNG TĂNG CA'!$B$5:$B$304,$B403))</f>
        <v/>
      </c>
      <c r="AE403" s="28" t="str">
        <f>IF($A403="","",SUMIFS('CHẶNG TĂNG CA'!$G$5:$G$304,'CHẶNG TĂNG CA'!$A$5:$A$304,$A403,'CHẶNG TĂNG CA'!$B$5:$B$304,$B403))</f>
        <v/>
      </c>
      <c r="AF403" s="28" t="str">
        <f>IF($A403="","",SUMIFS('CHẶNG TĂNG CA'!$H$5:$H$304,'CHẶNG TĂNG CA'!$A$5:$A$304,$A403,'CHẶNG TĂNG CA'!$B$5:$B$304,$B403))</f>
        <v/>
      </c>
      <c r="AG403" s="28" t="str">
        <f t="shared" si="67"/>
        <v/>
      </c>
      <c r="AH403" s="16" t="str">
        <f>IF($A403="","",IF(COUNTIFS('LỆNH ĐIỀU XE'!$B$5:$B$604,$A403,'LỆNH ĐIỀU XE'!$C$5:$C$604,$B403,'LỆNH ĐIỀU XE'!$N$5:$N$604,"Có")&gt;0,"Có","Không"))</f>
        <v/>
      </c>
      <c r="AI403" s="16" t="str">
        <f>IF(OR($A403="",H403="",N(T403)=0),"",IF(_xlfn.MAXIFS('LỆNH ĐIỀU XE'!$U$5:$U$604,'LỆNH ĐIỀU XE'!$B$5:$B$604,$A403,'LỆNH ĐIỀU XE'!$C$5:$C$604,$B403)=0,"",ROUND((H403+(H403&lt;4/24)-_xlfn.MAXIFS('LỆNH ĐIỀU XE'!$U$5:$U$604,'LỆNH ĐIỀU XE'!$B$5:$B$604,$A403,'LỆNH ĐIỀU XE'!$C$5:$C$604,$B403))*1440,0)))</f>
        <v/>
      </c>
      <c r="AJ403" s="16" t="str">
        <f>IF($A403="","",IF(OR(AI403="",V403=""),"Thiếu dữ liệu",IF(AND(AI403&lt;='THAM SỐ'!$B$29,ABS(V403)&lt;='THAM SỐ'!$B$28),"Đạt","Không đạt")))</f>
        <v/>
      </c>
      <c r="AK403" s="16" t="str">
        <f t="shared" si="68"/>
        <v/>
      </c>
      <c r="AL403" s="16" t="str">
        <f>IF($A403="","",TRIM(IF(T403=0,"Không có lệnh; ","")&amp;IF(N(N403)&gt;0,"Dừng ngoài lệnh; ","")&amp;IF(N(J403)&gt;0,"Quá tốc độ; ","")&amp;IF(N(K403)&gt;0,"Lái quá 4h; ","")&amp;IF(N(L403)&gt;0,"Không tắt máy; ","")&amp;IF(OR(P403&lt;&gt;"Đủ",Q403&lt;&gt;"Đủ",R403&lt;&gt;"Đủ"),"Thiếu ảnh; ","")&amp;IF(S403&lt;&gt;"Đạt","Lốp chưa đạt; ","")&amp;IF(N(W403)&gt;'THAM SỐ'!$B$27,"Có mặt quá giờ; ","")&amp;IF(N(X403)&gt;'THAM SỐ'!$B$25,"Lái quá giờ ngày; ","")&amp;IF(ISNUMBER(V403),IF(ABS(V403)&gt;'THAM SỐ'!$B$28,"Lệch km; ",""),"")))</f>
        <v/>
      </c>
      <c r="AM403" s="29"/>
      <c r="AN403" s="30"/>
      <c r="AO403" s="28" t="str">
        <f t="shared" si="69"/>
        <v/>
      </c>
      <c r="AP403" s="21" t="str">
        <f>IF(OR($A403="",AO403=""),"",IF(AG403=0,0,ROUND((AC403*'THAM SỐ'!$B$18+AD403*'THAM SỐ'!$B$19+AE403*'THAM SỐ'!$B$20+AF403*'THAM SỐ'!$B$21)*MIN(1,AO403/AG403),0)))</f>
        <v/>
      </c>
      <c r="AQ403" s="18"/>
    </row>
    <row r="404" spans="1:43" x14ac:dyDescent="0.45">
      <c r="A404" s="17"/>
      <c r="B404" s="18"/>
      <c r="C404" s="18"/>
      <c r="D404" s="25"/>
      <c r="E404" s="26"/>
      <c r="F404" s="26"/>
      <c r="G404" s="20"/>
      <c r="H404" s="20"/>
      <c r="I404" s="18"/>
      <c r="J404" s="18"/>
      <c r="K404" s="18"/>
      <c r="L404" s="18"/>
      <c r="M404" s="18"/>
      <c r="N404" s="18"/>
      <c r="O404" s="18"/>
      <c r="P404" s="18"/>
      <c r="Q404" s="18"/>
      <c r="R404" s="18"/>
      <c r="S404" s="18"/>
      <c r="T404" s="16" t="str">
        <f>IF($A404="","",COUNTIFS('LỆNH ĐIỀU XE'!$B$5:$B$604,$A404,'LỆNH ĐIỀU XE'!$C$5:$C$604,$B404))</f>
        <v/>
      </c>
      <c r="U404" s="27" t="str">
        <f>IF($A404="","",SUMIFS('LỆNH ĐIỀU XE'!$J$5:$J$604,'LỆNH ĐIỀU XE'!$B$5:$B$604,$A404,'LỆNH ĐIỀU XE'!$C$5:$C$604,$B404))</f>
        <v/>
      </c>
      <c r="V404" s="22" t="str">
        <f t="shared" si="60"/>
        <v/>
      </c>
      <c r="W404" s="28" t="str">
        <f t="shared" si="61"/>
        <v/>
      </c>
      <c r="X404" s="28" t="str">
        <f t="shared" si="62"/>
        <v/>
      </c>
      <c r="Y404" s="28" t="str">
        <f t="shared" si="63"/>
        <v/>
      </c>
      <c r="Z404" s="22" t="str">
        <f t="shared" si="64"/>
        <v/>
      </c>
      <c r="AA404" s="28" t="str">
        <f t="shared" si="65"/>
        <v/>
      </c>
      <c r="AB404" s="28" t="str">
        <f t="shared" si="66"/>
        <v/>
      </c>
      <c r="AC404" s="28" t="str">
        <f>IF($A404="","",SUMIFS('CHẶNG TĂNG CA'!$E$5:$E$304,'CHẶNG TĂNG CA'!$A$5:$A$304,$A404,'CHẶNG TĂNG CA'!$B$5:$B$304,$B404))</f>
        <v/>
      </c>
      <c r="AD404" s="28" t="str">
        <f>IF($A404="","",SUMIFS('CHẶNG TĂNG CA'!$F$5:$F$304,'CHẶNG TĂNG CA'!$A$5:$A$304,$A404,'CHẶNG TĂNG CA'!$B$5:$B$304,$B404))</f>
        <v/>
      </c>
      <c r="AE404" s="28" t="str">
        <f>IF($A404="","",SUMIFS('CHẶNG TĂNG CA'!$G$5:$G$304,'CHẶNG TĂNG CA'!$A$5:$A$304,$A404,'CHẶNG TĂNG CA'!$B$5:$B$304,$B404))</f>
        <v/>
      </c>
      <c r="AF404" s="28" t="str">
        <f>IF($A404="","",SUMIFS('CHẶNG TĂNG CA'!$H$5:$H$304,'CHẶNG TĂNG CA'!$A$5:$A$304,$A404,'CHẶNG TĂNG CA'!$B$5:$B$304,$B404))</f>
        <v/>
      </c>
      <c r="AG404" s="28" t="str">
        <f t="shared" si="67"/>
        <v/>
      </c>
      <c r="AH404" s="16" t="str">
        <f>IF($A404="","",IF(COUNTIFS('LỆNH ĐIỀU XE'!$B$5:$B$604,$A404,'LỆNH ĐIỀU XE'!$C$5:$C$604,$B404,'LỆNH ĐIỀU XE'!$N$5:$N$604,"Có")&gt;0,"Có","Không"))</f>
        <v/>
      </c>
      <c r="AI404" s="16" t="str">
        <f>IF(OR($A404="",H404="",N(T404)=0),"",IF(_xlfn.MAXIFS('LỆNH ĐIỀU XE'!$U$5:$U$604,'LỆNH ĐIỀU XE'!$B$5:$B$604,$A404,'LỆNH ĐIỀU XE'!$C$5:$C$604,$B404)=0,"",ROUND((H404+(H404&lt;4/24)-_xlfn.MAXIFS('LỆNH ĐIỀU XE'!$U$5:$U$604,'LỆNH ĐIỀU XE'!$B$5:$B$604,$A404,'LỆNH ĐIỀU XE'!$C$5:$C$604,$B404))*1440,0)))</f>
        <v/>
      </c>
      <c r="AJ404" s="16" t="str">
        <f>IF($A404="","",IF(OR(AI404="",V404=""),"Thiếu dữ liệu",IF(AND(AI404&lt;='THAM SỐ'!$B$29,ABS(V404)&lt;='THAM SỐ'!$B$28),"Đạt","Không đạt")))</f>
        <v/>
      </c>
      <c r="AK404" s="16" t="str">
        <f t="shared" si="68"/>
        <v/>
      </c>
      <c r="AL404" s="16" t="str">
        <f>IF($A404="","",TRIM(IF(T404=0,"Không có lệnh; ","")&amp;IF(N(N404)&gt;0,"Dừng ngoài lệnh; ","")&amp;IF(N(J404)&gt;0,"Quá tốc độ; ","")&amp;IF(N(K404)&gt;0,"Lái quá 4h; ","")&amp;IF(N(L404)&gt;0,"Không tắt máy; ","")&amp;IF(OR(P404&lt;&gt;"Đủ",Q404&lt;&gt;"Đủ",R404&lt;&gt;"Đủ"),"Thiếu ảnh; ","")&amp;IF(S404&lt;&gt;"Đạt","Lốp chưa đạt; ","")&amp;IF(N(W404)&gt;'THAM SỐ'!$B$27,"Có mặt quá giờ; ","")&amp;IF(N(X404)&gt;'THAM SỐ'!$B$25,"Lái quá giờ ngày; ","")&amp;IF(ISNUMBER(V404),IF(ABS(V404)&gt;'THAM SỐ'!$B$28,"Lệch km; ",""),"")))</f>
        <v/>
      </c>
      <c r="AM404" s="29"/>
      <c r="AN404" s="30"/>
      <c r="AO404" s="28" t="str">
        <f t="shared" si="69"/>
        <v/>
      </c>
      <c r="AP404" s="21" t="str">
        <f>IF(OR($A404="",AO404=""),"",IF(AG404=0,0,ROUND((AC404*'THAM SỐ'!$B$18+AD404*'THAM SỐ'!$B$19+AE404*'THAM SỐ'!$B$20+AF404*'THAM SỐ'!$B$21)*MIN(1,AO404/AG404),0)))</f>
        <v/>
      </c>
      <c r="AQ404" s="18"/>
    </row>
  </sheetData>
  <mergeCells count="6">
    <mergeCell ref="AM3:AP3"/>
    <mergeCell ref="A3:M3"/>
    <mergeCell ref="N3:O3"/>
    <mergeCell ref="P3:S3"/>
    <mergeCell ref="T3:AB3"/>
    <mergeCell ref="AC3:AL3"/>
  </mergeCells>
  <conditionalFormatting sqref="AK5:AK404">
    <cfRule type="expression" dxfId="21" priority="3">
      <formula>$AK5="Cần giải trình"</formula>
    </cfRule>
    <cfRule type="expression" dxfId="20" priority="4">
      <formula>$AK5="Đủ điều kiện"</formula>
    </cfRule>
  </conditionalFormatting>
  <conditionalFormatting sqref="AL5:AL404">
    <cfRule type="expression" dxfId="19" priority="2">
      <formula>AND($A5&lt;&gt;"",LEN($AL5)&gt;0)</formula>
    </cfRule>
  </conditionalFormatting>
  <conditionalFormatting sqref="AM5:AM404">
    <cfRule type="expression" dxfId="18" priority="6">
      <formula>AND(N($AG5)&gt;0,$AM5="")</formula>
    </cfRule>
  </conditionalFormatting>
  <dataValidations count="3">
    <dataValidation type="list" allowBlank="1" sqref="P5:R404" xr:uid="{00000000-0002-0000-0200-000002000000}">
      <formula1>"Đủ,Thiếu"</formula1>
      <formula2>0</formula2>
    </dataValidation>
    <dataValidation type="list" allowBlank="1" sqref="S5:S404" xr:uid="{00000000-0002-0000-0200-000003000000}">
      <formula1>"Đạt,Không đạt,Không làm"</formula1>
      <formula2>0</formula2>
    </dataValidation>
    <dataValidation type="list" allowBlank="1" sqref="AM5:AM404" xr:uid="{00000000-0002-0000-0200-000004000000}">
      <formula1>"Duyệt đủ,Duyệt một phần,Không duyệt"</formula1>
      <formula2>0</formula2>
    </dataValidation>
  </dataValidations>
  <pageMargins left="0.75" right="0.75" top="1" bottom="1" header="0.511811023622047" footer="0.511811023622047"/>
  <pageSetup paperSize="9" orientation="portrait" horizontalDpi="300" verticalDpi="300"/>
  <legacyDrawing r:id="rId1"/>
  <extLst>
    <ext xmlns:x14="http://schemas.microsoft.com/office/spreadsheetml/2009/9/main" uri="{78C0D931-6437-407d-A8EE-F0AAD7539E65}">
      <x14:conditionalFormattings>
        <x14:conditionalFormatting xmlns:xm="http://schemas.microsoft.com/office/excel/2006/main">
          <x14:cfRule type="expression" priority="5" id="{00000000-000E-0000-0200-000005000000}">
            <xm:f>AND(ISNUMBER($Z5),$Z5&lt;'THAM SỐ'!$B$33)</xm:f>
            <x14:dxf>
              <fill>
                <patternFill>
                  <bgColor rgb="FFF8CBAD"/>
                </patternFill>
              </fill>
            </x14:dxf>
          </x14:cfRule>
          <xm:sqref>Z5:Z404</xm:sqref>
        </x14:conditionalFormatting>
      </x14:conditionalFormattings>
    </ext>
    <ext xmlns:x14="http://schemas.microsoft.com/office/spreadsheetml/2009/9/main" uri="{CCE6A557-97BC-4b89-ADB6-D9C93CAAB3DF}">
      <x14:dataValidations xmlns:xm="http://schemas.microsoft.com/office/excel/2006/main" count="2">
        <x14:dataValidation type="list" allowBlank="1" xr:uid="{00000000-0002-0000-0200-000000000000}">
          <x14:formula1>
            <xm:f>'THAM SỐ'!$A$5:$A$7</xm:f>
          </x14:formula1>
          <x14:formula2>
            <xm:f>0</xm:f>
          </x14:formula2>
          <xm:sqref>B5:B404</xm:sqref>
        </x14:dataValidation>
        <x14:dataValidation type="list" allowBlank="1" xr:uid="{00000000-0002-0000-0200-000001000000}">
          <x14:formula1>
            <xm:f>'THAM SỐ'!$A$11:$A$14</xm:f>
          </x14:formula1>
          <x14:formula2>
            <xm:f>0</xm:f>
          </x14:formula2>
          <xm:sqref>C5:C404</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2E75B6"/>
  </sheetPr>
  <dimension ref="A1:J304"/>
  <sheetViews>
    <sheetView showGridLines="0" zoomScaleNormal="100" workbookViewId="0">
      <pane ySplit="4" topLeftCell="A5" activePane="bottomLeft" state="frozen"/>
      <selection pane="bottomLeft"/>
    </sheetView>
  </sheetViews>
  <sheetFormatPr defaultColWidth="8.6640625" defaultRowHeight="14.25" x14ac:dyDescent="0.45"/>
  <cols>
    <col min="1" max="1" width="13" customWidth="1"/>
    <col min="2" max="2" width="12" customWidth="1"/>
    <col min="3" max="9" width="9" customWidth="1"/>
    <col min="10" max="10" width="30" customWidth="1"/>
  </cols>
  <sheetData>
    <row r="1" spans="1:10" ht="17.649999999999999" x14ac:dyDescent="0.5">
      <c r="A1" s="5" t="s">
        <v>153</v>
      </c>
    </row>
    <row r="2" spans="1:10" x14ac:dyDescent="0.45">
      <c r="A2" s="6" t="s">
        <v>154</v>
      </c>
    </row>
    <row r="3" spans="1:10" x14ac:dyDescent="0.45">
      <c r="A3" s="4" t="s">
        <v>53</v>
      </c>
      <c r="B3" s="4"/>
      <c r="C3" s="4"/>
      <c r="D3" s="4"/>
      <c r="E3" s="3" t="s">
        <v>155</v>
      </c>
      <c r="F3" s="3"/>
      <c r="G3" s="3"/>
      <c r="H3" s="3"/>
      <c r="I3" s="3"/>
    </row>
    <row r="4" spans="1:10" ht="30" customHeight="1" x14ac:dyDescent="0.45">
      <c r="A4" s="15" t="s">
        <v>156</v>
      </c>
      <c r="B4" s="15" t="s">
        <v>56</v>
      </c>
      <c r="C4" s="15" t="s">
        <v>157</v>
      </c>
      <c r="D4" s="15" t="s">
        <v>158</v>
      </c>
      <c r="E4" s="14" t="s">
        <v>159</v>
      </c>
      <c r="F4" s="14" t="s">
        <v>160</v>
      </c>
      <c r="G4" s="14" t="s">
        <v>161</v>
      </c>
      <c r="H4" s="14" t="s">
        <v>162</v>
      </c>
      <c r="I4" s="14" t="s">
        <v>163</v>
      </c>
      <c r="J4" s="15" t="s">
        <v>75</v>
      </c>
    </row>
    <row r="5" spans="1:10" x14ac:dyDescent="0.45">
      <c r="A5" s="17">
        <v>46300</v>
      </c>
      <c r="B5" s="18" t="s">
        <v>76</v>
      </c>
      <c r="C5" s="20">
        <v>0.265277777777778</v>
      </c>
      <c r="D5" s="20">
        <v>0.46180555555555602</v>
      </c>
      <c r="E5" s="31">
        <f t="shared" ref="E5:E68" si="0">IF(OR(A5="",C5="",D5=""),"",ROUND(MAX(0,MIN((D5+(C5&lt;4/24)+(D5&lt;C5)),8/24)-MAX((C5+(C5&lt;4/24)),4/24))*24,2))</f>
        <v>1.63</v>
      </c>
      <c r="F5" s="31">
        <f t="shared" ref="F5:F68" si="1">IF(OR(A5="",C5="",D5=""),"",ROUND(MAX(0,MIN((D5+(C5&lt;4/24)+(D5&lt;C5)),22/24)-MAX((C5+(C5&lt;4/24)),17/24))*24,2))</f>
        <v>0</v>
      </c>
      <c r="G5" s="31">
        <f t="shared" ref="G5:G68" si="2">IF(OR(A5="",C5="",D5=""),"",ROUND(MAX(0,MIN((D5+(C5&lt;4/24)+(D5&lt;C5)),1)-MAX((C5+(C5&lt;4/24)),22/24))*24,2))</f>
        <v>0</v>
      </c>
      <c r="H5" s="31">
        <f t="shared" ref="H5:H68" si="3">IF(OR(A5="",C5="",D5=""),"",ROUND(MAX(0,MIN((D5+(C5&lt;4/24)+(D5&lt;C5)),28/24)-MAX((C5+(C5&lt;4/24)),1))*24,2))</f>
        <v>0</v>
      </c>
      <c r="I5" s="31">
        <f t="shared" ref="I5:I68" si="4">IF(OR(A5="",C5="",D5=""),"",SUM(E5:H5))</f>
        <v>1.63</v>
      </c>
      <c r="J5" s="18" t="s">
        <v>84</v>
      </c>
    </row>
    <row r="6" spans="1:10" x14ac:dyDescent="0.45">
      <c r="A6" s="17">
        <v>46300</v>
      </c>
      <c r="B6" s="18" t="s">
        <v>76</v>
      </c>
      <c r="C6" s="20">
        <v>0.67361111111111105</v>
      </c>
      <c r="D6" s="20">
        <v>0.77777777777777801</v>
      </c>
      <c r="E6" s="31">
        <f t="shared" si="0"/>
        <v>0</v>
      </c>
      <c r="F6" s="31">
        <f t="shared" si="1"/>
        <v>1.67</v>
      </c>
      <c r="G6" s="31">
        <f t="shared" si="2"/>
        <v>0</v>
      </c>
      <c r="H6" s="31">
        <f t="shared" si="3"/>
        <v>0</v>
      </c>
      <c r="I6" s="31">
        <f t="shared" si="4"/>
        <v>1.67</v>
      </c>
      <c r="J6" s="18" t="s">
        <v>84</v>
      </c>
    </row>
    <row r="7" spans="1:10" x14ac:dyDescent="0.45">
      <c r="A7" s="17">
        <v>46302</v>
      </c>
      <c r="B7" s="18" t="s">
        <v>76</v>
      </c>
      <c r="C7" s="20">
        <v>0.69444444444444398</v>
      </c>
      <c r="D7" s="20">
        <v>0.80208333333333304</v>
      </c>
      <c r="E7" s="31">
        <f t="shared" si="0"/>
        <v>0</v>
      </c>
      <c r="F7" s="31">
        <f t="shared" si="1"/>
        <v>2.25</v>
      </c>
      <c r="G7" s="31">
        <f t="shared" si="2"/>
        <v>0</v>
      </c>
      <c r="H7" s="31">
        <f t="shared" si="3"/>
        <v>0</v>
      </c>
      <c r="I7" s="31">
        <f t="shared" si="4"/>
        <v>2.25</v>
      </c>
      <c r="J7" s="18" t="s">
        <v>84</v>
      </c>
    </row>
    <row r="8" spans="1:10" x14ac:dyDescent="0.45">
      <c r="A8" s="17">
        <v>46303</v>
      </c>
      <c r="B8" s="18" t="s">
        <v>76</v>
      </c>
      <c r="C8" s="20">
        <v>0.28472222222222199</v>
      </c>
      <c r="D8" s="20">
        <v>0.4375</v>
      </c>
      <c r="E8" s="31">
        <f t="shared" si="0"/>
        <v>1.17</v>
      </c>
      <c r="F8" s="31">
        <f t="shared" si="1"/>
        <v>0</v>
      </c>
      <c r="G8" s="31">
        <f t="shared" si="2"/>
        <v>0</v>
      </c>
      <c r="H8" s="31">
        <f t="shared" si="3"/>
        <v>0</v>
      </c>
      <c r="I8" s="31">
        <f t="shared" si="4"/>
        <v>1.17</v>
      </c>
      <c r="J8" s="18" t="s">
        <v>84</v>
      </c>
    </row>
    <row r="9" spans="1:10" x14ac:dyDescent="0.45">
      <c r="A9" s="17">
        <v>46303</v>
      </c>
      <c r="B9" s="18" t="s">
        <v>76</v>
      </c>
      <c r="C9" s="20">
        <v>0.63888888888888895</v>
      </c>
      <c r="D9" s="20">
        <v>0.75347222222222199</v>
      </c>
      <c r="E9" s="31">
        <f t="shared" si="0"/>
        <v>0</v>
      </c>
      <c r="F9" s="31">
        <f t="shared" si="1"/>
        <v>1.08</v>
      </c>
      <c r="G9" s="31">
        <f t="shared" si="2"/>
        <v>0</v>
      </c>
      <c r="H9" s="31">
        <f t="shared" si="3"/>
        <v>0</v>
      </c>
      <c r="I9" s="31">
        <f t="shared" si="4"/>
        <v>1.08</v>
      </c>
      <c r="J9" s="18" t="s">
        <v>84</v>
      </c>
    </row>
    <row r="10" spans="1:10" x14ac:dyDescent="0.45">
      <c r="A10" s="17">
        <v>46304</v>
      </c>
      <c r="B10" s="18" t="s">
        <v>76</v>
      </c>
      <c r="C10" s="20">
        <v>0.225694444444444</v>
      </c>
      <c r="D10" s="20">
        <v>0.44444444444444398</v>
      </c>
      <c r="E10" s="31">
        <f t="shared" si="0"/>
        <v>2.58</v>
      </c>
      <c r="F10" s="31">
        <f t="shared" si="1"/>
        <v>0</v>
      </c>
      <c r="G10" s="31">
        <f t="shared" si="2"/>
        <v>0</v>
      </c>
      <c r="H10" s="31">
        <f t="shared" si="3"/>
        <v>0</v>
      </c>
      <c r="I10" s="31">
        <f t="shared" si="4"/>
        <v>2.58</v>
      </c>
      <c r="J10" s="18" t="s">
        <v>84</v>
      </c>
    </row>
    <row r="11" spans="1:10" x14ac:dyDescent="0.45">
      <c r="A11" s="17">
        <v>46304</v>
      </c>
      <c r="B11" s="18" t="s">
        <v>76</v>
      </c>
      <c r="C11" s="20">
        <v>0.64583333333333304</v>
      </c>
      <c r="D11" s="20">
        <v>0.84027777777777801</v>
      </c>
      <c r="E11" s="31">
        <f t="shared" si="0"/>
        <v>0</v>
      </c>
      <c r="F11" s="31">
        <f t="shared" si="1"/>
        <v>3.17</v>
      </c>
      <c r="G11" s="31">
        <f t="shared" si="2"/>
        <v>0</v>
      </c>
      <c r="H11" s="31">
        <f t="shared" si="3"/>
        <v>0</v>
      </c>
      <c r="I11" s="31">
        <f t="shared" si="4"/>
        <v>3.17</v>
      </c>
      <c r="J11" s="18" t="s">
        <v>84</v>
      </c>
    </row>
    <row r="12" spans="1:10" x14ac:dyDescent="0.45">
      <c r="A12" s="17">
        <v>46301</v>
      </c>
      <c r="B12" s="18" t="s">
        <v>85</v>
      </c>
      <c r="C12" s="20">
        <v>0.32986111111111099</v>
      </c>
      <c r="D12" s="20">
        <v>0.43055555555555602</v>
      </c>
      <c r="E12" s="31">
        <f t="shared" si="0"/>
        <v>0.08</v>
      </c>
      <c r="F12" s="31">
        <f t="shared" si="1"/>
        <v>0</v>
      </c>
      <c r="G12" s="31">
        <f t="shared" si="2"/>
        <v>0</v>
      </c>
      <c r="H12" s="31">
        <f t="shared" si="3"/>
        <v>0</v>
      </c>
      <c r="I12" s="31">
        <f t="shared" si="4"/>
        <v>0.08</v>
      </c>
      <c r="J12" s="18" t="s">
        <v>84</v>
      </c>
    </row>
    <row r="13" spans="1:10" x14ac:dyDescent="0.45">
      <c r="A13" s="17">
        <v>46301</v>
      </c>
      <c r="B13" s="18" t="s">
        <v>85</v>
      </c>
      <c r="C13" s="20">
        <v>0.65277777777777801</v>
      </c>
      <c r="D13" s="20">
        <v>0.73263888888888895</v>
      </c>
      <c r="E13" s="31">
        <f t="shared" si="0"/>
        <v>0</v>
      </c>
      <c r="F13" s="31">
        <f t="shared" si="1"/>
        <v>0.57999999999999996</v>
      </c>
      <c r="G13" s="31">
        <f t="shared" si="2"/>
        <v>0</v>
      </c>
      <c r="H13" s="31">
        <f t="shared" si="3"/>
        <v>0</v>
      </c>
      <c r="I13" s="31">
        <f t="shared" si="4"/>
        <v>0.57999999999999996</v>
      </c>
      <c r="J13" s="18" t="s">
        <v>84</v>
      </c>
    </row>
    <row r="14" spans="1:10" x14ac:dyDescent="0.45">
      <c r="A14" s="17"/>
      <c r="B14" s="18"/>
      <c r="C14" s="20"/>
      <c r="D14" s="20"/>
      <c r="E14" s="31" t="str">
        <f t="shared" si="0"/>
        <v/>
      </c>
      <c r="F14" s="31" t="str">
        <f t="shared" si="1"/>
        <v/>
      </c>
      <c r="G14" s="31" t="str">
        <f t="shared" si="2"/>
        <v/>
      </c>
      <c r="H14" s="31" t="str">
        <f t="shared" si="3"/>
        <v/>
      </c>
      <c r="I14" s="31" t="str">
        <f t="shared" si="4"/>
        <v/>
      </c>
      <c r="J14" s="18"/>
    </row>
    <row r="15" spans="1:10" x14ac:dyDescent="0.45">
      <c r="A15" s="17"/>
      <c r="B15" s="18"/>
      <c r="C15" s="20"/>
      <c r="D15" s="20"/>
      <c r="E15" s="31" t="str">
        <f t="shared" si="0"/>
        <v/>
      </c>
      <c r="F15" s="31" t="str">
        <f t="shared" si="1"/>
        <v/>
      </c>
      <c r="G15" s="31" t="str">
        <f t="shared" si="2"/>
        <v/>
      </c>
      <c r="H15" s="31" t="str">
        <f t="shared" si="3"/>
        <v/>
      </c>
      <c r="I15" s="31" t="str">
        <f t="shared" si="4"/>
        <v/>
      </c>
      <c r="J15" s="18"/>
    </row>
    <row r="16" spans="1:10" x14ac:dyDescent="0.45">
      <c r="A16" s="17"/>
      <c r="B16" s="18"/>
      <c r="C16" s="20"/>
      <c r="D16" s="20"/>
      <c r="E16" s="31" t="str">
        <f t="shared" si="0"/>
        <v/>
      </c>
      <c r="F16" s="31" t="str">
        <f t="shared" si="1"/>
        <v/>
      </c>
      <c r="G16" s="31" t="str">
        <f t="shared" si="2"/>
        <v/>
      </c>
      <c r="H16" s="31" t="str">
        <f t="shared" si="3"/>
        <v/>
      </c>
      <c r="I16" s="31" t="str">
        <f t="shared" si="4"/>
        <v/>
      </c>
      <c r="J16" s="18"/>
    </row>
    <row r="17" spans="1:10" x14ac:dyDescent="0.45">
      <c r="A17" s="17"/>
      <c r="B17" s="18"/>
      <c r="C17" s="20"/>
      <c r="D17" s="20"/>
      <c r="E17" s="31" t="str">
        <f t="shared" si="0"/>
        <v/>
      </c>
      <c r="F17" s="31" t="str">
        <f t="shared" si="1"/>
        <v/>
      </c>
      <c r="G17" s="31" t="str">
        <f t="shared" si="2"/>
        <v/>
      </c>
      <c r="H17" s="31" t="str">
        <f t="shared" si="3"/>
        <v/>
      </c>
      <c r="I17" s="31" t="str">
        <f t="shared" si="4"/>
        <v/>
      </c>
      <c r="J17" s="18"/>
    </row>
    <row r="18" spans="1:10" x14ac:dyDescent="0.45">
      <c r="A18" s="17"/>
      <c r="B18" s="18"/>
      <c r="C18" s="20"/>
      <c r="D18" s="20"/>
      <c r="E18" s="31" t="str">
        <f t="shared" si="0"/>
        <v/>
      </c>
      <c r="F18" s="31" t="str">
        <f t="shared" si="1"/>
        <v/>
      </c>
      <c r="G18" s="31" t="str">
        <f t="shared" si="2"/>
        <v/>
      </c>
      <c r="H18" s="31" t="str">
        <f t="shared" si="3"/>
        <v/>
      </c>
      <c r="I18" s="31" t="str">
        <f t="shared" si="4"/>
        <v/>
      </c>
      <c r="J18" s="18"/>
    </row>
    <row r="19" spans="1:10" x14ac:dyDescent="0.45">
      <c r="A19" s="17"/>
      <c r="B19" s="18"/>
      <c r="C19" s="20"/>
      <c r="D19" s="20"/>
      <c r="E19" s="31" t="str">
        <f t="shared" si="0"/>
        <v/>
      </c>
      <c r="F19" s="31" t="str">
        <f t="shared" si="1"/>
        <v/>
      </c>
      <c r="G19" s="31" t="str">
        <f t="shared" si="2"/>
        <v/>
      </c>
      <c r="H19" s="31" t="str">
        <f t="shared" si="3"/>
        <v/>
      </c>
      <c r="I19" s="31" t="str">
        <f t="shared" si="4"/>
        <v/>
      </c>
      <c r="J19" s="18"/>
    </row>
    <row r="20" spans="1:10" x14ac:dyDescent="0.45">
      <c r="A20" s="17"/>
      <c r="B20" s="18"/>
      <c r="C20" s="20"/>
      <c r="D20" s="20"/>
      <c r="E20" s="31" t="str">
        <f t="shared" si="0"/>
        <v/>
      </c>
      <c r="F20" s="31" t="str">
        <f t="shared" si="1"/>
        <v/>
      </c>
      <c r="G20" s="31" t="str">
        <f t="shared" si="2"/>
        <v/>
      </c>
      <c r="H20" s="31" t="str">
        <f t="shared" si="3"/>
        <v/>
      </c>
      <c r="I20" s="31" t="str">
        <f t="shared" si="4"/>
        <v/>
      </c>
      <c r="J20" s="18"/>
    </row>
    <row r="21" spans="1:10" x14ac:dyDescent="0.45">
      <c r="A21" s="17"/>
      <c r="B21" s="18"/>
      <c r="C21" s="20"/>
      <c r="D21" s="20"/>
      <c r="E21" s="31" t="str">
        <f t="shared" si="0"/>
        <v/>
      </c>
      <c r="F21" s="31" t="str">
        <f t="shared" si="1"/>
        <v/>
      </c>
      <c r="G21" s="31" t="str">
        <f t="shared" si="2"/>
        <v/>
      </c>
      <c r="H21" s="31" t="str">
        <f t="shared" si="3"/>
        <v/>
      </c>
      <c r="I21" s="31" t="str">
        <f t="shared" si="4"/>
        <v/>
      </c>
      <c r="J21" s="18"/>
    </row>
    <row r="22" spans="1:10" x14ac:dyDescent="0.45">
      <c r="A22" s="17"/>
      <c r="B22" s="18"/>
      <c r="C22" s="20"/>
      <c r="D22" s="20"/>
      <c r="E22" s="31" t="str">
        <f t="shared" si="0"/>
        <v/>
      </c>
      <c r="F22" s="31" t="str">
        <f t="shared" si="1"/>
        <v/>
      </c>
      <c r="G22" s="31" t="str">
        <f t="shared" si="2"/>
        <v/>
      </c>
      <c r="H22" s="31" t="str">
        <f t="shared" si="3"/>
        <v/>
      </c>
      <c r="I22" s="31" t="str">
        <f t="shared" si="4"/>
        <v/>
      </c>
      <c r="J22" s="18"/>
    </row>
    <row r="23" spans="1:10" x14ac:dyDescent="0.45">
      <c r="A23" s="17"/>
      <c r="B23" s="18"/>
      <c r="C23" s="20"/>
      <c r="D23" s="20"/>
      <c r="E23" s="31" t="str">
        <f t="shared" si="0"/>
        <v/>
      </c>
      <c r="F23" s="31" t="str">
        <f t="shared" si="1"/>
        <v/>
      </c>
      <c r="G23" s="31" t="str">
        <f t="shared" si="2"/>
        <v/>
      </c>
      <c r="H23" s="31" t="str">
        <f t="shared" si="3"/>
        <v/>
      </c>
      <c r="I23" s="31" t="str">
        <f t="shared" si="4"/>
        <v/>
      </c>
      <c r="J23" s="18"/>
    </row>
    <row r="24" spans="1:10" x14ac:dyDescent="0.45">
      <c r="A24" s="17"/>
      <c r="B24" s="18"/>
      <c r="C24" s="20"/>
      <c r="D24" s="20"/>
      <c r="E24" s="31" t="str">
        <f t="shared" si="0"/>
        <v/>
      </c>
      <c r="F24" s="31" t="str">
        <f t="shared" si="1"/>
        <v/>
      </c>
      <c r="G24" s="31" t="str">
        <f t="shared" si="2"/>
        <v/>
      </c>
      <c r="H24" s="31" t="str">
        <f t="shared" si="3"/>
        <v/>
      </c>
      <c r="I24" s="31" t="str">
        <f t="shared" si="4"/>
        <v/>
      </c>
      <c r="J24" s="18"/>
    </row>
    <row r="25" spans="1:10" x14ac:dyDescent="0.45">
      <c r="A25" s="17"/>
      <c r="B25" s="18"/>
      <c r="C25" s="20"/>
      <c r="D25" s="20"/>
      <c r="E25" s="31" t="str">
        <f t="shared" si="0"/>
        <v/>
      </c>
      <c r="F25" s="31" t="str">
        <f t="shared" si="1"/>
        <v/>
      </c>
      <c r="G25" s="31" t="str">
        <f t="shared" si="2"/>
        <v/>
      </c>
      <c r="H25" s="31" t="str">
        <f t="shared" si="3"/>
        <v/>
      </c>
      <c r="I25" s="31" t="str">
        <f t="shared" si="4"/>
        <v/>
      </c>
      <c r="J25" s="18"/>
    </row>
    <row r="26" spans="1:10" x14ac:dyDescent="0.45">
      <c r="A26" s="17"/>
      <c r="B26" s="18"/>
      <c r="C26" s="20"/>
      <c r="D26" s="20"/>
      <c r="E26" s="31" t="str">
        <f t="shared" si="0"/>
        <v/>
      </c>
      <c r="F26" s="31" t="str">
        <f t="shared" si="1"/>
        <v/>
      </c>
      <c r="G26" s="31" t="str">
        <f t="shared" si="2"/>
        <v/>
      </c>
      <c r="H26" s="31" t="str">
        <f t="shared" si="3"/>
        <v/>
      </c>
      <c r="I26" s="31" t="str">
        <f t="shared" si="4"/>
        <v/>
      </c>
      <c r="J26" s="18"/>
    </row>
    <row r="27" spans="1:10" x14ac:dyDescent="0.45">
      <c r="A27" s="17"/>
      <c r="B27" s="18"/>
      <c r="C27" s="20"/>
      <c r="D27" s="20"/>
      <c r="E27" s="31" t="str">
        <f t="shared" si="0"/>
        <v/>
      </c>
      <c r="F27" s="31" t="str">
        <f t="shared" si="1"/>
        <v/>
      </c>
      <c r="G27" s="31" t="str">
        <f t="shared" si="2"/>
        <v/>
      </c>
      <c r="H27" s="31" t="str">
        <f t="shared" si="3"/>
        <v/>
      </c>
      <c r="I27" s="31" t="str">
        <f t="shared" si="4"/>
        <v/>
      </c>
      <c r="J27" s="18"/>
    </row>
    <row r="28" spans="1:10" x14ac:dyDescent="0.45">
      <c r="A28" s="17"/>
      <c r="B28" s="18"/>
      <c r="C28" s="20"/>
      <c r="D28" s="20"/>
      <c r="E28" s="31" t="str">
        <f t="shared" si="0"/>
        <v/>
      </c>
      <c r="F28" s="31" t="str">
        <f t="shared" si="1"/>
        <v/>
      </c>
      <c r="G28" s="31" t="str">
        <f t="shared" si="2"/>
        <v/>
      </c>
      <c r="H28" s="31" t="str">
        <f t="shared" si="3"/>
        <v/>
      </c>
      <c r="I28" s="31" t="str">
        <f t="shared" si="4"/>
        <v/>
      </c>
      <c r="J28" s="18"/>
    </row>
    <row r="29" spans="1:10" x14ac:dyDescent="0.45">
      <c r="A29" s="17"/>
      <c r="B29" s="18"/>
      <c r="C29" s="20"/>
      <c r="D29" s="20"/>
      <c r="E29" s="31" t="str">
        <f t="shared" si="0"/>
        <v/>
      </c>
      <c r="F29" s="31" t="str">
        <f t="shared" si="1"/>
        <v/>
      </c>
      <c r="G29" s="31" t="str">
        <f t="shared" si="2"/>
        <v/>
      </c>
      <c r="H29" s="31" t="str">
        <f t="shared" si="3"/>
        <v/>
      </c>
      <c r="I29" s="31" t="str">
        <f t="shared" si="4"/>
        <v/>
      </c>
      <c r="J29" s="18"/>
    </row>
    <row r="30" spans="1:10" x14ac:dyDescent="0.45">
      <c r="A30" s="17"/>
      <c r="B30" s="18"/>
      <c r="C30" s="20"/>
      <c r="D30" s="20"/>
      <c r="E30" s="31" t="str">
        <f t="shared" si="0"/>
        <v/>
      </c>
      <c r="F30" s="31" t="str">
        <f t="shared" si="1"/>
        <v/>
      </c>
      <c r="G30" s="31" t="str">
        <f t="shared" si="2"/>
        <v/>
      </c>
      <c r="H30" s="31" t="str">
        <f t="shared" si="3"/>
        <v/>
      </c>
      <c r="I30" s="31" t="str">
        <f t="shared" si="4"/>
        <v/>
      </c>
      <c r="J30" s="18"/>
    </row>
    <row r="31" spans="1:10" x14ac:dyDescent="0.45">
      <c r="A31" s="17"/>
      <c r="B31" s="18"/>
      <c r="C31" s="20"/>
      <c r="D31" s="20"/>
      <c r="E31" s="31" t="str">
        <f t="shared" si="0"/>
        <v/>
      </c>
      <c r="F31" s="31" t="str">
        <f t="shared" si="1"/>
        <v/>
      </c>
      <c r="G31" s="31" t="str">
        <f t="shared" si="2"/>
        <v/>
      </c>
      <c r="H31" s="31" t="str">
        <f t="shared" si="3"/>
        <v/>
      </c>
      <c r="I31" s="31" t="str">
        <f t="shared" si="4"/>
        <v/>
      </c>
      <c r="J31" s="18"/>
    </row>
    <row r="32" spans="1:10" x14ac:dyDescent="0.45">
      <c r="A32" s="17"/>
      <c r="B32" s="18"/>
      <c r="C32" s="20"/>
      <c r="D32" s="20"/>
      <c r="E32" s="31" t="str">
        <f t="shared" si="0"/>
        <v/>
      </c>
      <c r="F32" s="31" t="str">
        <f t="shared" si="1"/>
        <v/>
      </c>
      <c r="G32" s="31" t="str">
        <f t="shared" si="2"/>
        <v/>
      </c>
      <c r="H32" s="31" t="str">
        <f t="shared" si="3"/>
        <v/>
      </c>
      <c r="I32" s="31" t="str">
        <f t="shared" si="4"/>
        <v/>
      </c>
      <c r="J32" s="18"/>
    </row>
    <row r="33" spans="1:10" x14ac:dyDescent="0.45">
      <c r="A33" s="17"/>
      <c r="B33" s="18"/>
      <c r="C33" s="20"/>
      <c r="D33" s="20"/>
      <c r="E33" s="31" t="str">
        <f t="shared" si="0"/>
        <v/>
      </c>
      <c r="F33" s="31" t="str">
        <f t="shared" si="1"/>
        <v/>
      </c>
      <c r="G33" s="31" t="str">
        <f t="shared" si="2"/>
        <v/>
      </c>
      <c r="H33" s="31" t="str">
        <f t="shared" si="3"/>
        <v/>
      </c>
      <c r="I33" s="31" t="str">
        <f t="shared" si="4"/>
        <v/>
      </c>
      <c r="J33" s="18"/>
    </row>
    <row r="34" spans="1:10" x14ac:dyDescent="0.45">
      <c r="A34" s="17"/>
      <c r="B34" s="18"/>
      <c r="C34" s="20"/>
      <c r="D34" s="20"/>
      <c r="E34" s="31" t="str">
        <f t="shared" si="0"/>
        <v/>
      </c>
      <c r="F34" s="31" t="str">
        <f t="shared" si="1"/>
        <v/>
      </c>
      <c r="G34" s="31" t="str">
        <f t="shared" si="2"/>
        <v/>
      </c>
      <c r="H34" s="31" t="str">
        <f t="shared" si="3"/>
        <v/>
      </c>
      <c r="I34" s="31" t="str">
        <f t="shared" si="4"/>
        <v/>
      </c>
      <c r="J34" s="18"/>
    </row>
    <row r="35" spans="1:10" x14ac:dyDescent="0.45">
      <c r="A35" s="17"/>
      <c r="B35" s="18"/>
      <c r="C35" s="20"/>
      <c r="D35" s="20"/>
      <c r="E35" s="31" t="str">
        <f t="shared" si="0"/>
        <v/>
      </c>
      <c r="F35" s="31" t="str">
        <f t="shared" si="1"/>
        <v/>
      </c>
      <c r="G35" s="31" t="str">
        <f t="shared" si="2"/>
        <v/>
      </c>
      <c r="H35" s="31" t="str">
        <f t="shared" si="3"/>
        <v/>
      </c>
      <c r="I35" s="31" t="str">
        <f t="shared" si="4"/>
        <v/>
      </c>
      <c r="J35" s="18"/>
    </row>
    <row r="36" spans="1:10" x14ac:dyDescent="0.45">
      <c r="A36" s="17"/>
      <c r="B36" s="18"/>
      <c r="C36" s="20"/>
      <c r="D36" s="20"/>
      <c r="E36" s="31" t="str">
        <f t="shared" si="0"/>
        <v/>
      </c>
      <c r="F36" s="31" t="str">
        <f t="shared" si="1"/>
        <v/>
      </c>
      <c r="G36" s="31" t="str">
        <f t="shared" si="2"/>
        <v/>
      </c>
      <c r="H36" s="31" t="str">
        <f t="shared" si="3"/>
        <v/>
      </c>
      <c r="I36" s="31" t="str">
        <f t="shared" si="4"/>
        <v/>
      </c>
      <c r="J36" s="18"/>
    </row>
    <row r="37" spans="1:10" x14ac:dyDescent="0.45">
      <c r="A37" s="17"/>
      <c r="B37" s="18"/>
      <c r="C37" s="20"/>
      <c r="D37" s="20"/>
      <c r="E37" s="31" t="str">
        <f t="shared" si="0"/>
        <v/>
      </c>
      <c r="F37" s="31" t="str">
        <f t="shared" si="1"/>
        <v/>
      </c>
      <c r="G37" s="31" t="str">
        <f t="shared" si="2"/>
        <v/>
      </c>
      <c r="H37" s="31" t="str">
        <f t="shared" si="3"/>
        <v/>
      </c>
      <c r="I37" s="31" t="str">
        <f t="shared" si="4"/>
        <v/>
      </c>
      <c r="J37" s="18"/>
    </row>
    <row r="38" spans="1:10" x14ac:dyDescent="0.45">
      <c r="A38" s="17"/>
      <c r="B38" s="18"/>
      <c r="C38" s="20"/>
      <c r="D38" s="20"/>
      <c r="E38" s="31" t="str">
        <f t="shared" si="0"/>
        <v/>
      </c>
      <c r="F38" s="31" t="str">
        <f t="shared" si="1"/>
        <v/>
      </c>
      <c r="G38" s="31" t="str">
        <f t="shared" si="2"/>
        <v/>
      </c>
      <c r="H38" s="31" t="str">
        <f t="shared" si="3"/>
        <v/>
      </c>
      <c r="I38" s="31" t="str">
        <f t="shared" si="4"/>
        <v/>
      </c>
      <c r="J38" s="18"/>
    </row>
    <row r="39" spans="1:10" x14ac:dyDescent="0.45">
      <c r="A39" s="17"/>
      <c r="B39" s="18"/>
      <c r="C39" s="20"/>
      <c r="D39" s="20"/>
      <c r="E39" s="31" t="str">
        <f t="shared" si="0"/>
        <v/>
      </c>
      <c r="F39" s="31" t="str">
        <f t="shared" si="1"/>
        <v/>
      </c>
      <c r="G39" s="31" t="str">
        <f t="shared" si="2"/>
        <v/>
      </c>
      <c r="H39" s="31" t="str">
        <f t="shared" si="3"/>
        <v/>
      </c>
      <c r="I39" s="31" t="str">
        <f t="shared" si="4"/>
        <v/>
      </c>
      <c r="J39" s="18"/>
    </row>
    <row r="40" spans="1:10" x14ac:dyDescent="0.45">
      <c r="A40" s="17"/>
      <c r="B40" s="18"/>
      <c r="C40" s="20"/>
      <c r="D40" s="20"/>
      <c r="E40" s="31" t="str">
        <f t="shared" si="0"/>
        <v/>
      </c>
      <c r="F40" s="31" t="str">
        <f t="shared" si="1"/>
        <v/>
      </c>
      <c r="G40" s="31" t="str">
        <f t="shared" si="2"/>
        <v/>
      </c>
      <c r="H40" s="31" t="str">
        <f t="shared" si="3"/>
        <v/>
      </c>
      <c r="I40" s="31" t="str">
        <f t="shared" si="4"/>
        <v/>
      </c>
      <c r="J40" s="18"/>
    </row>
    <row r="41" spans="1:10" x14ac:dyDescent="0.45">
      <c r="A41" s="17"/>
      <c r="B41" s="18"/>
      <c r="C41" s="20"/>
      <c r="D41" s="20"/>
      <c r="E41" s="31" t="str">
        <f t="shared" si="0"/>
        <v/>
      </c>
      <c r="F41" s="31" t="str">
        <f t="shared" si="1"/>
        <v/>
      </c>
      <c r="G41" s="31" t="str">
        <f t="shared" si="2"/>
        <v/>
      </c>
      <c r="H41" s="31" t="str">
        <f t="shared" si="3"/>
        <v/>
      </c>
      <c r="I41" s="31" t="str">
        <f t="shared" si="4"/>
        <v/>
      </c>
      <c r="J41" s="18"/>
    </row>
    <row r="42" spans="1:10" x14ac:dyDescent="0.45">
      <c r="A42" s="17"/>
      <c r="B42" s="18"/>
      <c r="C42" s="20"/>
      <c r="D42" s="20"/>
      <c r="E42" s="31" t="str">
        <f t="shared" si="0"/>
        <v/>
      </c>
      <c r="F42" s="31" t="str">
        <f t="shared" si="1"/>
        <v/>
      </c>
      <c r="G42" s="31" t="str">
        <f t="shared" si="2"/>
        <v/>
      </c>
      <c r="H42" s="31" t="str">
        <f t="shared" si="3"/>
        <v/>
      </c>
      <c r="I42" s="31" t="str">
        <f t="shared" si="4"/>
        <v/>
      </c>
      <c r="J42" s="18"/>
    </row>
    <row r="43" spans="1:10" x14ac:dyDescent="0.45">
      <c r="A43" s="17"/>
      <c r="B43" s="18"/>
      <c r="C43" s="20"/>
      <c r="D43" s="20"/>
      <c r="E43" s="31" t="str">
        <f t="shared" si="0"/>
        <v/>
      </c>
      <c r="F43" s="31" t="str">
        <f t="shared" si="1"/>
        <v/>
      </c>
      <c r="G43" s="31" t="str">
        <f t="shared" si="2"/>
        <v/>
      </c>
      <c r="H43" s="31" t="str">
        <f t="shared" si="3"/>
        <v/>
      </c>
      <c r="I43" s="31" t="str">
        <f t="shared" si="4"/>
        <v/>
      </c>
      <c r="J43" s="18"/>
    </row>
    <row r="44" spans="1:10" x14ac:dyDescent="0.45">
      <c r="A44" s="17"/>
      <c r="B44" s="18"/>
      <c r="C44" s="20"/>
      <c r="D44" s="20"/>
      <c r="E44" s="31" t="str">
        <f t="shared" si="0"/>
        <v/>
      </c>
      <c r="F44" s="31" t="str">
        <f t="shared" si="1"/>
        <v/>
      </c>
      <c r="G44" s="31" t="str">
        <f t="shared" si="2"/>
        <v/>
      </c>
      <c r="H44" s="31" t="str">
        <f t="shared" si="3"/>
        <v/>
      </c>
      <c r="I44" s="31" t="str">
        <f t="shared" si="4"/>
        <v/>
      </c>
      <c r="J44" s="18"/>
    </row>
    <row r="45" spans="1:10" x14ac:dyDescent="0.45">
      <c r="A45" s="17"/>
      <c r="B45" s="18"/>
      <c r="C45" s="20"/>
      <c r="D45" s="20"/>
      <c r="E45" s="31" t="str">
        <f t="shared" si="0"/>
        <v/>
      </c>
      <c r="F45" s="31" t="str">
        <f t="shared" si="1"/>
        <v/>
      </c>
      <c r="G45" s="31" t="str">
        <f t="shared" si="2"/>
        <v/>
      </c>
      <c r="H45" s="31" t="str">
        <f t="shared" si="3"/>
        <v/>
      </c>
      <c r="I45" s="31" t="str">
        <f t="shared" si="4"/>
        <v/>
      </c>
      <c r="J45" s="18"/>
    </row>
    <row r="46" spans="1:10" x14ac:dyDescent="0.45">
      <c r="A46" s="17"/>
      <c r="B46" s="18"/>
      <c r="C46" s="20"/>
      <c r="D46" s="20"/>
      <c r="E46" s="31" t="str">
        <f t="shared" si="0"/>
        <v/>
      </c>
      <c r="F46" s="31" t="str">
        <f t="shared" si="1"/>
        <v/>
      </c>
      <c r="G46" s="31" t="str">
        <f t="shared" si="2"/>
        <v/>
      </c>
      <c r="H46" s="31" t="str">
        <f t="shared" si="3"/>
        <v/>
      </c>
      <c r="I46" s="31" t="str">
        <f t="shared" si="4"/>
        <v/>
      </c>
      <c r="J46" s="18"/>
    </row>
    <row r="47" spans="1:10" x14ac:dyDescent="0.45">
      <c r="A47" s="17"/>
      <c r="B47" s="18"/>
      <c r="C47" s="20"/>
      <c r="D47" s="20"/>
      <c r="E47" s="31" t="str">
        <f t="shared" si="0"/>
        <v/>
      </c>
      <c r="F47" s="31" t="str">
        <f t="shared" si="1"/>
        <v/>
      </c>
      <c r="G47" s="31" t="str">
        <f t="shared" si="2"/>
        <v/>
      </c>
      <c r="H47" s="31" t="str">
        <f t="shared" si="3"/>
        <v/>
      </c>
      <c r="I47" s="31" t="str">
        <f t="shared" si="4"/>
        <v/>
      </c>
      <c r="J47" s="18"/>
    </row>
    <row r="48" spans="1:10" x14ac:dyDescent="0.45">
      <c r="A48" s="17"/>
      <c r="B48" s="18"/>
      <c r="C48" s="20"/>
      <c r="D48" s="20"/>
      <c r="E48" s="31" t="str">
        <f t="shared" si="0"/>
        <v/>
      </c>
      <c r="F48" s="31" t="str">
        <f t="shared" si="1"/>
        <v/>
      </c>
      <c r="G48" s="31" t="str">
        <f t="shared" si="2"/>
        <v/>
      </c>
      <c r="H48" s="31" t="str">
        <f t="shared" si="3"/>
        <v/>
      </c>
      <c r="I48" s="31" t="str">
        <f t="shared" si="4"/>
        <v/>
      </c>
      <c r="J48" s="18"/>
    </row>
    <row r="49" spans="1:10" x14ac:dyDescent="0.45">
      <c r="A49" s="17"/>
      <c r="B49" s="18"/>
      <c r="C49" s="20"/>
      <c r="D49" s="20"/>
      <c r="E49" s="31" t="str">
        <f t="shared" si="0"/>
        <v/>
      </c>
      <c r="F49" s="31" t="str">
        <f t="shared" si="1"/>
        <v/>
      </c>
      <c r="G49" s="31" t="str">
        <f t="shared" si="2"/>
        <v/>
      </c>
      <c r="H49" s="31" t="str">
        <f t="shared" si="3"/>
        <v/>
      </c>
      <c r="I49" s="31" t="str">
        <f t="shared" si="4"/>
        <v/>
      </c>
      <c r="J49" s="18"/>
    </row>
    <row r="50" spans="1:10" x14ac:dyDescent="0.45">
      <c r="A50" s="17"/>
      <c r="B50" s="18"/>
      <c r="C50" s="20"/>
      <c r="D50" s="20"/>
      <c r="E50" s="31" t="str">
        <f t="shared" si="0"/>
        <v/>
      </c>
      <c r="F50" s="31" t="str">
        <f t="shared" si="1"/>
        <v/>
      </c>
      <c r="G50" s="31" t="str">
        <f t="shared" si="2"/>
        <v/>
      </c>
      <c r="H50" s="31" t="str">
        <f t="shared" si="3"/>
        <v/>
      </c>
      <c r="I50" s="31" t="str">
        <f t="shared" si="4"/>
        <v/>
      </c>
      <c r="J50" s="18"/>
    </row>
    <row r="51" spans="1:10" x14ac:dyDescent="0.45">
      <c r="A51" s="17"/>
      <c r="B51" s="18"/>
      <c r="C51" s="20"/>
      <c r="D51" s="20"/>
      <c r="E51" s="31" t="str">
        <f t="shared" si="0"/>
        <v/>
      </c>
      <c r="F51" s="31" t="str">
        <f t="shared" si="1"/>
        <v/>
      </c>
      <c r="G51" s="31" t="str">
        <f t="shared" si="2"/>
        <v/>
      </c>
      <c r="H51" s="31" t="str">
        <f t="shared" si="3"/>
        <v/>
      </c>
      <c r="I51" s="31" t="str">
        <f t="shared" si="4"/>
        <v/>
      </c>
      <c r="J51" s="18"/>
    </row>
    <row r="52" spans="1:10" x14ac:dyDescent="0.45">
      <c r="A52" s="17"/>
      <c r="B52" s="18"/>
      <c r="C52" s="20"/>
      <c r="D52" s="20"/>
      <c r="E52" s="31" t="str">
        <f t="shared" si="0"/>
        <v/>
      </c>
      <c r="F52" s="31" t="str">
        <f t="shared" si="1"/>
        <v/>
      </c>
      <c r="G52" s="31" t="str">
        <f t="shared" si="2"/>
        <v/>
      </c>
      <c r="H52" s="31" t="str">
        <f t="shared" si="3"/>
        <v/>
      </c>
      <c r="I52" s="31" t="str">
        <f t="shared" si="4"/>
        <v/>
      </c>
      <c r="J52" s="18"/>
    </row>
    <row r="53" spans="1:10" x14ac:dyDescent="0.45">
      <c r="A53" s="17"/>
      <c r="B53" s="18"/>
      <c r="C53" s="20"/>
      <c r="D53" s="20"/>
      <c r="E53" s="31" t="str">
        <f t="shared" si="0"/>
        <v/>
      </c>
      <c r="F53" s="31" t="str">
        <f t="shared" si="1"/>
        <v/>
      </c>
      <c r="G53" s="31" t="str">
        <f t="shared" si="2"/>
        <v/>
      </c>
      <c r="H53" s="31" t="str">
        <f t="shared" si="3"/>
        <v/>
      </c>
      <c r="I53" s="31" t="str">
        <f t="shared" si="4"/>
        <v/>
      </c>
      <c r="J53" s="18"/>
    </row>
    <row r="54" spans="1:10" x14ac:dyDescent="0.45">
      <c r="A54" s="17"/>
      <c r="B54" s="18"/>
      <c r="C54" s="20"/>
      <c r="D54" s="20"/>
      <c r="E54" s="31" t="str">
        <f t="shared" si="0"/>
        <v/>
      </c>
      <c r="F54" s="31" t="str">
        <f t="shared" si="1"/>
        <v/>
      </c>
      <c r="G54" s="31" t="str">
        <f t="shared" si="2"/>
        <v/>
      </c>
      <c r="H54" s="31" t="str">
        <f t="shared" si="3"/>
        <v/>
      </c>
      <c r="I54" s="31" t="str">
        <f t="shared" si="4"/>
        <v/>
      </c>
      <c r="J54" s="18"/>
    </row>
    <row r="55" spans="1:10" x14ac:dyDescent="0.45">
      <c r="A55" s="17"/>
      <c r="B55" s="18"/>
      <c r="C55" s="20"/>
      <c r="D55" s="20"/>
      <c r="E55" s="31" t="str">
        <f t="shared" si="0"/>
        <v/>
      </c>
      <c r="F55" s="31" t="str">
        <f t="shared" si="1"/>
        <v/>
      </c>
      <c r="G55" s="31" t="str">
        <f t="shared" si="2"/>
        <v/>
      </c>
      <c r="H55" s="31" t="str">
        <f t="shared" si="3"/>
        <v/>
      </c>
      <c r="I55" s="31" t="str">
        <f t="shared" si="4"/>
        <v/>
      </c>
      <c r="J55" s="18"/>
    </row>
    <row r="56" spans="1:10" x14ac:dyDescent="0.45">
      <c r="A56" s="17"/>
      <c r="B56" s="18"/>
      <c r="C56" s="20"/>
      <c r="D56" s="20"/>
      <c r="E56" s="31" t="str">
        <f t="shared" si="0"/>
        <v/>
      </c>
      <c r="F56" s="31" t="str">
        <f t="shared" si="1"/>
        <v/>
      </c>
      <c r="G56" s="31" t="str">
        <f t="shared" si="2"/>
        <v/>
      </c>
      <c r="H56" s="31" t="str">
        <f t="shared" si="3"/>
        <v/>
      </c>
      <c r="I56" s="31" t="str">
        <f t="shared" si="4"/>
        <v/>
      </c>
      <c r="J56" s="18"/>
    </row>
    <row r="57" spans="1:10" x14ac:dyDescent="0.45">
      <c r="A57" s="17"/>
      <c r="B57" s="18"/>
      <c r="C57" s="20"/>
      <c r="D57" s="20"/>
      <c r="E57" s="31" t="str">
        <f t="shared" si="0"/>
        <v/>
      </c>
      <c r="F57" s="31" t="str">
        <f t="shared" si="1"/>
        <v/>
      </c>
      <c r="G57" s="31" t="str">
        <f t="shared" si="2"/>
        <v/>
      </c>
      <c r="H57" s="31" t="str">
        <f t="shared" si="3"/>
        <v/>
      </c>
      <c r="I57" s="31" t="str">
        <f t="shared" si="4"/>
        <v/>
      </c>
      <c r="J57" s="18"/>
    </row>
    <row r="58" spans="1:10" x14ac:dyDescent="0.45">
      <c r="A58" s="17"/>
      <c r="B58" s="18"/>
      <c r="C58" s="20"/>
      <c r="D58" s="20"/>
      <c r="E58" s="31" t="str">
        <f t="shared" si="0"/>
        <v/>
      </c>
      <c r="F58" s="31" t="str">
        <f t="shared" si="1"/>
        <v/>
      </c>
      <c r="G58" s="31" t="str">
        <f t="shared" si="2"/>
        <v/>
      </c>
      <c r="H58" s="31" t="str">
        <f t="shared" si="3"/>
        <v/>
      </c>
      <c r="I58" s="31" t="str">
        <f t="shared" si="4"/>
        <v/>
      </c>
      <c r="J58" s="18"/>
    </row>
    <row r="59" spans="1:10" x14ac:dyDescent="0.45">
      <c r="A59" s="17"/>
      <c r="B59" s="18"/>
      <c r="C59" s="20"/>
      <c r="D59" s="20"/>
      <c r="E59" s="31" t="str">
        <f t="shared" si="0"/>
        <v/>
      </c>
      <c r="F59" s="31" t="str">
        <f t="shared" si="1"/>
        <v/>
      </c>
      <c r="G59" s="31" t="str">
        <f t="shared" si="2"/>
        <v/>
      </c>
      <c r="H59" s="31" t="str">
        <f t="shared" si="3"/>
        <v/>
      </c>
      <c r="I59" s="31" t="str">
        <f t="shared" si="4"/>
        <v/>
      </c>
      <c r="J59" s="18"/>
    </row>
    <row r="60" spans="1:10" x14ac:dyDescent="0.45">
      <c r="A60" s="17"/>
      <c r="B60" s="18"/>
      <c r="C60" s="20"/>
      <c r="D60" s="20"/>
      <c r="E60" s="31" t="str">
        <f t="shared" si="0"/>
        <v/>
      </c>
      <c r="F60" s="31" t="str">
        <f t="shared" si="1"/>
        <v/>
      </c>
      <c r="G60" s="31" t="str">
        <f t="shared" si="2"/>
        <v/>
      </c>
      <c r="H60" s="31" t="str">
        <f t="shared" si="3"/>
        <v/>
      </c>
      <c r="I60" s="31" t="str">
        <f t="shared" si="4"/>
        <v/>
      </c>
      <c r="J60" s="18"/>
    </row>
    <row r="61" spans="1:10" x14ac:dyDescent="0.45">
      <c r="A61" s="17"/>
      <c r="B61" s="18"/>
      <c r="C61" s="20"/>
      <c r="D61" s="20"/>
      <c r="E61" s="31" t="str">
        <f t="shared" si="0"/>
        <v/>
      </c>
      <c r="F61" s="31" t="str">
        <f t="shared" si="1"/>
        <v/>
      </c>
      <c r="G61" s="31" t="str">
        <f t="shared" si="2"/>
        <v/>
      </c>
      <c r="H61" s="31" t="str">
        <f t="shared" si="3"/>
        <v/>
      </c>
      <c r="I61" s="31" t="str">
        <f t="shared" si="4"/>
        <v/>
      </c>
      <c r="J61" s="18"/>
    </row>
    <row r="62" spans="1:10" x14ac:dyDescent="0.45">
      <c r="A62" s="17"/>
      <c r="B62" s="18"/>
      <c r="C62" s="20"/>
      <c r="D62" s="20"/>
      <c r="E62" s="31" t="str">
        <f t="shared" si="0"/>
        <v/>
      </c>
      <c r="F62" s="31" t="str">
        <f t="shared" si="1"/>
        <v/>
      </c>
      <c r="G62" s="31" t="str">
        <f t="shared" si="2"/>
        <v/>
      </c>
      <c r="H62" s="31" t="str">
        <f t="shared" si="3"/>
        <v/>
      </c>
      <c r="I62" s="31" t="str">
        <f t="shared" si="4"/>
        <v/>
      </c>
      <c r="J62" s="18"/>
    </row>
    <row r="63" spans="1:10" x14ac:dyDescent="0.45">
      <c r="A63" s="17"/>
      <c r="B63" s="18"/>
      <c r="C63" s="20"/>
      <c r="D63" s="20"/>
      <c r="E63" s="31" t="str">
        <f t="shared" si="0"/>
        <v/>
      </c>
      <c r="F63" s="31" t="str">
        <f t="shared" si="1"/>
        <v/>
      </c>
      <c r="G63" s="31" t="str">
        <f t="shared" si="2"/>
        <v/>
      </c>
      <c r="H63" s="31" t="str">
        <f t="shared" si="3"/>
        <v/>
      </c>
      <c r="I63" s="31" t="str">
        <f t="shared" si="4"/>
        <v/>
      </c>
      <c r="J63" s="18"/>
    </row>
    <row r="64" spans="1:10" x14ac:dyDescent="0.45">
      <c r="A64" s="17"/>
      <c r="B64" s="18"/>
      <c r="C64" s="20"/>
      <c r="D64" s="20"/>
      <c r="E64" s="31" t="str">
        <f t="shared" si="0"/>
        <v/>
      </c>
      <c r="F64" s="31" t="str">
        <f t="shared" si="1"/>
        <v/>
      </c>
      <c r="G64" s="31" t="str">
        <f t="shared" si="2"/>
        <v/>
      </c>
      <c r="H64" s="31" t="str">
        <f t="shared" si="3"/>
        <v/>
      </c>
      <c r="I64" s="31" t="str">
        <f t="shared" si="4"/>
        <v/>
      </c>
      <c r="J64" s="18"/>
    </row>
    <row r="65" spans="1:10" x14ac:dyDescent="0.45">
      <c r="A65" s="17"/>
      <c r="B65" s="18"/>
      <c r="C65" s="20"/>
      <c r="D65" s="20"/>
      <c r="E65" s="31" t="str">
        <f t="shared" si="0"/>
        <v/>
      </c>
      <c r="F65" s="31" t="str">
        <f t="shared" si="1"/>
        <v/>
      </c>
      <c r="G65" s="31" t="str">
        <f t="shared" si="2"/>
        <v/>
      </c>
      <c r="H65" s="31" t="str">
        <f t="shared" si="3"/>
        <v/>
      </c>
      <c r="I65" s="31" t="str">
        <f t="shared" si="4"/>
        <v/>
      </c>
      <c r="J65" s="18"/>
    </row>
    <row r="66" spans="1:10" x14ac:dyDescent="0.45">
      <c r="A66" s="17"/>
      <c r="B66" s="18"/>
      <c r="C66" s="20"/>
      <c r="D66" s="20"/>
      <c r="E66" s="31" t="str">
        <f t="shared" si="0"/>
        <v/>
      </c>
      <c r="F66" s="31" t="str">
        <f t="shared" si="1"/>
        <v/>
      </c>
      <c r="G66" s="31" t="str">
        <f t="shared" si="2"/>
        <v/>
      </c>
      <c r="H66" s="31" t="str">
        <f t="shared" si="3"/>
        <v/>
      </c>
      <c r="I66" s="31" t="str">
        <f t="shared" si="4"/>
        <v/>
      </c>
      <c r="J66" s="18"/>
    </row>
    <row r="67" spans="1:10" x14ac:dyDescent="0.45">
      <c r="A67" s="17"/>
      <c r="B67" s="18"/>
      <c r="C67" s="20"/>
      <c r="D67" s="20"/>
      <c r="E67" s="31" t="str">
        <f t="shared" si="0"/>
        <v/>
      </c>
      <c r="F67" s="31" t="str">
        <f t="shared" si="1"/>
        <v/>
      </c>
      <c r="G67" s="31" t="str">
        <f t="shared" si="2"/>
        <v/>
      </c>
      <c r="H67" s="31" t="str">
        <f t="shared" si="3"/>
        <v/>
      </c>
      <c r="I67" s="31" t="str">
        <f t="shared" si="4"/>
        <v/>
      </c>
      <c r="J67" s="18"/>
    </row>
    <row r="68" spans="1:10" x14ac:dyDescent="0.45">
      <c r="A68" s="17"/>
      <c r="B68" s="18"/>
      <c r="C68" s="20"/>
      <c r="D68" s="20"/>
      <c r="E68" s="31" t="str">
        <f t="shared" si="0"/>
        <v/>
      </c>
      <c r="F68" s="31" t="str">
        <f t="shared" si="1"/>
        <v/>
      </c>
      <c r="G68" s="31" t="str">
        <f t="shared" si="2"/>
        <v/>
      </c>
      <c r="H68" s="31" t="str">
        <f t="shared" si="3"/>
        <v/>
      </c>
      <c r="I68" s="31" t="str">
        <f t="shared" si="4"/>
        <v/>
      </c>
      <c r="J68" s="18"/>
    </row>
    <row r="69" spans="1:10" x14ac:dyDescent="0.45">
      <c r="A69" s="17"/>
      <c r="B69" s="18"/>
      <c r="C69" s="20"/>
      <c r="D69" s="20"/>
      <c r="E69" s="31" t="str">
        <f t="shared" ref="E69:E132" si="5">IF(OR(A69="",C69="",D69=""),"",ROUND(MAX(0,MIN((D69+(C69&lt;4/24)+(D69&lt;C69)),8/24)-MAX((C69+(C69&lt;4/24)),4/24))*24,2))</f>
        <v/>
      </c>
      <c r="F69" s="31" t="str">
        <f t="shared" ref="F69:F132" si="6">IF(OR(A69="",C69="",D69=""),"",ROUND(MAX(0,MIN((D69+(C69&lt;4/24)+(D69&lt;C69)),22/24)-MAX((C69+(C69&lt;4/24)),17/24))*24,2))</f>
        <v/>
      </c>
      <c r="G69" s="31" t="str">
        <f t="shared" ref="G69:G132" si="7">IF(OR(A69="",C69="",D69=""),"",ROUND(MAX(0,MIN((D69+(C69&lt;4/24)+(D69&lt;C69)),1)-MAX((C69+(C69&lt;4/24)),22/24))*24,2))</f>
        <v/>
      </c>
      <c r="H69" s="31" t="str">
        <f t="shared" ref="H69:H132" si="8">IF(OR(A69="",C69="",D69=""),"",ROUND(MAX(0,MIN((D69+(C69&lt;4/24)+(D69&lt;C69)),28/24)-MAX((C69+(C69&lt;4/24)),1))*24,2))</f>
        <v/>
      </c>
      <c r="I69" s="31" t="str">
        <f t="shared" ref="I69:I132" si="9">IF(OR(A69="",C69="",D69=""),"",SUM(E69:H69))</f>
        <v/>
      </c>
      <c r="J69" s="18"/>
    </row>
    <row r="70" spans="1:10" x14ac:dyDescent="0.45">
      <c r="A70" s="17"/>
      <c r="B70" s="18"/>
      <c r="C70" s="20"/>
      <c r="D70" s="20"/>
      <c r="E70" s="31" t="str">
        <f t="shared" si="5"/>
        <v/>
      </c>
      <c r="F70" s="31" t="str">
        <f t="shared" si="6"/>
        <v/>
      </c>
      <c r="G70" s="31" t="str">
        <f t="shared" si="7"/>
        <v/>
      </c>
      <c r="H70" s="31" t="str">
        <f t="shared" si="8"/>
        <v/>
      </c>
      <c r="I70" s="31" t="str">
        <f t="shared" si="9"/>
        <v/>
      </c>
      <c r="J70" s="18"/>
    </row>
    <row r="71" spans="1:10" x14ac:dyDescent="0.45">
      <c r="A71" s="17"/>
      <c r="B71" s="18"/>
      <c r="C71" s="20"/>
      <c r="D71" s="20"/>
      <c r="E71" s="31" t="str">
        <f t="shared" si="5"/>
        <v/>
      </c>
      <c r="F71" s="31" t="str">
        <f t="shared" si="6"/>
        <v/>
      </c>
      <c r="G71" s="31" t="str">
        <f t="shared" si="7"/>
        <v/>
      </c>
      <c r="H71" s="31" t="str">
        <f t="shared" si="8"/>
        <v/>
      </c>
      <c r="I71" s="31" t="str">
        <f t="shared" si="9"/>
        <v/>
      </c>
      <c r="J71" s="18"/>
    </row>
    <row r="72" spans="1:10" x14ac:dyDescent="0.45">
      <c r="A72" s="17"/>
      <c r="B72" s="18"/>
      <c r="C72" s="20"/>
      <c r="D72" s="20"/>
      <c r="E72" s="31" t="str">
        <f t="shared" si="5"/>
        <v/>
      </c>
      <c r="F72" s="31" t="str">
        <f t="shared" si="6"/>
        <v/>
      </c>
      <c r="G72" s="31" t="str">
        <f t="shared" si="7"/>
        <v/>
      </c>
      <c r="H72" s="31" t="str">
        <f t="shared" si="8"/>
        <v/>
      </c>
      <c r="I72" s="31" t="str">
        <f t="shared" si="9"/>
        <v/>
      </c>
      <c r="J72" s="18"/>
    </row>
    <row r="73" spans="1:10" x14ac:dyDescent="0.45">
      <c r="A73" s="17"/>
      <c r="B73" s="18"/>
      <c r="C73" s="20"/>
      <c r="D73" s="20"/>
      <c r="E73" s="31" t="str">
        <f t="shared" si="5"/>
        <v/>
      </c>
      <c r="F73" s="31" t="str">
        <f t="shared" si="6"/>
        <v/>
      </c>
      <c r="G73" s="31" t="str">
        <f t="shared" si="7"/>
        <v/>
      </c>
      <c r="H73" s="31" t="str">
        <f t="shared" si="8"/>
        <v/>
      </c>
      <c r="I73" s="31" t="str">
        <f t="shared" si="9"/>
        <v/>
      </c>
      <c r="J73" s="18"/>
    </row>
    <row r="74" spans="1:10" x14ac:dyDescent="0.45">
      <c r="A74" s="17"/>
      <c r="B74" s="18"/>
      <c r="C74" s="20"/>
      <c r="D74" s="20"/>
      <c r="E74" s="31" t="str">
        <f t="shared" si="5"/>
        <v/>
      </c>
      <c r="F74" s="31" t="str">
        <f t="shared" si="6"/>
        <v/>
      </c>
      <c r="G74" s="31" t="str">
        <f t="shared" si="7"/>
        <v/>
      </c>
      <c r="H74" s="31" t="str">
        <f t="shared" si="8"/>
        <v/>
      </c>
      <c r="I74" s="31" t="str">
        <f t="shared" si="9"/>
        <v/>
      </c>
      <c r="J74" s="18"/>
    </row>
    <row r="75" spans="1:10" x14ac:dyDescent="0.45">
      <c r="A75" s="17"/>
      <c r="B75" s="18"/>
      <c r="C75" s="20"/>
      <c r="D75" s="20"/>
      <c r="E75" s="31" t="str">
        <f t="shared" si="5"/>
        <v/>
      </c>
      <c r="F75" s="31" t="str">
        <f t="shared" si="6"/>
        <v/>
      </c>
      <c r="G75" s="31" t="str">
        <f t="shared" si="7"/>
        <v/>
      </c>
      <c r="H75" s="31" t="str">
        <f t="shared" si="8"/>
        <v/>
      </c>
      <c r="I75" s="31" t="str">
        <f t="shared" si="9"/>
        <v/>
      </c>
      <c r="J75" s="18"/>
    </row>
    <row r="76" spans="1:10" x14ac:dyDescent="0.45">
      <c r="A76" s="17"/>
      <c r="B76" s="18"/>
      <c r="C76" s="20"/>
      <c r="D76" s="20"/>
      <c r="E76" s="31" t="str">
        <f t="shared" si="5"/>
        <v/>
      </c>
      <c r="F76" s="31" t="str">
        <f t="shared" si="6"/>
        <v/>
      </c>
      <c r="G76" s="31" t="str">
        <f t="shared" si="7"/>
        <v/>
      </c>
      <c r="H76" s="31" t="str">
        <f t="shared" si="8"/>
        <v/>
      </c>
      <c r="I76" s="31" t="str">
        <f t="shared" si="9"/>
        <v/>
      </c>
      <c r="J76" s="18"/>
    </row>
    <row r="77" spans="1:10" x14ac:dyDescent="0.45">
      <c r="A77" s="17"/>
      <c r="B77" s="18"/>
      <c r="C77" s="20"/>
      <c r="D77" s="20"/>
      <c r="E77" s="31" t="str">
        <f t="shared" si="5"/>
        <v/>
      </c>
      <c r="F77" s="31" t="str">
        <f t="shared" si="6"/>
        <v/>
      </c>
      <c r="G77" s="31" t="str">
        <f t="shared" si="7"/>
        <v/>
      </c>
      <c r="H77" s="31" t="str">
        <f t="shared" si="8"/>
        <v/>
      </c>
      <c r="I77" s="31" t="str">
        <f t="shared" si="9"/>
        <v/>
      </c>
      <c r="J77" s="18"/>
    </row>
    <row r="78" spans="1:10" x14ac:dyDescent="0.45">
      <c r="A78" s="17"/>
      <c r="B78" s="18"/>
      <c r="C78" s="20"/>
      <c r="D78" s="20"/>
      <c r="E78" s="31" t="str">
        <f t="shared" si="5"/>
        <v/>
      </c>
      <c r="F78" s="31" t="str">
        <f t="shared" si="6"/>
        <v/>
      </c>
      <c r="G78" s="31" t="str">
        <f t="shared" si="7"/>
        <v/>
      </c>
      <c r="H78" s="31" t="str">
        <f t="shared" si="8"/>
        <v/>
      </c>
      <c r="I78" s="31" t="str">
        <f t="shared" si="9"/>
        <v/>
      </c>
      <c r="J78" s="18"/>
    </row>
    <row r="79" spans="1:10" x14ac:dyDescent="0.45">
      <c r="A79" s="17"/>
      <c r="B79" s="18"/>
      <c r="C79" s="20"/>
      <c r="D79" s="20"/>
      <c r="E79" s="31" t="str">
        <f t="shared" si="5"/>
        <v/>
      </c>
      <c r="F79" s="31" t="str">
        <f t="shared" si="6"/>
        <v/>
      </c>
      <c r="G79" s="31" t="str">
        <f t="shared" si="7"/>
        <v/>
      </c>
      <c r="H79" s="31" t="str">
        <f t="shared" si="8"/>
        <v/>
      </c>
      <c r="I79" s="31" t="str">
        <f t="shared" si="9"/>
        <v/>
      </c>
      <c r="J79" s="18"/>
    </row>
    <row r="80" spans="1:10" x14ac:dyDescent="0.45">
      <c r="A80" s="17"/>
      <c r="B80" s="18"/>
      <c r="C80" s="20"/>
      <c r="D80" s="20"/>
      <c r="E80" s="31" t="str">
        <f t="shared" si="5"/>
        <v/>
      </c>
      <c r="F80" s="31" t="str">
        <f t="shared" si="6"/>
        <v/>
      </c>
      <c r="G80" s="31" t="str">
        <f t="shared" si="7"/>
        <v/>
      </c>
      <c r="H80" s="31" t="str">
        <f t="shared" si="8"/>
        <v/>
      </c>
      <c r="I80" s="31" t="str">
        <f t="shared" si="9"/>
        <v/>
      </c>
      <c r="J80" s="18"/>
    </row>
    <row r="81" spans="1:10" x14ac:dyDescent="0.45">
      <c r="A81" s="17"/>
      <c r="B81" s="18"/>
      <c r="C81" s="20"/>
      <c r="D81" s="20"/>
      <c r="E81" s="31" t="str">
        <f t="shared" si="5"/>
        <v/>
      </c>
      <c r="F81" s="31" t="str">
        <f t="shared" si="6"/>
        <v/>
      </c>
      <c r="G81" s="31" t="str">
        <f t="shared" si="7"/>
        <v/>
      </c>
      <c r="H81" s="31" t="str">
        <f t="shared" si="8"/>
        <v/>
      </c>
      <c r="I81" s="31" t="str">
        <f t="shared" si="9"/>
        <v/>
      </c>
      <c r="J81" s="18"/>
    </row>
    <row r="82" spans="1:10" x14ac:dyDescent="0.45">
      <c r="A82" s="17"/>
      <c r="B82" s="18"/>
      <c r="C82" s="20"/>
      <c r="D82" s="20"/>
      <c r="E82" s="31" t="str">
        <f t="shared" si="5"/>
        <v/>
      </c>
      <c r="F82" s="31" t="str">
        <f t="shared" si="6"/>
        <v/>
      </c>
      <c r="G82" s="31" t="str">
        <f t="shared" si="7"/>
        <v/>
      </c>
      <c r="H82" s="31" t="str">
        <f t="shared" si="8"/>
        <v/>
      </c>
      <c r="I82" s="31" t="str">
        <f t="shared" si="9"/>
        <v/>
      </c>
      <c r="J82" s="18"/>
    </row>
    <row r="83" spans="1:10" x14ac:dyDescent="0.45">
      <c r="A83" s="17"/>
      <c r="B83" s="18"/>
      <c r="C83" s="20"/>
      <c r="D83" s="20"/>
      <c r="E83" s="31" t="str">
        <f t="shared" si="5"/>
        <v/>
      </c>
      <c r="F83" s="31" t="str">
        <f t="shared" si="6"/>
        <v/>
      </c>
      <c r="G83" s="31" t="str">
        <f t="shared" si="7"/>
        <v/>
      </c>
      <c r="H83" s="31" t="str">
        <f t="shared" si="8"/>
        <v/>
      </c>
      <c r="I83" s="31" t="str">
        <f t="shared" si="9"/>
        <v/>
      </c>
      <c r="J83" s="18"/>
    </row>
    <row r="84" spans="1:10" x14ac:dyDescent="0.45">
      <c r="A84" s="17"/>
      <c r="B84" s="18"/>
      <c r="C84" s="20"/>
      <c r="D84" s="20"/>
      <c r="E84" s="31" t="str">
        <f t="shared" si="5"/>
        <v/>
      </c>
      <c r="F84" s="31" t="str">
        <f t="shared" si="6"/>
        <v/>
      </c>
      <c r="G84" s="31" t="str">
        <f t="shared" si="7"/>
        <v/>
      </c>
      <c r="H84" s="31" t="str">
        <f t="shared" si="8"/>
        <v/>
      </c>
      <c r="I84" s="31" t="str">
        <f t="shared" si="9"/>
        <v/>
      </c>
      <c r="J84" s="18"/>
    </row>
    <row r="85" spans="1:10" x14ac:dyDescent="0.45">
      <c r="A85" s="17"/>
      <c r="B85" s="18"/>
      <c r="C85" s="20"/>
      <c r="D85" s="20"/>
      <c r="E85" s="31" t="str">
        <f t="shared" si="5"/>
        <v/>
      </c>
      <c r="F85" s="31" t="str">
        <f t="shared" si="6"/>
        <v/>
      </c>
      <c r="G85" s="31" t="str">
        <f t="shared" si="7"/>
        <v/>
      </c>
      <c r="H85" s="31" t="str">
        <f t="shared" si="8"/>
        <v/>
      </c>
      <c r="I85" s="31" t="str">
        <f t="shared" si="9"/>
        <v/>
      </c>
      <c r="J85" s="18"/>
    </row>
    <row r="86" spans="1:10" x14ac:dyDescent="0.45">
      <c r="A86" s="17"/>
      <c r="B86" s="18"/>
      <c r="C86" s="20"/>
      <c r="D86" s="20"/>
      <c r="E86" s="31" t="str">
        <f t="shared" si="5"/>
        <v/>
      </c>
      <c r="F86" s="31" t="str">
        <f t="shared" si="6"/>
        <v/>
      </c>
      <c r="G86" s="31" t="str">
        <f t="shared" si="7"/>
        <v/>
      </c>
      <c r="H86" s="31" t="str">
        <f t="shared" si="8"/>
        <v/>
      </c>
      <c r="I86" s="31" t="str">
        <f t="shared" si="9"/>
        <v/>
      </c>
      <c r="J86" s="18"/>
    </row>
    <row r="87" spans="1:10" x14ac:dyDescent="0.45">
      <c r="A87" s="17"/>
      <c r="B87" s="18"/>
      <c r="C87" s="20"/>
      <c r="D87" s="20"/>
      <c r="E87" s="31" t="str">
        <f t="shared" si="5"/>
        <v/>
      </c>
      <c r="F87" s="31" t="str">
        <f t="shared" si="6"/>
        <v/>
      </c>
      <c r="G87" s="31" t="str">
        <f t="shared" si="7"/>
        <v/>
      </c>
      <c r="H87" s="31" t="str">
        <f t="shared" si="8"/>
        <v/>
      </c>
      <c r="I87" s="31" t="str">
        <f t="shared" si="9"/>
        <v/>
      </c>
      <c r="J87" s="18"/>
    </row>
    <row r="88" spans="1:10" x14ac:dyDescent="0.45">
      <c r="A88" s="17"/>
      <c r="B88" s="18"/>
      <c r="C88" s="20"/>
      <c r="D88" s="20"/>
      <c r="E88" s="31" t="str">
        <f t="shared" si="5"/>
        <v/>
      </c>
      <c r="F88" s="31" t="str">
        <f t="shared" si="6"/>
        <v/>
      </c>
      <c r="G88" s="31" t="str">
        <f t="shared" si="7"/>
        <v/>
      </c>
      <c r="H88" s="31" t="str">
        <f t="shared" si="8"/>
        <v/>
      </c>
      <c r="I88" s="31" t="str">
        <f t="shared" si="9"/>
        <v/>
      </c>
      <c r="J88" s="18"/>
    </row>
    <row r="89" spans="1:10" x14ac:dyDescent="0.45">
      <c r="A89" s="17"/>
      <c r="B89" s="18"/>
      <c r="C89" s="20"/>
      <c r="D89" s="20"/>
      <c r="E89" s="31" t="str">
        <f t="shared" si="5"/>
        <v/>
      </c>
      <c r="F89" s="31" t="str">
        <f t="shared" si="6"/>
        <v/>
      </c>
      <c r="G89" s="31" t="str">
        <f t="shared" si="7"/>
        <v/>
      </c>
      <c r="H89" s="31" t="str">
        <f t="shared" si="8"/>
        <v/>
      </c>
      <c r="I89" s="31" t="str">
        <f t="shared" si="9"/>
        <v/>
      </c>
      <c r="J89" s="18"/>
    </row>
    <row r="90" spans="1:10" x14ac:dyDescent="0.45">
      <c r="A90" s="17"/>
      <c r="B90" s="18"/>
      <c r="C90" s="20"/>
      <c r="D90" s="20"/>
      <c r="E90" s="31" t="str">
        <f t="shared" si="5"/>
        <v/>
      </c>
      <c r="F90" s="31" t="str">
        <f t="shared" si="6"/>
        <v/>
      </c>
      <c r="G90" s="31" t="str">
        <f t="shared" si="7"/>
        <v/>
      </c>
      <c r="H90" s="31" t="str">
        <f t="shared" si="8"/>
        <v/>
      </c>
      <c r="I90" s="31" t="str">
        <f t="shared" si="9"/>
        <v/>
      </c>
      <c r="J90" s="18"/>
    </row>
    <row r="91" spans="1:10" x14ac:dyDescent="0.45">
      <c r="A91" s="17"/>
      <c r="B91" s="18"/>
      <c r="C91" s="20"/>
      <c r="D91" s="20"/>
      <c r="E91" s="31" t="str">
        <f t="shared" si="5"/>
        <v/>
      </c>
      <c r="F91" s="31" t="str">
        <f t="shared" si="6"/>
        <v/>
      </c>
      <c r="G91" s="31" t="str">
        <f t="shared" si="7"/>
        <v/>
      </c>
      <c r="H91" s="31" t="str">
        <f t="shared" si="8"/>
        <v/>
      </c>
      <c r="I91" s="31" t="str">
        <f t="shared" si="9"/>
        <v/>
      </c>
      <c r="J91" s="18"/>
    </row>
    <row r="92" spans="1:10" x14ac:dyDescent="0.45">
      <c r="A92" s="17"/>
      <c r="B92" s="18"/>
      <c r="C92" s="20"/>
      <c r="D92" s="20"/>
      <c r="E92" s="31" t="str">
        <f t="shared" si="5"/>
        <v/>
      </c>
      <c r="F92" s="31" t="str">
        <f t="shared" si="6"/>
        <v/>
      </c>
      <c r="G92" s="31" t="str">
        <f t="shared" si="7"/>
        <v/>
      </c>
      <c r="H92" s="31" t="str">
        <f t="shared" si="8"/>
        <v/>
      </c>
      <c r="I92" s="31" t="str">
        <f t="shared" si="9"/>
        <v/>
      </c>
      <c r="J92" s="18"/>
    </row>
    <row r="93" spans="1:10" x14ac:dyDescent="0.45">
      <c r="A93" s="17"/>
      <c r="B93" s="18"/>
      <c r="C93" s="20"/>
      <c r="D93" s="20"/>
      <c r="E93" s="31" t="str">
        <f t="shared" si="5"/>
        <v/>
      </c>
      <c r="F93" s="31" t="str">
        <f t="shared" si="6"/>
        <v/>
      </c>
      <c r="G93" s="31" t="str">
        <f t="shared" si="7"/>
        <v/>
      </c>
      <c r="H93" s="31" t="str">
        <f t="shared" si="8"/>
        <v/>
      </c>
      <c r="I93" s="31" t="str">
        <f t="shared" si="9"/>
        <v/>
      </c>
      <c r="J93" s="18"/>
    </row>
    <row r="94" spans="1:10" x14ac:dyDescent="0.45">
      <c r="A94" s="17"/>
      <c r="B94" s="18"/>
      <c r="C94" s="20"/>
      <c r="D94" s="20"/>
      <c r="E94" s="31" t="str">
        <f t="shared" si="5"/>
        <v/>
      </c>
      <c r="F94" s="31" t="str">
        <f t="shared" si="6"/>
        <v/>
      </c>
      <c r="G94" s="31" t="str">
        <f t="shared" si="7"/>
        <v/>
      </c>
      <c r="H94" s="31" t="str">
        <f t="shared" si="8"/>
        <v/>
      </c>
      <c r="I94" s="31" t="str">
        <f t="shared" si="9"/>
        <v/>
      </c>
      <c r="J94" s="18"/>
    </row>
    <row r="95" spans="1:10" x14ac:dyDescent="0.45">
      <c r="A95" s="17"/>
      <c r="B95" s="18"/>
      <c r="C95" s="20"/>
      <c r="D95" s="20"/>
      <c r="E95" s="31" t="str">
        <f t="shared" si="5"/>
        <v/>
      </c>
      <c r="F95" s="31" t="str">
        <f t="shared" si="6"/>
        <v/>
      </c>
      <c r="G95" s="31" t="str">
        <f t="shared" si="7"/>
        <v/>
      </c>
      <c r="H95" s="31" t="str">
        <f t="shared" si="8"/>
        <v/>
      </c>
      <c r="I95" s="31" t="str">
        <f t="shared" si="9"/>
        <v/>
      </c>
      <c r="J95" s="18"/>
    </row>
    <row r="96" spans="1:10" x14ac:dyDescent="0.45">
      <c r="A96" s="17"/>
      <c r="B96" s="18"/>
      <c r="C96" s="20"/>
      <c r="D96" s="20"/>
      <c r="E96" s="31" t="str">
        <f t="shared" si="5"/>
        <v/>
      </c>
      <c r="F96" s="31" t="str">
        <f t="shared" si="6"/>
        <v/>
      </c>
      <c r="G96" s="31" t="str">
        <f t="shared" si="7"/>
        <v/>
      </c>
      <c r="H96" s="31" t="str">
        <f t="shared" si="8"/>
        <v/>
      </c>
      <c r="I96" s="31" t="str">
        <f t="shared" si="9"/>
        <v/>
      </c>
      <c r="J96" s="18"/>
    </row>
    <row r="97" spans="1:10" x14ac:dyDescent="0.45">
      <c r="A97" s="17"/>
      <c r="B97" s="18"/>
      <c r="C97" s="20"/>
      <c r="D97" s="20"/>
      <c r="E97" s="31" t="str">
        <f t="shared" si="5"/>
        <v/>
      </c>
      <c r="F97" s="31" t="str">
        <f t="shared" si="6"/>
        <v/>
      </c>
      <c r="G97" s="31" t="str">
        <f t="shared" si="7"/>
        <v/>
      </c>
      <c r="H97" s="31" t="str">
        <f t="shared" si="8"/>
        <v/>
      </c>
      <c r="I97" s="31" t="str">
        <f t="shared" si="9"/>
        <v/>
      </c>
      <c r="J97" s="18"/>
    </row>
    <row r="98" spans="1:10" x14ac:dyDescent="0.45">
      <c r="A98" s="17"/>
      <c r="B98" s="18"/>
      <c r="C98" s="20"/>
      <c r="D98" s="20"/>
      <c r="E98" s="31" t="str">
        <f t="shared" si="5"/>
        <v/>
      </c>
      <c r="F98" s="31" t="str">
        <f t="shared" si="6"/>
        <v/>
      </c>
      <c r="G98" s="31" t="str">
        <f t="shared" si="7"/>
        <v/>
      </c>
      <c r="H98" s="31" t="str">
        <f t="shared" si="8"/>
        <v/>
      </c>
      <c r="I98" s="31" t="str">
        <f t="shared" si="9"/>
        <v/>
      </c>
      <c r="J98" s="18"/>
    </row>
    <row r="99" spans="1:10" x14ac:dyDescent="0.45">
      <c r="A99" s="17"/>
      <c r="B99" s="18"/>
      <c r="C99" s="20"/>
      <c r="D99" s="20"/>
      <c r="E99" s="31" t="str">
        <f t="shared" si="5"/>
        <v/>
      </c>
      <c r="F99" s="31" t="str">
        <f t="shared" si="6"/>
        <v/>
      </c>
      <c r="G99" s="31" t="str">
        <f t="shared" si="7"/>
        <v/>
      </c>
      <c r="H99" s="31" t="str">
        <f t="shared" si="8"/>
        <v/>
      </c>
      <c r="I99" s="31" t="str">
        <f t="shared" si="9"/>
        <v/>
      </c>
      <c r="J99" s="18"/>
    </row>
    <row r="100" spans="1:10" x14ac:dyDescent="0.45">
      <c r="A100" s="17"/>
      <c r="B100" s="18"/>
      <c r="C100" s="20"/>
      <c r="D100" s="20"/>
      <c r="E100" s="31" t="str">
        <f t="shared" si="5"/>
        <v/>
      </c>
      <c r="F100" s="31" t="str">
        <f t="shared" si="6"/>
        <v/>
      </c>
      <c r="G100" s="31" t="str">
        <f t="shared" si="7"/>
        <v/>
      </c>
      <c r="H100" s="31" t="str">
        <f t="shared" si="8"/>
        <v/>
      </c>
      <c r="I100" s="31" t="str">
        <f t="shared" si="9"/>
        <v/>
      </c>
      <c r="J100" s="18"/>
    </row>
    <row r="101" spans="1:10" x14ac:dyDescent="0.45">
      <c r="A101" s="17"/>
      <c r="B101" s="18"/>
      <c r="C101" s="20"/>
      <c r="D101" s="20"/>
      <c r="E101" s="31" t="str">
        <f t="shared" si="5"/>
        <v/>
      </c>
      <c r="F101" s="31" t="str">
        <f t="shared" si="6"/>
        <v/>
      </c>
      <c r="G101" s="31" t="str">
        <f t="shared" si="7"/>
        <v/>
      </c>
      <c r="H101" s="31" t="str">
        <f t="shared" si="8"/>
        <v/>
      </c>
      <c r="I101" s="31" t="str">
        <f t="shared" si="9"/>
        <v/>
      </c>
      <c r="J101" s="18"/>
    </row>
    <row r="102" spans="1:10" x14ac:dyDescent="0.45">
      <c r="A102" s="17"/>
      <c r="B102" s="18"/>
      <c r="C102" s="20"/>
      <c r="D102" s="20"/>
      <c r="E102" s="31" t="str">
        <f t="shared" si="5"/>
        <v/>
      </c>
      <c r="F102" s="31" t="str">
        <f t="shared" si="6"/>
        <v/>
      </c>
      <c r="G102" s="31" t="str">
        <f t="shared" si="7"/>
        <v/>
      </c>
      <c r="H102" s="31" t="str">
        <f t="shared" si="8"/>
        <v/>
      </c>
      <c r="I102" s="31" t="str">
        <f t="shared" si="9"/>
        <v/>
      </c>
      <c r="J102" s="18"/>
    </row>
    <row r="103" spans="1:10" x14ac:dyDescent="0.45">
      <c r="A103" s="17"/>
      <c r="B103" s="18"/>
      <c r="C103" s="20"/>
      <c r="D103" s="20"/>
      <c r="E103" s="31" t="str">
        <f t="shared" si="5"/>
        <v/>
      </c>
      <c r="F103" s="31" t="str">
        <f t="shared" si="6"/>
        <v/>
      </c>
      <c r="G103" s="31" t="str">
        <f t="shared" si="7"/>
        <v/>
      </c>
      <c r="H103" s="31" t="str">
        <f t="shared" si="8"/>
        <v/>
      </c>
      <c r="I103" s="31" t="str">
        <f t="shared" si="9"/>
        <v/>
      </c>
      <c r="J103" s="18"/>
    </row>
    <row r="104" spans="1:10" x14ac:dyDescent="0.45">
      <c r="A104" s="17"/>
      <c r="B104" s="18"/>
      <c r="C104" s="20"/>
      <c r="D104" s="20"/>
      <c r="E104" s="31" t="str">
        <f t="shared" si="5"/>
        <v/>
      </c>
      <c r="F104" s="31" t="str">
        <f t="shared" si="6"/>
        <v/>
      </c>
      <c r="G104" s="31" t="str">
        <f t="shared" si="7"/>
        <v/>
      </c>
      <c r="H104" s="31" t="str">
        <f t="shared" si="8"/>
        <v/>
      </c>
      <c r="I104" s="31" t="str">
        <f t="shared" si="9"/>
        <v/>
      </c>
      <c r="J104" s="18"/>
    </row>
    <row r="105" spans="1:10" x14ac:dyDescent="0.45">
      <c r="A105" s="17"/>
      <c r="B105" s="18"/>
      <c r="C105" s="20"/>
      <c r="D105" s="20"/>
      <c r="E105" s="31" t="str">
        <f t="shared" si="5"/>
        <v/>
      </c>
      <c r="F105" s="31" t="str">
        <f t="shared" si="6"/>
        <v/>
      </c>
      <c r="G105" s="31" t="str">
        <f t="shared" si="7"/>
        <v/>
      </c>
      <c r="H105" s="31" t="str">
        <f t="shared" si="8"/>
        <v/>
      </c>
      <c r="I105" s="31" t="str">
        <f t="shared" si="9"/>
        <v/>
      </c>
      <c r="J105" s="18"/>
    </row>
    <row r="106" spans="1:10" x14ac:dyDescent="0.45">
      <c r="A106" s="17"/>
      <c r="B106" s="18"/>
      <c r="C106" s="20"/>
      <c r="D106" s="20"/>
      <c r="E106" s="31" t="str">
        <f t="shared" si="5"/>
        <v/>
      </c>
      <c r="F106" s="31" t="str">
        <f t="shared" si="6"/>
        <v/>
      </c>
      <c r="G106" s="31" t="str">
        <f t="shared" si="7"/>
        <v/>
      </c>
      <c r="H106" s="31" t="str">
        <f t="shared" si="8"/>
        <v/>
      </c>
      <c r="I106" s="31" t="str">
        <f t="shared" si="9"/>
        <v/>
      </c>
      <c r="J106" s="18"/>
    </row>
    <row r="107" spans="1:10" x14ac:dyDescent="0.45">
      <c r="A107" s="17"/>
      <c r="B107" s="18"/>
      <c r="C107" s="20"/>
      <c r="D107" s="20"/>
      <c r="E107" s="31" t="str">
        <f t="shared" si="5"/>
        <v/>
      </c>
      <c r="F107" s="31" t="str">
        <f t="shared" si="6"/>
        <v/>
      </c>
      <c r="G107" s="31" t="str">
        <f t="shared" si="7"/>
        <v/>
      </c>
      <c r="H107" s="31" t="str">
        <f t="shared" si="8"/>
        <v/>
      </c>
      <c r="I107" s="31" t="str">
        <f t="shared" si="9"/>
        <v/>
      </c>
      <c r="J107" s="18"/>
    </row>
    <row r="108" spans="1:10" x14ac:dyDescent="0.45">
      <c r="A108" s="17"/>
      <c r="B108" s="18"/>
      <c r="C108" s="20"/>
      <c r="D108" s="20"/>
      <c r="E108" s="31" t="str">
        <f t="shared" si="5"/>
        <v/>
      </c>
      <c r="F108" s="31" t="str">
        <f t="shared" si="6"/>
        <v/>
      </c>
      <c r="G108" s="31" t="str">
        <f t="shared" si="7"/>
        <v/>
      </c>
      <c r="H108" s="31" t="str">
        <f t="shared" si="8"/>
        <v/>
      </c>
      <c r="I108" s="31" t="str">
        <f t="shared" si="9"/>
        <v/>
      </c>
      <c r="J108" s="18"/>
    </row>
    <row r="109" spans="1:10" x14ac:dyDescent="0.45">
      <c r="A109" s="17"/>
      <c r="B109" s="18"/>
      <c r="C109" s="20"/>
      <c r="D109" s="20"/>
      <c r="E109" s="31" t="str">
        <f t="shared" si="5"/>
        <v/>
      </c>
      <c r="F109" s="31" t="str">
        <f t="shared" si="6"/>
        <v/>
      </c>
      <c r="G109" s="31" t="str">
        <f t="shared" si="7"/>
        <v/>
      </c>
      <c r="H109" s="31" t="str">
        <f t="shared" si="8"/>
        <v/>
      </c>
      <c r="I109" s="31" t="str">
        <f t="shared" si="9"/>
        <v/>
      </c>
      <c r="J109" s="18"/>
    </row>
    <row r="110" spans="1:10" x14ac:dyDescent="0.45">
      <c r="A110" s="17"/>
      <c r="B110" s="18"/>
      <c r="C110" s="20"/>
      <c r="D110" s="20"/>
      <c r="E110" s="31" t="str">
        <f t="shared" si="5"/>
        <v/>
      </c>
      <c r="F110" s="31" t="str">
        <f t="shared" si="6"/>
        <v/>
      </c>
      <c r="G110" s="31" t="str">
        <f t="shared" si="7"/>
        <v/>
      </c>
      <c r="H110" s="31" t="str">
        <f t="shared" si="8"/>
        <v/>
      </c>
      <c r="I110" s="31" t="str">
        <f t="shared" si="9"/>
        <v/>
      </c>
      <c r="J110" s="18"/>
    </row>
    <row r="111" spans="1:10" x14ac:dyDescent="0.45">
      <c r="A111" s="17"/>
      <c r="B111" s="18"/>
      <c r="C111" s="20"/>
      <c r="D111" s="20"/>
      <c r="E111" s="31" t="str">
        <f t="shared" si="5"/>
        <v/>
      </c>
      <c r="F111" s="31" t="str">
        <f t="shared" si="6"/>
        <v/>
      </c>
      <c r="G111" s="31" t="str">
        <f t="shared" si="7"/>
        <v/>
      </c>
      <c r="H111" s="31" t="str">
        <f t="shared" si="8"/>
        <v/>
      </c>
      <c r="I111" s="31" t="str">
        <f t="shared" si="9"/>
        <v/>
      </c>
      <c r="J111" s="18"/>
    </row>
    <row r="112" spans="1:10" x14ac:dyDescent="0.45">
      <c r="A112" s="17"/>
      <c r="B112" s="18"/>
      <c r="C112" s="20"/>
      <c r="D112" s="20"/>
      <c r="E112" s="31" t="str">
        <f t="shared" si="5"/>
        <v/>
      </c>
      <c r="F112" s="31" t="str">
        <f t="shared" si="6"/>
        <v/>
      </c>
      <c r="G112" s="31" t="str">
        <f t="shared" si="7"/>
        <v/>
      </c>
      <c r="H112" s="31" t="str">
        <f t="shared" si="8"/>
        <v/>
      </c>
      <c r="I112" s="31" t="str">
        <f t="shared" si="9"/>
        <v/>
      </c>
      <c r="J112" s="18"/>
    </row>
    <row r="113" spans="1:10" x14ac:dyDescent="0.45">
      <c r="A113" s="17"/>
      <c r="B113" s="18"/>
      <c r="C113" s="20"/>
      <c r="D113" s="20"/>
      <c r="E113" s="31" t="str">
        <f t="shared" si="5"/>
        <v/>
      </c>
      <c r="F113" s="31" t="str">
        <f t="shared" si="6"/>
        <v/>
      </c>
      <c r="G113" s="31" t="str">
        <f t="shared" si="7"/>
        <v/>
      </c>
      <c r="H113" s="31" t="str">
        <f t="shared" si="8"/>
        <v/>
      </c>
      <c r="I113" s="31" t="str">
        <f t="shared" si="9"/>
        <v/>
      </c>
      <c r="J113" s="18"/>
    </row>
    <row r="114" spans="1:10" x14ac:dyDescent="0.45">
      <c r="A114" s="17"/>
      <c r="B114" s="18"/>
      <c r="C114" s="20"/>
      <c r="D114" s="20"/>
      <c r="E114" s="31" t="str">
        <f t="shared" si="5"/>
        <v/>
      </c>
      <c r="F114" s="31" t="str">
        <f t="shared" si="6"/>
        <v/>
      </c>
      <c r="G114" s="31" t="str">
        <f t="shared" si="7"/>
        <v/>
      </c>
      <c r="H114" s="31" t="str">
        <f t="shared" si="8"/>
        <v/>
      </c>
      <c r="I114" s="31" t="str">
        <f t="shared" si="9"/>
        <v/>
      </c>
      <c r="J114" s="18"/>
    </row>
    <row r="115" spans="1:10" x14ac:dyDescent="0.45">
      <c r="A115" s="17"/>
      <c r="B115" s="18"/>
      <c r="C115" s="20"/>
      <c r="D115" s="20"/>
      <c r="E115" s="31" t="str">
        <f t="shared" si="5"/>
        <v/>
      </c>
      <c r="F115" s="31" t="str">
        <f t="shared" si="6"/>
        <v/>
      </c>
      <c r="G115" s="31" t="str">
        <f t="shared" si="7"/>
        <v/>
      </c>
      <c r="H115" s="31" t="str">
        <f t="shared" si="8"/>
        <v/>
      </c>
      <c r="I115" s="31" t="str">
        <f t="shared" si="9"/>
        <v/>
      </c>
      <c r="J115" s="18"/>
    </row>
    <row r="116" spans="1:10" x14ac:dyDescent="0.45">
      <c r="A116" s="17"/>
      <c r="B116" s="18"/>
      <c r="C116" s="20"/>
      <c r="D116" s="20"/>
      <c r="E116" s="31" t="str">
        <f t="shared" si="5"/>
        <v/>
      </c>
      <c r="F116" s="31" t="str">
        <f t="shared" si="6"/>
        <v/>
      </c>
      <c r="G116" s="31" t="str">
        <f t="shared" si="7"/>
        <v/>
      </c>
      <c r="H116" s="31" t="str">
        <f t="shared" si="8"/>
        <v/>
      </c>
      <c r="I116" s="31" t="str">
        <f t="shared" si="9"/>
        <v/>
      </c>
      <c r="J116" s="18"/>
    </row>
    <row r="117" spans="1:10" x14ac:dyDescent="0.45">
      <c r="A117" s="17"/>
      <c r="B117" s="18"/>
      <c r="C117" s="20"/>
      <c r="D117" s="20"/>
      <c r="E117" s="31" t="str">
        <f t="shared" si="5"/>
        <v/>
      </c>
      <c r="F117" s="31" t="str">
        <f t="shared" si="6"/>
        <v/>
      </c>
      <c r="G117" s="31" t="str">
        <f t="shared" si="7"/>
        <v/>
      </c>
      <c r="H117" s="31" t="str">
        <f t="shared" si="8"/>
        <v/>
      </c>
      <c r="I117" s="31" t="str">
        <f t="shared" si="9"/>
        <v/>
      </c>
      <c r="J117" s="18"/>
    </row>
    <row r="118" spans="1:10" x14ac:dyDescent="0.45">
      <c r="A118" s="17"/>
      <c r="B118" s="18"/>
      <c r="C118" s="20"/>
      <c r="D118" s="20"/>
      <c r="E118" s="31" t="str">
        <f t="shared" si="5"/>
        <v/>
      </c>
      <c r="F118" s="31" t="str">
        <f t="shared" si="6"/>
        <v/>
      </c>
      <c r="G118" s="31" t="str">
        <f t="shared" si="7"/>
        <v/>
      </c>
      <c r="H118" s="31" t="str">
        <f t="shared" si="8"/>
        <v/>
      </c>
      <c r="I118" s="31" t="str">
        <f t="shared" si="9"/>
        <v/>
      </c>
      <c r="J118" s="18"/>
    </row>
    <row r="119" spans="1:10" x14ac:dyDescent="0.45">
      <c r="A119" s="17"/>
      <c r="B119" s="18"/>
      <c r="C119" s="20"/>
      <c r="D119" s="20"/>
      <c r="E119" s="31" t="str">
        <f t="shared" si="5"/>
        <v/>
      </c>
      <c r="F119" s="31" t="str">
        <f t="shared" si="6"/>
        <v/>
      </c>
      <c r="G119" s="31" t="str">
        <f t="shared" si="7"/>
        <v/>
      </c>
      <c r="H119" s="31" t="str">
        <f t="shared" si="8"/>
        <v/>
      </c>
      <c r="I119" s="31" t="str">
        <f t="shared" si="9"/>
        <v/>
      </c>
      <c r="J119" s="18"/>
    </row>
    <row r="120" spans="1:10" x14ac:dyDescent="0.45">
      <c r="A120" s="17"/>
      <c r="B120" s="18"/>
      <c r="C120" s="20"/>
      <c r="D120" s="20"/>
      <c r="E120" s="31" t="str">
        <f t="shared" si="5"/>
        <v/>
      </c>
      <c r="F120" s="31" t="str">
        <f t="shared" si="6"/>
        <v/>
      </c>
      <c r="G120" s="31" t="str">
        <f t="shared" si="7"/>
        <v/>
      </c>
      <c r="H120" s="31" t="str">
        <f t="shared" si="8"/>
        <v/>
      </c>
      <c r="I120" s="31" t="str">
        <f t="shared" si="9"/>
        <v/>
      </c>
      <c r="J120" s="18"/>
    </row>
    <row r="121" spans="1:10" x14ac:dyDescent="0.45">
      <c r="A121" s="17"/>
      <c r="B121" s="18"/>
      <c r="C121" s="20"/>
      <c r="D121" s="20"/>
      <c r="E121" s="31" t="str">
        <f t="shared" si="5"/>
        <v/>
      </c>
      <c r="F121" s="31" t="str">
        <f t="shared" si="6"/>
        <v/>
      </c>
      <c r="G121" s="31" t="str">
        <f t="shared" si="7"/>
        <v/>
      </c>
      <c r="H121" s="31" t="str">
        <f t="shared" si="8"/>
        <v/>
      </c>
      <c r="I121" s="31" t="str">
        <f t="shared" si="9"/>
        <v/>
      </c>
      <c r="J121" s="18"/>
    </row>
    <row r="122" spans="1:10" x14ac:dyDescent="0.45">
      <c r="A122" s="17"/>
      <c r="B122" s="18"/>
      <c r="C122" s="20"/>
      <c r="D122" s="20"/>
      <c r="E122" s="31" t="str">
        <f t="shared" si="5"/>
        <v/>
      </c>
      <c r="F122" s="31" t="str">
        <f t="shared" si="6"/>
        <v/>
      </c>
      <c r="G122" s="31" t="str">
        <f t="shared" si="7"/>
        <v/>
      </c>
      <c r="H122" s="31" t="str">
        <f t="shared" si="8"/>
        <v/>
      </c>
      <c r="I122" s="31" t="str">
        <f t="shared" si="9"/>
        <v/>
      </c>
      <c r="J122" s="18"/>
    </row>
    <row r="123" spans="1:10" x14ac:dyDescent="0.45">
      <c r="A123" s="17"/>
      <c r="B123" s="18"/>
      <c r="C123" s="20"/>
      <c r="D123" s="20"/>
      <c r="E123" s="31" t="str">
        <f t="shared" si="5"/>
        <v/>
      </c>
      <c r="F123" s="31" t="str">
        <f t="shared" si="6"/>
        <v/>
      </c>
      <c r="G123" s="31" t="str">
        <f t="shared" si="7"/>
        <v/>
      </c>
      <c r="H123" s="31" t="str">
        <f t="shared" si="8"/>
        <v/>
      </c>
      <c r="I123" s="31" t="str">
        <f t="shared" si="9"/>
        <v/>
      </c>
      <c r="J123" s="18"/>
    </row>
    <row r="124" spans="1:10" x14ac:dyDescent="0.45">
      <c r="A124" s="17"/>
      <c r="B124" s="18"/>
      <c r="C124" s="20"/>
      <c r="D124" s="20"/>
      <c r="E124" s="31" t="str">
        <f t="shared" si="5"/>
        <v/>
      </c>
      <c r="F124" s="31" t="str">
        <f t="shared" si="6"/>
        <v/>
      </c>
      <c r="G124" s="31" t="str">
        <f t="shared" si="7"/>
        <v/>
      </c>
      <c r="H124" s="31" t="str">
        <f t="shared" si="8"/>
        <v/>
      </c>
      <c r="I124" s="31" t="str">
        <f t="shared" si="9"/>
        <v/>
      </c>
      <c r="J124" s="18"/>
    </row>
    <row r="125" spans="1:10" x14ac:dyDescent="0.45">
      <c r="A125" s="17"/>
      <c r="B125" s="18"/>
      <c r="C125" s="20"/>
      <c r="D125" s="20"/>
      <c r="E125" s="31" t="str">
        <f t="shared" si="5"/>
        <v/>
      </c>
      <c r="F125" s="31" t="str">
        <f t="shared" si="6"/>
        <v/>
      </c>
      <c r="G125" s="31" t="str">
        <f t="shared" si="7"/>
        <v/>
      </c>
      <c r="H125" s="31" t="str">
        <f t="shared" si="8"/>
        <v/>
      </c>
      <c r="I125" s="31" t="str">
        <f t="shared" si="9"/>
        <v/>
      </c>
      <c r="J125" s="18"/>
    </row>
    <row r="126" spans="1:10" x14ac:dyDescent="0.45">
      <c r="A126" s="17"/>
      <c r="B126" s="18"/>
      <c r="C126" s="20"/>
      <c r="D126" s="20"/>
      <c r="E126" s="31" t="str">
        <f t="shared" si="5"/>
        <v/>
      </c>
      <c r="F126" s="31" t="str">
        <f t="shared" si="6"/>
        <v/>
      </c>
      <c r="G126" s="31" t="str">
        <f t="shared" si="7"/>
        <v/>
      </c>
      <c r="H126" s="31" t="str">
        <f t="shared" si="8"/>
        <v/>
      </c>
      <c r="I126" s="31" t="str">
        <f t="shared" si="9"/>
        <v/>
      </c>
      <c r="J126" s="18"/>
    </row>
    <row r="127" spans="1:10" x14ac:dyDescent="0.45">
      <c r="A127" s="17"/>
      <c r="B127" s="18"/>
      <c r="C127" s="20"/>
      <c r="D127" s="20"/>
      <c r="E127" s="31" t="str">
        <f t="shared" si="5"/>
        <v/>
      </c>
      <c r="F127" s="31" t="str">
        <f t="shared" si="6"/>
        <v/>
      </c>
      <c r="G127" s="31" t="str">
        <f t="shared" si="7"/>
        <v/>
      </c>
      <c r="H127" s="31" t="str">
        <f t="shared" si="8"/>
        <v/>
      </c>
      <c r="I127" s="31" t="str">
        <f t="shared" si="9"/>
        <v/>
      </c>
      <c r="J127" s="18"/>
    </row>
    <row r="128" spans="1:10" x14ac:dyDescent="0.45">
      <c r="A128" s="17"/>
      <c r="B128" s="18"/>
      <c r="C128" s="20"/>
      <c r="D128" s="20"/>
      <c r="E128" s="31" t="str">
        <f t="shared" si="5"/>
        <v/>
      </c>
      <c r="F128" s="31" t="str">
        <f t="shared" si="6"/>
        <v/>
      </c>
      <c r="G128" s="31" t="str">
        <f t="shared" si="7"/>
        <v/>
      </c>
      <c r="H128" s="31" t="str">
        <f t="shared" si="8"/>
        <v/>
      </c>
      <c r="I128" s="31" t="str">
        <f t="shared" si="9"/>
        <v/>
      </c>
      <c r="J128" s="18"/>
    </row>
    <row r="129" spans="1:10" x14ac:dyDescent="0.45">
      <c r="A129" s="17"/>
      <c r="B129" s="18"/>
      <c r="C129" s="20"/>
      <c r="D129" s="20"/>
      <c r="E129" s="31" t="str">
        <f t="shared" si="5"/>
        <v/>
      </c>
      <c r="F129" s="31" t="str">
        <f t="shared" si="6"/>
        <v/>
      </c>
      <c r="G129" s="31" t="str">
        <f t="shared" si="7"/>
        <v/>
      </c>
      <c r="H129" s="31" t="str">
        <f t="shared" si="8"/>
        <v/>
      </c>
      <c r="I129" s="31" t="str">
        <f t="shared" si="9"/>
        <v/>
      </c>
      <c r="J129" s="18"/>
    </row>
    <row r="130" spans="1:10" x14ac:dyDescent="0.45">
      <c r="A130" s="17"/>
      <c r="B130" s="18"/>
      <c r="C130" s="20"/>
      <c r="D130" s="20"/>
      <c r="E130" s="31" t="str">
        <f t="shared" si="5"/>
        <v/>
      </c>
      <c r="F130" s="31" t="str">
        <f t="shared" si="6"/>
        <v/>
      </c>
      <c r="G130" s="31" t="str">
        <f t="shared" si="7"/>
        <v/>
      </c>
      <c r="H130" s="31" t="str">
        <f t="shared" si="8"/>
        <v/>
      </c>
      <c r="I130" s="31" t="str">
        <f t="shared" si="9"/>
        <v/>
      </c>
      <c r="J130" s="18"/>
    </row>
    <row r="131" spans="1:10" x14ac:dyDescent="0.45">
      <c r="A131" s="17"/>
      <c r="B131" s="18"/>
      <c r="C131" s="20"/>
      <c r="D131" s="20"/>
      <c r="E131" s="31" t="str">
        <f t="shared" si="5"/>
        <v/>
      </c>
      <c r="F131" s="31" t="str">
        <f t="shared" si="6"/>
        <v/>
      </c>
      <c r="G131" s="31" t="str">
        <f t="shared" si="7"/>
        <v/>
      </c>
      <c r="H131" s="31" t="str">
        <f t="shared" si="8"/>
        <v/>
      </c>
      <c r="I131" s="31" t="str">
        <f t="shared" si="9"/>
        <v/>
      </c>
      <c r="J131" s="18"/>
    </row>
    <row r="132" spans="1:10" x14ac:dyDescent="0.45">
      <c r="A132" s="17"/>
      <c r="B132" s="18"/>
      <c r="C132" s="20"/>
      <c r="D132" s="20"/>
      <c r="E132" s="31" t="str">
        <f t="shared" si="5"/>
        <v/>
      </c>
      <c r="F132" s="31" t="str">
        <f t="shared" si="6"/>
        <v/>
      </c>
      <c r="G132" s="31" t="str">
        <f t="shared" si="7"/>
        <v/>
      </c>
      <c r="H132" s="31" t="str">
        <f t="shared" si="8"/>
        <v/>
      </c>
      <c r="I132" s="31" t="str">
        <f t="shared" si="9"/>
        <v/>
      </c>
      <c r="J132" s="18"/>
    </row>
    <row r="133" spans="1:10" x14ac:dyDescent="0.45">
      <c r="A133" s="17"/>
      <c r="B133" s="18"/>
      <c r="C133" s="20"/>
      <c r="D133" s="20"/>
      <c r="E133" s="31" t="str">
        <f t="shared" ref="E133:E196" si="10">IF(OR(A133="",C133="",D133=""),"",ROUND(MAX(0,MIN((D133+(C133&lt;4/24)+(D133&lt;C133)),8/24)-MAX((C133+(C133&lt;4/24)),4/24))*24,2))</f>
        <v/>
      </c>
      <c r="F133" s="31" t="str">
        <f t="shared" ref="F133:F196" si="11">IF(OR(A133="",C133="",D133=""),"",ROUND(MAX(0,MIN((D133+(C133&lt;4/24)+(D133&lt;C133)),22/24)-MAX((C133+(C133&lt;4/24)),17/24))*24,2))</f>
        <v/>
      </c>
      <c r="G133" s="31" t="str">
        <f t="shared" ref="G133:G196" si="12">IF(OR(A133="",C133="",D133=""),"",ROUND(MAX(0,MIN((D133+(C133&lt;4/24)+(D133&lt;C133)),1)-MAX((C133+(C133&lt;4/24)),22/24))*24,2))</f>
        <v/>
      </c>
      <c r="H133" s="31" t="str">
        <f t="shared" ref="H133:H196" si="13">IF(OR(A133="",C133="",D133=""),"",ROUND(MAX(0,MIN((D133+(C133&lt;4/24)+(D133&lt;C133)),28/24)-MAX((C133+(C133&lt;4/24)),1))*24,2))</f>
        <v/>
      </c>
      <c r="I133" s="31" t="str">
        <f t="shared" ref="I133:I196" si="14">IF(OR(A133="",C133="",D133=""),"",SUM(E133:H133))</f>
        <v/>
      </c>
      <c r="J133" s="18"/>
    </row>
    <row r="134" spans="1:10" x14ac:dyDescent="0.45">
      <c r="A134" s="17"/>
      <c r="B134" s="18"/>
      <c r="C134" s="20"/>
      <c r="D134" s="20"/>
      <c r="E134" s="31" t="str">
        <f t="shared" si="10"/>
        <v/>
      </c>
      <c r="F134" s="31" t="str">
        <f t="shared" si="11"/>
        <v/>
      </c>
      <c r="G134" s="31" t="str">
        <f t="shared" si="12"/>
        <v/>
      </c>
      <c r="H134" s="31" t="str">
        <f t="shared" si="13"/>
        <v/>
      </c>
      <c r="I134" s="31" t="str">
        <f t="shared" si="14"/>
        <v/>
      </c>
      <c r="J134" s="18"/>
    </row>
    <row r="135" spans="1:10" x14ac:dyDescent="0.45">
      <c r="A135" s="17"/>
      <c r="B135" s="18"/>
      <c r="C135" s="20"/>
      <c r="D135" s="20"/>
      <c r="E135" s="31" t="str">
        <f t="shared" si="10"/>
        <v/>
      </c>
      <c r="F135" s="31" t="str">
        <f t="shared" si="11"/>
        <v/>
      </c>
      <c r="G135" s="31" t="str">
        <f t="shared" si="12"/>
        <v/>
      </c>
      <c r="H135" s="31" t="str">
        <f t="shared" si="13"/>
        <v/>
      </c>
      <c r="I135" s="31" t="str">
        <f t="shared" si="14"/>
        <v/>
      </c>
      <c r="J135" s="18"/>
    </row>
    <row r="136" spans="1:10" x14ac:dyDescent="0.45">
      <c r="A136" s="17"/>
      <c r="B136" s="18"/>
      <c r="C136" s="20"/>
      <c r="D136" s="20"/>
      <c r="E136" s="31" t="str">
        <f t="shared" si="10"/>
        <v/>
      </c>
      <c r="F136" s="31" t="str">
        <f t="shared" si="11"/>
        <v/>
      </c>
      <c r="G136" s="31" t="str">
        <f t="shared" si="12"/>
        <v/>
      </c>
      <c r="H136" s="31" t="str">
        <f t="shared" si="13"/>
        <v/>
      </c>
      <c r="I136" s="31" t="str">
        <f t="shared" si="14"/>
        <v/>
      </c>
      <c r="J136" s="18"/>
    </row>
    <row r="137" spans="1:10" x14ac:dyDescent="0.45">
      <c r="A137" s="17"/>
      <c r="B137" s="18"/>
      <c r="C137" s="20"/>
      <c r="D137" s="20"/>
      <c r="E137" s="31" t="str">
        <f t="shared" si="10"/>
        <v/>
      </c>
      <c r="F137" s="31" t="str">
        <f t="shared" si="11"/>
        <v/>
      </c>
      <c r="G137" s="31" t="str">
        <f t="shared" si="12"/>
        <v/>
      </c>
      <c r="H137" s="31" t="str">
        <f t="shared" si="13"/>
        <v/>
      </c>
      <c r="I137" s="31" t="str">
        <f t="shared" si="14"/>
        <v/>
      </c>
      <c r="J137" s="18"/>
    </row>
    <row r="138" spans="1:10" x14ac:dyDescent="0.45">
      <c r="A138" s="17"/>
      <c r="B138" s="18"/>
      <c r="C138" s="20"/>
      <c r="D138" s="20"/>
      <c r="E138" s="31" t="str">
        <f t="shared" si="10"/>
        <v/>
      </c>
      <c r="F138" s="31" t="str">
        <f t="shared" si="11"/>
        <v/>
      </c>
      <c r="G138" s="31" t="str">
        <f t="shared" si="12"/>
        <v/>
      </c>
      <c r="H138" s="31" t="str">
        <f t="shared" si="13"/>
        <v/>
      </c>
      <c r="I138" s="31" t="str">
        <f t="shared" si="14"/>
        <v/>
      </c>
      <c r="J138" s="18"/>
    </row>
    <row r="139" spans="1:10" x14ac:dyDescent="0.45">
      <c r="A139" s="17"/>
      <c r="B139" s="18"/>
      <c r="C139" s="20"/>
      <c r="D139" s="20"/>
      <c r="E139" s="31" t="str">
        <f t="shared" si="10"/>
        <v/>
      </c>
      <c r="F139" s="31" t="str">
        <f t="shared" si="11"/>
        <v/>
      </c>
      <c r="G139" s="31" t="str">
        <f t="shared" si="12"/>
        <v/>
      </c>
      <c r="H139" s="31" t="str">
        <f t="shared" si="13"/>
        <v/>
      </c>
      <c r="I139" s="31" t="str">
        <f t="shared" si="14"/>
        <v/>
      </c>
      <c r="J139" s="18"/>
    </row>
    <row r="140" spans="1:10" x14ac:dyDescent="0.45">
      <c r="A140" s="17"/>
      <c r="B140" s="18"/>
      <c r="C140" s="20"/>
      <c r="D140" s="20"/>
      <c r="E140" s="31" t="str">
        <f t="shared" si="10"/>
        <v/>
      </c>
      <c r="F140" s="31" t="str">
        <f t="shared" si="11"/>
        <v/>
      </c>
      <c r="G140" s="31" t="str">
        <f t="shared" si="12"/>
        <v/>
      </c>
      <c r="H140" s="31" t="str">
        <f t="shared" si="13"/>
        <v/>
      </c>
      <c r="I140" s="31" t="str">
        <f t="shared" si="14"/>
        <v/>
      </c>
      <c r="J140" s="18"/>
    </row>
    <row r="141" spans="1:10" x14ac:dyDescent="0.45">
      <c r="A141" s="17"/>
      <c r="B141" s="18"/>
      <c r="C141" s="20"/>
      <c r="D141" s="20"/>
      <c r="E141" s="31" t="str">
        <f t="shared" si="10"/>
        <v/>
      </c>
      <c r="F141" s="31" t="str">
        <f t="shared" si="11"/>
        <v/>
      </c>
      <c r="G141" s="31" t="str">
        <f t="shared" si="12"/>
        <v/>
      </c>
      <c r="H141" s="31" t="str">
        <f t="shared" si="13"/>
        <v/>
      </c>
      <c r="I141" s="31" t="str">
        <f t="shared" si="14"/>
        <v/>
      </c>
      <c r="J141" s="18"/>
    </row>
    <row r="142" spans="1:10" x14ac:dyDescent="0.45">
      <c r="A142" s="17"/>
      <c r="B142" s="18"/>
      <c r="C142" s="20"/>
      <c r="D142" s="20"/>
      <c r="E142" s="31" t="str">
        <f t="shared" si="10"/>
        <v/>
      </c>
      <c r="F142" s="31" t="str">
        <f t="shared" si="11"/>
        <v/>
      </c>
      <c r="G142" s="31" t="str">
        <f t="shared" si="12"/>
        <v/>
      </c>
      <c r="H142" s="31" t="str">
        <f t="shared" si="13"/>
        <v/>
      </c>
      <c r="I142" s="31" t="str">
        <f t="shared" si="14"/>
        <v/>
      </c>
      <c r="J142" s="18"/>
    </row>
    <row r="143" spans="1:10" x14ac:dyDescent="0.45">
      <c r="A143" s="17"/>
      <c r="B143" s="18"/>
      <c r="C143" s="20"/>
      <c r="D143" s="20"/>
      <c r="E143" s="31" t="str">
        <f t="shared" si="10"/>
        <v/>
      </c>
      <c r="F143" s="31" t="str">
        <f t="shared" si="11"/>
        <v/>
      </c>
      <c r="G143" s="31" t="str">
        <f t="shared" si="12"/>
        <v/>
      </c>
      <c r="H143" s="31" t="str">
        <f t="shared" si="13"/>
        <v/>
      </c>
      <c r="I143" s="31" t="str">
        <f t="shared" si="14"/>
        <v/>
      </c>
      <c r="J143" s="18"/>
    </row>
    <row r="144" spans="1:10" x14ac:dyDescent="0.45">
      <c r="A144" s="17"/>
      <c r="B144" s="18"/>
      <c r="C144" s="20"/>
      <c r="D144" s="20"/>
      <c r="E144" s="31" t="str">
        <f t="shared" si="10"/>
        <v/>
      </c>
      <c r="F144" s="31" t="str">
        <f t="shared" si="11"/>
        <v/>
      </c>
      <c r="G144" s="31" t="str">
        <f t="shared" si="12"/>
        <v/>
      </c>
      <c r="H144" s="31" t="str">
        <f t="shared" si="13"/>
        <v/>
      </c>
      <c r="I144" s="31" t="str">
        <f t="shared" si="14"/>
        <v/>
      </c>
      <c r="J144" s="18"/>
    </row>
    <row r="145" spans="1:10" x14ac:dyDescent="0.45">
      <c r="A145" s="17"/>
      <c r="B145" s="18"/>
      <c r="C145" s="20"/>
      <c r="D145" s="20"/>
      <c r="E145" s="31" t="str">
        <f t="shared" si="10"/>
        <v/>
      </c>
      <c r="F145" s="31" t="str">
        <f t="shared" si="11"/>
        <v/>
      </c>
      <c r="G145" s="31" t="str">
        <f t="shared" si="12"/>
        <v/>
      </c>
      <c r="H145" s="31" t="str">
        <f t="shared" si="13"/>
        <v/>
      </c>
      <c r="I145" s="31" t="str">
        <f t="shared" si="14"/>
        <v/>
      </c>
      <c r="J145" s="18"/>
    </row>
    <row r="146" spans="1:10" x14ac:dyDescent="0.45">
      <c r="A146" s="17"/>
      <c r="B146" s="18"/>
      <c r="C146" s="20"/>
      <c r="D146" s="20"/>
      <c r="E146" s="31" t="str">
        <f t="shared" si="10"/>
        <v/>
      </c>
      <c r="F146" s="31" t="str">
        <f t="shared" si="11"/>
        <v/>
      </c>
      <c r="G146" s="31" t="str">
        <f t="shared" si="12"/>
        <v/>
      </c>
      <c r="H146" s="31" t="str">
        <f t="shared" si="13"/>
        <v/>
      </c>
      <c r="I146" s="31" t="str">
        <f t="shared" si="14"/>
        <v/>
      </c>
      <c r="J146" s="18"/>
    </row>
    <row r="147" spans="1:10" x14ac:dyDescent="0.45">
      <c r="A147" s="17"/>
      <c r="B147" s="18"/>
      <c r="C147" s="20"/>
      <c r="D147" s="20"/>
      <c r="E147" s="31" t="str">
        <f t="shared" si="10"/>
        <v/>
      </c>
      <c r="F147" s="31" t="str">
        <f t="shared" si="11"/>
        <v/>
      </c>
      <c r="G147" s="31" t="str">
        <f t="shared" si="12"/>
        <v/>
      </c>
      <c r="H147" s="31" t="str">
        <f t="shared" si="13"/>
        <v/>
      </c>
      <c r="I147" s="31" t="str">
        <f t="shared" si="14"/>
        <v/>
      </c>
      <c r="J147" s="18"/>
    </row>
    <row r="148" spans="1:10" x14ac:dyDescent="0.45">
      <c r="A148" s="17"/>
      <c r="B148" s="18"/>
      <c r="C148" s="20"/>
      <c r="D148" s="20"/>
      <c r="E148" s="31" t="str">
        <f t="shared" si="10"/>
        <v/>
      </c>
      <c r="F148" s="31" t="str">
        <f t="shared" si="11"/>
        <v/>
      </c>
      <c r="G148" s="31" t="str">
        <f t="shared" si="12"/>
        <v/>
      </c>
      <c r="H148" s="31" t="str">
        <f t="shared" si="13"/>
        <v/>
      </c>
      <c r="I148" s="31" t="str">
        <f t="shared" si="14"/>
        <v/>
      </c>
      <c r="J148" s="18"/>
    </row>
    <row r="149" spans="1:10" x14ac:dyDescent="0.45">
      <c r="A149" s="17"/>
      <c r="B149" s="18"/>
      <c r="C149" s="20"/>
      <c r="D149" s="20"/>
      <c r="E149" s="31" t="str">
        <f t="shared" si="10"/>
        <v/>
      </c>
      <c r="F149" s="31" t="str">
        <f t="shared" si="11"/>
        <v/>
      </c>
      <c r="G149" s="31" t="str">
        <f t="shared" si="12"/>
        <v/>
      </c>
      <c r="H149" s="31" t="str">
        <f t="shared" si="13"/>
        <v/>
      </c>
      <c r="I149" s="31" t="str">
        <f t="shared" si="14"/>
        <v/>
      </c>
      <c r="J149" s="18"/>
    </row>
    <row r="150" spans="1:10" x14ac:dyDescent="0.45">
      <c r="A150" s="17"/>
      <c r="B150" s="18"/>
      <c r="C150" s="20"/>
      <c r="D150" s="20"/>
      <c r="E150" s="31" t="str">
        <f t="shared" si="10"/>
        <v/>
      </c>
      <c r="F150" s="31" t="str">
        <f t="shared" si="11"/>
        <v/>
      </c>
      <c r="G150" s="31" t="str">
        <f t="shared" si="12"/>
        <v/>
      </c>
      <c r="H150" s="31" t="str">
        <f t="shared" si="13"/>
        <v/>
      </c>
      <c r="I150" s="31" t="str">
        <f t="shared" si="14"/>
        <v/>
      </c>
      <c r="J150" s="18"/>
    </row>
    <row r="151" spans="1:10" x14ac:dyDescent="0.45">
      <c r="A151" s="17"/>
      <c r="B151" s="18"/>
      <c r="C151" s="20"/>
      <c r="D151" s="20"/>
      <c r="E151" s="31" t="str">
        <f t="shared" si="10"/>
        <v/>
      </c>
      <c r="F151" s="31" t="str">
        <f t="shared" si="11"/>
        <v/>
      </c>
      <c r="G151" s="31" t="str">
        <f t="shared" si="12"/>
        <v/>
      </c>
      <c r="H151" s="31" t="str">
        <f t="shared" si="13"/>
        <v/>
      </c>
      <c r="I151" s="31" t="str">
        <f t="shared" si="14"/>
        <v/>
      </c>
      <c r="J151" s="18"/>
    </row>
    <row r="152" spans="1:10" x14ac:dyDescent="0.45">
      <c r="A152" s="17"/>
      <c r="B152" s="18"/>
      <c r="C152" s="20"/>
      <c r="D152" s="20"/>
      <c r="E152" s="31" t="str">
        <f t="shared" si="10"/>
        <v/>
      </c>
      <c r="F152" s="31" t="str">
        <f t="shared" si="11"/>
        <v/>
      </c>
      <c r="G152" s="31" t="str">
        <f t="shared" si="12"/>
        <v/>
      </c>
      <c r="H152" s="31" t="str">
        <f t="shared" si="13"/>
        <v/>
      </c>
      <c r="I152" s="31" t="str">
        <f t="shared" si="14"/>
        <v/>
      </c>
      <c r="J152" s="18"/>
    </row>
    <row r="153" spans="1:10" x14ac:dyDescent="0.45">
      <c r="A153" s="17"/>
      <c r="B153" s="18"/>
      <c r="C153" s="20"/>
      <c r="D153" s="20"/>
      <c r="E153" s="31" t="str">
        <f t="shared" si="10"/>
        <v/>
      </c>
      <c r="F153" s="31" t="str">
        <f t="shared" si="11"/>
        <v/>
      </c>
      <c r="G153" s="31" t="str">
        <f t="shared" si="12"/>
        <v/>
      </c>
      <c r="H153" s="31" t="str">
        <f t="shared" si="13"/>
        <v/>
      </c>
      <c r="I153" s="31" t="str">
        <f t="shared" si="14"/>
        <v/>
      </c>
      <c r="J153" s="18"/>
    </row>
    <row r="154" spans="1:10" x14ac:dyDescent="0.45">
      <c r="A154" s="17"/>
      <c r="B154" s="18"/>
      <c r="C154" s="20"/>
      <c r="D154" s="20"/>
      <c r="E154" s="31" t="str">
        <f t="shared" si="10"/>
        <v/>
      </c>
      <c r="F154" s="31" t="str">
        <f t="shared" si="11"/>
        <v/>
      </c>
      <c r="G154" s="31" t="str">
        <f t="shared" si="12"/>
        <v/>
      </c>
      <c r="H154" s="31" t="str">
        <f t="shared" si="13"/>
        <v/>
      </c>
      <c r="I154" s="31" t="str">
        <f t="shared" si="14"/>
        <v/>
      </c>
      <c r="J154" s="18"/>
    </row>
    <row r="155" spans="1:10" x14ac:dyDescent="0.45">
      <c r="A155" s="17"/>
      <c r="B155" s="18"/>
      <c r="C155" s="20"/>
      <c r="D155" s="20"/>
      <c r="E155" s="31" t="str">
        <f t="shared" si="10"/>
        <v/>
      </c>
      <c r="F155" s="31" t="str">
        <f t="shared" si="11"/>
        <v/>
      </c>
      <c r="G155" s="31" t="str">
        <f t="shared" si="12"/>
        <v/>
      </c>
      <c r="H155" s="31" t="str">
        <f t="shared" si="13"/>
        <v/>
      </c>
      <c r="I155" s="31" t="str">
        <f t="shared" si="14"/>
        <v/>
      </c>
      <c r="J155" s="18"/>
    </row>
    <row r="156" spans="1:10" x14ac:dyDescent="0.45">
      <c r="A156" s="17"/>
      <c r="B156" s="18"/>
      <c r="C156" s="20"/>
      <c r="D156" s="20"/>
      <c r="E156" s="31" t="str">
        <f t="shared" si="10"/>
        <v/>
      </c>
      <c r="F156" s="31" t="str">
        <f t="shared" si="11"/>
        <v/>
      </c>
      <c r="G156" s="31" t="str">
        <f t="shared" si="12"/>
        <v/>
      </c>
      <c r="H156" s="31" t="str">
        <f t="shared" si="13"/>
        <v/>
      </c>
      <c r="I156" s="31" t="str">
        <f t="shared" si="14"/>
        <v/>
      </c>
      <c r="J156" s="18"/>
    </row>
    <row r="157" spans="1:10" x14ac:dyDescent="0.45">
      <c r="A157" s="17"/>
      <c r="B157" s="18"/>
      <c r="C157" s="20"/>
      <c r="D157" s="20"/>
      <c r="E157" s="31" t="str">
        <f t="shared" si="10"/>
        <v/>
      </c>
      <c r="F157" s="31" t="str">
        <f t="shared" si="11"/>
        <v/>
      </c>
      <c r="G157" s="31" t="str">
        <f t="shared" si="12"/>
        <v/>
      </c>
      <c r="H157" s="31" t="str">
        <f t="shared" si="13"/>
        <v/>
      </c>
      <c r="I157" s="31" t="str">
        <f t="shared" si="14"/>
        <v/>
      </c>
      <c r="J157" s="18"/>
    </row>
    <row r="158" spans="1:10" x14ac:dyDescent="0.45">
      <c r="A158" s="17"/>
      <c r="B158" s="18"/>
      <c r="C158" s="20"/>
      <c r="D158" s="20"/>
      <c r="E158" s="31" t="str">
        <f t="shared" si="10"/>
        <v/>
      </c>
      <c r="F158" s="31" t="str">
        <f t="shared" si="11"/>
        <v/>
      </c>
      <c r="G158" s="31" t="str">
        <f t="shared" si="12"/>
        <v/>
      </c>
      <c r="H158" s="31" t="str">
        <f t="shared" si="13"/>
        <v/>
      </c>
      <c r="I158" s="31" t="str">
        <f t="shared" si="14"/>
        <v/>
      </c>
      <c r="J158" s="18"/>
    </row>
    <row r="159" spans="1:10" x14ac:dyDescent="0.45">
      <c r="A159" s="17"/>
      <c r="B159" s="18"/>
      <c r="C159" s="20"/>
      <c r="D159" s="20"/>
      <c r="E159" s="31" t="str">
        <f t="shared" si="10"/>
        <v/>
      </c>
      <c r="F159" s="31" t="str">
        <f t="shared" si="11"/>
        <v/>
      </c>
      <c r="G159" s="31" t="str">
        <f t="shared" si="12"/>
        <v/>
      </c>
      <c r="H159" s="31" t="str">
        <f t="shared" si="13"/>
        <v/>
      </c>
      <c r="I159" s="31" t="str">
        <f t="shared" si="14"/>
        <v/>
      </c>
      <c r="J159" s="18"/>
    </row>
    <row r="160" spans="1:10" x14ac:dyDescent="0.45">
      <c r="A160" s="17"/>
      <c r="B160" s="18"/>
      <c r="C160" s="20"/>
      <c r="D160" s="20"/>
      <c r="E160" s="31" t="str">
        <f t="shared" si="10"/>
        <v/>
      </c>
      <c r="F160" s="31" t="str">
        <f t="shared" si="11"/>
        <v/>
      </c>
      <c r="G160" s="31" t="str">
        <f t="shared" si="12"/>
        <v/>
      </c>
      <c r="H160" s="31" t="str">
        <f t="shared" si="13"/>
        <v/>
      </c>
      <c r="I160" s="31" t="str">
        <f t="shared" si="14"/>
        <v/>
      </c>
      <c r="J160" s="18"/>
    </row>
    <row r="161" spans="1:10" x14ac:dyDescent="0.45">
      <c r="A161" s="17"/>
      <c r="B161" s="18"/>
      <c r="C161" s="20"/>
      <c r="D161" s="20"/>
      <c r="E161" s="31" t="str">
        <f t="shared" si="10"/>
        <v/>
      </c>
      <c r="F161" s="31" t="str">
        <f t="shared" si="11"/>
        <v/>
      </c>
      <c r="G161" s="31" t="str">
        <f t="shared" si="12"/>
        <v/>
      </c>
      <c r="H161" s="31" t="str">
        <f t="shared" si="13"/>
        <v/>
      </c>
      <c r="I161" s="31" t="str">
        <f t="shared" si="14"/>
        <v/>
      </c>
      <c r="J161" s="18"/>
    </row>
    <row r="162" spans="1:10" x14ac:dyDescent="0.45">
      <c r="A162" s="17"/>
      <c r="B162" s="18"/>
      <c r="C162" s="20"/>
      <c r="D162" s="20"/>
      <c r="E162" s="31" t="str">
        <f t="shared" si="10"/>
        <v/>
      </c>
      <c r="F162" s="31" t="str">
        <f t="shared" si="11"/>
        <v/>
      </c>
      <c r="G162" s="31" t="str">
        <f t="shared" si="12"/>
        <v/>
      </c>
      <c r="H162" s="31" t="str">
        <f t="shared" si="13"/>
        <v/>
      </c>
      <c r="I162" s="31" t="str">
        <f t="shared" si="14"/>
        <v/>
      </c>
      <c r="J162" s="18"/>
    </row>
    <row r="163" spans="1:10" x14ac:dyDescent="0.45">
      <c r="A163" s="17"/>
      <c r="B163" s="18"/>
      <c r="C163" s="20"/>
      <c r="D163" s="20"/>
      <c r="E163" s="31" t="str">
        <f t="shared" si="10"/>
        <v/>
      </c>
      <c r="F163" s="31" t="str">
        <f t="shared" si="11"/>
        <v/>
      </c>
      <c r="G163" s="31" t="str">
        <f t="shared" si="12"/>
        <v/>
      </c>
      <c r="H163" s="31" t="str">
        <f t="shared" si="13"/>
        <v/>
      </c>
      <c r="I163" s="31" t="str">
        <f t="shared" si="14"/>
        <v/>
      </c>
      <c r="J163" s="18"/>
    </row>
    <row r="164" spans="1:10" x14ac:dyDescent="0.45">
      <c r="A164" s="17"/>
      <c r="B164" s="18"/>
      <c r="C164" s="20"/>
      <c r="D164" s="20"/>
      <c r="E164" s="31" t="str">
        <f t="shared" si="10"/>
        <v/>
      </c>
      <c r="F164" s="31" t="str">
        <f t="shared" si="11"/>
        <v/>
      </c>
      <c r="G164" s="31" t="str">
        <f t="shared" si="12"/>
        <v/>
      </c>
      <c r="H164" s="31" t="str">
        <f t="shared" si="13"/>
        <v/>
      </c>
      <c r="I164" s="31" t="str">
        <f t="shared" si="14"/>
        <v/>
      </c>
      <c r="J164" s="18"/>
    </row>
    <row r="165" spans="1:10" x14ac:dyDescent="0.45">
      <c r="A165" s="17"/>
      <c r="B165" s="18"/>
      <c r="C165" s="20"/>
      <c r="D165" s="20"/>
      <c r="E165" s="31" t="str">
        <f t="shared" si="10"/>
        <v/>
      </c>
      <c r="F165" s="31" t="str">
        <f t="shared" si="11"/>
        <v/>
      </c>
      <c r="G165" s="31" t="str">
        <f t="shared" si="12"/>
        <v/>
      </c>
      <c r="H165" s="31" t="str">
        <f t="shared" si="13"/>
        <v/>
      </c>
      <c r="I165" s="31" t="str">
        <f t="shared" si="14"/>
        <v/>
      </c>
      <c r="J165" s="18"/>
    </row>
    <row r="166" spans="1:10" x14ac:dyDescent="0.45">
      <c r="A166" s="17"/>
      <c r="B166" s="18"/>
      <c r="C166" s="20"/>
      <c r="D166" s="20"/>
      <c r="E166" s="31" t="str">
        <f t="shared" si="10"/>
        <v/>
      </c>
      <c r="F166" s="31" t="str">
        <f t="shared" si="11"/>
        <v/>
      </c>
      <c r="G166" s="31" t="str">
        <f t="shared" si="12"/>
        <v/>
      </c>
      <c r="H166" s="31" t="str">
        <f t="shared" si="13"/>
        <v/>
      </c>
      <c r="I166" s="31" t="str">
        <f t="shared" si="14"/>
        <v/>
      </c>
      <c r="J166" s="18"/>
    </row>
    <row r="167" spans="1:10" x14ac:dyDescent="0.45">
      <c r="A167" s="17"/>
      <c r="B167" s="18"/>
      <c r="C167" s="20"/>
      <c r="D167" s="20"/>
      <c r="E167" s="31" t="str">
        <f t="shared" si="10"/>
        <v/>
      </c>
      <c r="F167" s="31" t="str">
        <f t="shared" si="11"/>
        <v/>
      </c>
      <c r="G167" s="31" t="str">
        <f t="shared" si="12"/>
        <v/>
      </c>
      <c r="H167" s="31" t="str">
        <f t="shared" si="13"/>
        <v/>
      </c>
      <c r="I167" s="31" t="str">
        <f t="shared" si="14"/>
        <v/>
      </c>
      <c r="J167" s="18"/>
    </row>
    <row r="168" spans="1:10" x14ac:dyDescent="0.45">
      <c r="A168" s="17"/>
      <c r="B168" s="18"/>
      <c r="C168" s="20"/>
      <c r="D168" s="20"/>
      <c r="E168" s="31" t="str">
        <f t="shared" si="10"/>
        <v/>
      </c>
      <c r="F168" s="31" t="str">
        <f t="shared" si="11"/>
        <v/>
      </c>
      <c r="G168" s="31" t="str">
        <f t="shared" si="12"/>
        <v/>
      </c>
      <c r="H168" s="31" t="str">
        <f t="shared" si="13"/>
        <v/>
      </c>
      <c r="I168" s="31" t="str">
        <f t="shared" si="14"/>
        <v/>
      </c>
      <c r="J168" s="18"/>
    </row>
    <row r="169" spans="1:10" x14ac:dyDescent="0.45">
      <c r="A169" s="17"/>
      <c r="B169" s="18"/>
      <c r="C169" s="20"/>
      <c r="D169" s="20"/>
      <c r="E169" s="31" t="str">
        <f t="shared" si="10"/>
        <v/>
      </c>
      <c r="F169" s="31" t="str">
        <f t="shared" si="11"/>
        <v/>
      </c>
      <c r="G169" s="31" t="str">
        <f t="shared" si="12"/>
        <v/>
      </c>
      <c r="H169" s="31" t="str">
        <f t="shared" si="13"/>
        <v/>
      </c>
      <c r="I169" s="31" t="str">
        <f t="shared" si="14"/>
        <v/>
      </c>
      <c r="J169" s="18"/>
    </row>
    <row r="170" spans="1:10" x14ac:dyDescent="0.45">
      <c r="A170" s="17"/>
      <c r="B170" s="18"/>
      <c r="C170" s="20"/>
      <c r="D170" s="20"/>
      <c r="E170" s="31" t="str">
        <f t="shared" si="10"/>
        <v/>
      </c>
      <c r="F170" s="31" t="str">
        <f t="shared" si="11"/>
        <v/>
      </c>
      <c r="G170" s="31" t="str">
        <f t="shared" si="12"/>
        <v/>
      </c>
      <c r="H170" s="31" t="str">
        <f t="shared" si="13"/>
        <v/>
      </c>
      <c r="I170" s="31" t="str">
        <f t="shared" si="14"/>
        <v/>
      </c>
      <c r="J170" s="18"/>
    </row>
    <row r="171" spans="1:10" x14ac:dyDescent="0.45">
      <c r="A171" s="17"/>
      <c r="B171" s="18"/>
      <c r="C171" s="20"/>
      <c r="D171" s="20"/>
      <c r="E171" s="31" t="str">
        <f t="shared" si="10"/>
        <v/>
      </c>
      <c r="F171" s="31" t="str">
        <f t="shared" si="11"/>
        <v/>
      </c>
      <c r="G171" s="31" t="str">
        <f t="shared" si="12"/>
        <v/>
      </c>
      <c r="H171" s="31" t="str">
        <f t="shared" si="13"/>
        <v/>
      </c>
      <c r="I171" s="31" t="str">
        <f t="shared" si="14"/>
        <v/>
      </c>
      <c r="J171" s="18"/>
    </row>
    <row r="172" spans="1:10" x14ac:dyDescent="0.45">
      <c r="A172" s="17"/>
      <c r="B172" s="18"/>
      <c r="C172" s="20"/>
      <c r="D172" s="20"/>
      <c r="E172" s="31" t="str">
        <f t="shared" si="10"/>
        <v/>
      </c>
      <c r="F172" s="31" t="str">
        <f t="shared" si="11"/>
        <v/>
      </c>
      <c r="G172" s="31" t="str">
        <f t="shared" si="12"/>
        <v/>
      </c>
      <c r="H172" s="31" t="str">
        <f t="shared" si="13"/>
        <v/>
      </c>
      <c r="I172" s="31" t="str">
        <f t="shared" si="14"/>
        <v/>
      </c>
      <c r="J172" s="18"/>
    </row>
    <row r="173" spans="1:10" x14ac:dyDescent="0.45">
      <c r="A173" s="17"/>
      <c r="B173" s="18"/>
      <c r="C173" s="20"/>
      <c r="D173" s="20"/>
      <c r="E173" s="31" t="str">
        <f t="shared" si="10"/>
        <v/>
      </c>
      <c r="F173" s="31" t="str">
        <f t="shared" si="11"/>
        <v/>
      </c>
      <c r="G173" s="31" t="str">
        <f t="shared" si="12"/>
        <v/>
      </c>
      <c r="H173" s="31" t="str">
        <f t="shared" si="13"/>
        <v/>
      </c>
      <c r="I173" s="31" t="str">
        <f t="shared" si="14"/>
        <v/>
      </c>
      <c r="J173" s="18"/>
    </row>
    <row r="174" spans="1:10" x14ac:dyDescent="0.45">
      <c r="A174" s="17"/>
      <c r="B174" s="18"/>
      <c r="C174" s="20"/>
      <c r="D174" s="20"/>
      <c r="E174" s="31" t="str">
        <f t="shared" si="10"/>
        <v/>
      </c>
      <c r="F174" s="31" t="str">
        <f t="shared" si="11"/>
        <v/>
      </c>
      <c r="G174" s="31" t="str">
        <f t="shared" si="12"/>
        <v/>
      </c>
      <c r="H174" s="31" t="str">
        <f t="shared" si="13"/>
        <v/>
      </c>
      <c r="I174" s="31" t="str">
        <f t="shared" si="14"/>
        <v/>
      </c>
      <c r="J174" s="18"/>
    </row>
    <row r="175" spans="1:10" x14ac:dyDescent="0.45">
      <c r="A175" s="17"/>
      <c r="B175" s="18"/>
      <c r="C175" s="20"/>
      <c r="D175" s="20"/>
      <c r="E175" s="31" t="str">
        <f t="shared" si="10"/>
        <v/>
      </c>
      <c r="F175" s="31" t="str">
        <f t="shared" si="11"/>
        <v/>
      </c>
      <c r="G175" s="31" t="str">
        <f t="shared" si="12"/>
        <v/>
      </c>
      <c r="H175" s="31" t="str">
        <f t="shared" si="13"/>
        <v/>
      </c>
      <c r="I175" s="31" t="str">
        <f t="shared" si="14"/>
        <v/>
      </c>
      <c r="J175" s="18"/>
    </row>
    <row r="176" spans="1:10" x14ac:dyDescent="0.45">
      <c r="A176" s="17"/>
      <c r="B176" s="18"/>
      <c r="C176" s="20"/>
      <c r="D176" s="20"/>
      <c r="E176" s="31" t="str">
        <f t="shared" si="10"/>
        <v/>
      </c>
      <c r="F176" s="31" t="str">
        <f t="shared" si="11"/>
        <v/>
      </c>
      <c r="G176" s="31" t="str">
        <f t="shared" si="12"/>
        <v/>
      </c>
      <c r="H176" s="31" t="str">
        <f t="shared" si="13"/>
        <v/>
      </c>
      <c r="I176" s="31" t="str">
        <f t="shared" si="14"/>
        <v/>
      </c>
      <c r="J176" s="18"/>
    </row>
    <row r="177" spans="1:10" x14ac:dyDescent="0.45">
      <c r="A177" s="17"/>
      <c r="B177" s="18"/>
      <c r="C177" s="20"/>
      <c r="D177" s="20"/>
      <c r="E177" s="31" t="str">
        <f t="shared" si="10"/>
        <v/>
      </c>
      <c r="F177" s="31" t="str">
        <f t="shared" si="11"/>
        <v/>
      </c>
      <c r="G177" s="31" t="str">
        <f t="shared" si="12"/>
        <v/>
      </c>
      <c r="H177" s="31" t="str">
        <f t="shared" si="13"/>
        <v/>
      </c>
      <c r="I177" s="31" t="str">
        <f t="shared" si="14"/>
        <v/>
      </c>
      <c r="J177" s="18"/>
    </row>
    <row r="178" spans="1:10" x14ac:dyDescent="0.45">
      <c r="A178" s="17"/>
      <c r="B178" s="18"/>
      <c r="C178" s="20"/>
      <c r="D178" s="20"/>
      <c r="E178" s="31" t="str">
        <f t="shared" si="10"/>
        <v/>
      </c>
      <c r="F178" s="31" t="str">
        <f t="shared" si="11"/>
        <v/>
      </c>
      <c r="G178" s="31" t="str">
        <f t="shared" si="12"/>
        <v/>
      </c>
      <c r="H178" s="31" t="str">
        <f t="shared" si="13"/>
        <v/>
      </c>
      <c r="I178" s="31" t="str">
        <f t="shared" si="14"/>
        <v/>
      </c>
      <c r="J178" s="18"/>
    </row>
    <row r="179" spans="1:10" x14ac:dyDescent="0.45">
      <c r="A179" s="17"/>
      <c r="B179" s="18"/>
      <c r="C179" s="20"/>
      <c r="D179" s="20"/>
      <c r="E179" s="31" t="str">
        <f t="shared" si="10"/>
        <v/>
      </c>
      <c r="F179" s="31" t="str">
        <f t="shared" si="11"/>
        <v/>
      </c>
      <c r="G179" s="31" t="str">
        <f t="shared" si="12"/>
        <v/>
      </c>
      <c r="H179" s="31" t="str">
        <f t="shared" si="13"/>
        <v/>
      </c>
      <c r="I179" s="31" t="str">
        <f t="shared" si="14"/>
        <v/>
      </c>
      <c r="J179" s="18"/>
    </row>
    <row r="180" spans="1:10" x14ac:dyDescent="0.45">
      <c r="A180" s="17"/>
      <c r="B180" s="18"/>
      <c r="C180" s="20"/>
      <c r="D180" s="20"/>
      <c r="E180" s="31" t="str">
        <f t="shared" si="10"/>
        <v/>
      </c>
      <c r="F180" s="31" t="str">
        <f t="shared" si="11"/>
        <v/>
      </c>
      <c r="G180" s="31" t="str">
        <f t="shared" si="12"/>
        <v/>
      </c>
      <c r="H180" s="31" t="str">
        <f t="shared" si="13"/>
        <v/>
      </c>
      <c r="I180" s="31" t="str">
        <f t="shared" si="14"/>
        <v/>
      </c>
      <c r="J180" s="18"/>
    </row>
    <row r="181" spans="1:10" x14ac:dyDescent="0.45">
      <c r="A181" s="17"/>
      <c r="B181" s="18"/>
      <c r="C181" s="20"/>
      <c r="D181" s="20"/>
      <c r="E181" s="31" t="str">
        <f t="shared" si="10"/>
        <v/>
      </c>
      <c r="F181" s="31" t="str">
        <f t="shared" si="11"/>
        <v/>
      </c>
      <c r="G181" s="31" t="str">
        <f t="shared" si="12"/>
        <v/>
      </c>
      <c r="H181" s="31" t="str">
        <f t="shared" si="13"/>
        <v/>
      </c>
      <c r="I181" s="31" t="str">
        <f t="shared" si="14"/>
        <v/>
      </c>
      <c r="J181" s="18"/>
    </row>
    <row r="182" spans="1:10" x14ac:dyDescent="0.45">
      <c r="A182" s="17"/>
      <c r="B182" s="18"/>
      <c r="C182" s="20"/>
      <c r="D182" s="20"/>
      <c r="E182" s="31" t="str">
        <f t="shared" si="10"/>
        <v/>
      </c>
      <c r="F182" s="31" t="str">
        <f t="shared" si="11"/>
        <v/>
      </c>
      <c r="G182" s="31" t="str">
        <f t="shared" si="12"/>
        <v/>
      </c>
      <c r="H182" s="31" t="str">
        <f t="shared" si="13"/>
        <v/>
      </c>
      <c r="I182" s="31" t="str">
        <f t="shared" si="14"/>
        <v/>
      </c>
      <c r="J182" s="18"/>
    </row>
    <row r="183" spans="1:10" x14ac:dyDescent="0.45">
      <c r="A183" s="17"/>
      <c r="B183" s="18"/>
      <c r="C183" s="20"/>
      <c r="D183" s="20"/>
      <c r="E183" s="31" t="str">
        <f t="shared" si="10"/>
        <v/>
      </c>
      <c r="F183" s="31" t="str">
        <f t="shared" si="11"/>
        <v/>
      </c>
      <c r="G183" s="31" t="str">
        <f t="shared" si="12"/>
        <v/>
      </c>
      <c r="H183" s="31" t="str">
        <f t="shared" si="13"/>
        <v/>
      </c>
      <c r="I183" s="31" t="str">
        <f t="shared" si="14"/>
        <v/>
      </c>
      <c r="J183" s="18"/>
    </row>
    <row r="184" spans="1:10" x14ac:dyDescent="0.45">
      <c r="A184" s="17"/>
      <c r="B184" s="18"/>
      <c r="C184" s="20"/>
      <c r="D184" s="20"/>
      <c r="E184" s="31" t="str">
        <f t="shared" si="10"/>
        <v/>
      </c>
      <c r="F184" s="31" t="str">
        <f t="shared" si="11"/>
        <v/>
      </c>
      <c r="G184" s="31" t="str">
        <f t="shared" si="12"/>
        <v/>
      </c>
      <c r="H184" s="31" t="str">
        <f t="shared" si="13"/>
        <v/>
      </c>
      <c r="I184" s="31" t="str">
        <f t="shared" si="14"/>
        <v/>
      </c>
      <c r="J184" s="18"/>
    </row>
    <row r="185" spans="1:10" x14ac:dyDescent="0.45">
      <c r="A185" s="17"/>
      <c r="B185" s="18"/>
      <c r="C185" s="20"/>
      <c r="D185" s="20"/>
      <c r="E185" s="31" t="str">
        <f t="shared" si="10"/>
        <v/>
      </c>
      <c r="F185" s="31" t="str">
        <f t="shared" si="11"/>
        <v/>
      </c>
      <c r="G185" s="31" t="str">
        <f t="shared" si="12"/>
        <v/>
      </c>
      <c r="H185" s="31" t="str">
        <f t="shared" si="13"/>
        <v/>
      </c>
      <c r="I185" s="31" t="str">
        <f t="shared" si="14"/>
        <v/>
      </c>
      <c r="J185" s="18"/>
    </row>
    <row r="186" spans="1:10" x14ac:dyDescent="0.45">
      <c r="A186" s="17"/>
      <c r="B186" s="18"/>
      <c r="C186" s="20"/>
      <c r="D186" s="20"/>
      <c r="E186" s="31" t="str">
        <f t="shared" si="10"/>
        <v/>
      </c>
      <c r="F186" s="31" t="str">
        <f t="shared" si="11"/>
        <v/>
      </c>
      <c r="G186" s="31" t="str">
        <f t="shared" si="12"/>
        <v/>
      </c>
      <c r="H186" s="31" t="str">
        <f t="shared" si="13"/>
        <v/>
      </c>
      <c r="I186" s="31" t="str">
        <f t="shared" si="14"/>
        <v/>
      </c>
      <c r="J186" s="18"/>
    </row>
    <row r="187" spans="1:10" x14ac:dyDescent="0.45">
      <c r="A187" s="17"/>
      <c r="B187" s="18"/>
      <c r="C187" s="20"/>
      <c r="D187" s="20"/>
      <c r="E187" s="31" t="str">
        <f t="shared" si="10"/>
        <v/>
      </c>
      <c r="F187" s="31" t="str">
        <f t="shared" si="11"/>
        <v/>
      </c>
      <c r="G187" s="31" t="str">
        <f t="shared" si="12"/>
        <v/>
      </c>
      <c r="H187" s="31" t="str">
        <f t="shared" si="13"/>
        <v/>
      </c>
      <c r="I187" s="31" t="str">
        <f t="shared" si="14"/>
        <v/>
      </c>
      <c r="J187" s="18"/>
    </row>
    <row r="188" spans="1:10" x14ac:dyDescent="0.45">
      <c r="A188" s="17"/>
      <c r="B188" s="18"/>
      <c r="C188" s="20"/>
      <c r="D188" s="20"/>
      <c r="E188" s="31" t="str">
        <f t="shared" si="10"/>
        <v/>
      </c>
      <c r="F188" s="31" t="str">
        <f t="shared" si="11"/>
        <v/>
      </c>
      <c r="G188" s="31" t="str">
        <f t="shared" si="12"/>
        <v/>
      </c>
      <c r="H188" s="31" t="str">
        <f t="shared" si="13"/>
        <v/>
      </c>
      <c r="I188" s="31" t="str">
        <f t="shared" si="14"/>
        <v/>
      </c>
      <c r="J188" s="18"/>
    </row>
    <row r="189" spans="1:10" x14ac:dyDescent="0.45">
      <c r="A189" s="17"/>
      <c r="B189" s="18"/>
      <c r="C189" s="20"/>
      <c r="D189" s="20"/>
      <c r="E189" s="31" t="str">
        <f t="shared" si="10"/>
        <v/>
      </c>
      <c r="F189" s="31" t="str">
        <f t="shared" si="11"/>
        <v/>
      </c>
      <c r="G189" s="31" t="str">
        <f t="shared" si="12"/>
        <v/>
      </c>
      <c r="H189" s="31" t="str">
        <f t="shared" si="13"/>
        <v/>
      </c>
      <c r="I189" s="31" t="str">
        <f t="shared" si="14"/>
        <v/>
      </c>
      <c r="J189" s="18"/>
    </row>
    <row r="190" spans="1:10" x14ac:dyDescent="0.45">
      <c r="A190" s="17"/>
      <c r="B190" s="18"/>
      <c r="C190" s="20"/>
      <c r="D190" s="20"/>
      <c r="E190" s="31" t="str">
        <f t="shared" si="10"/>
        <v/>
      </c>
      <c r="F190" s="31" t="str">
        <f t="shared" si="11"/>
        <v/>
      </c>
      <c r="G190" s="31" t="str">
        <f t="shared" si="12"/>
        <v/>
      </c>
      <c r="H190" s="31" t="str">
        <f t="shared" si="13"/>
        <v/>
      </c>
      <c r="I190" s="31" t="str">
        <f t="shared" si="14"/>
        <v/>
      </c>
      <c r="J190" s="18"/>
    </row>
    <row r="191" spans="1:10" x14ac:dyDescent="0.45">
      <c r="A191" s="17"/>
      <c r="B191" s="18"/>
      <c r="C191" s="20"/>
      <c r="D191" s="20"/>
      <c r="E191" s="31" t="str">
        <f t="shared" si="10"/>
        <v/>
      </c>
      <c r="F191" s="31" t="str">
        <f t="shared" si="11"/>
        <v/>
      </c>
      <c r="G191" s="31" t="str">
        <f t="shared" si="12"/>
        <v/>
      </c>
      <c r="H191" s="31" t="str">
        <f t="shared" si="13"/>
        <v/>
      </c>
      <c r="I191" s="31" t="str">
        <f t="shared" si="14"/>
        <v/>
      </c>
      <c r="J191" s="18"/>
    </row>
    <row r="192" spans="1:10" x14ac:dyDescent="0.45">
      <c r="A192" s="17"/>
      <c r="B192" s="18"/>
      <c r="C192" s="20"/>
      <c r="D192" s="20"/>
      <c r="E192" s="31" t="str">
        <f t="shared" si="10"/>
        <v/>
      </c>
      <c r="F192" s="31" t="str">
        <f t="shared" si="11"/>
        <v/>
      </c>
      <c r="G192" s="31" t="str">
        <f t="shared" si="12"/>
        <v/>
      </c>
      <c r="H192" s="31" t="str">
        <f t="shared" si="13"/>
        <v/>
      </c>
      <c r="I192" s="31" t="str">
        <f t="shared" si="14"/>
        <v/>
      </c>
      <c r="J192" s="18"/>
    </row>
    <row r="193" spans="1:10" x14ac:dyDescent="0.45">
      <c r="A193" s="17"/>
      <c r="B193" s="18"/>
      <c r="C193" s="20"/>
      <c r="D193" s="20"/>
      <c r="E193" s="31" t="str">
        <f t="shared" si="10"/>
        <v/>
      </c>
      <c r="F193" s="31" t="str">
        <f t="shared" si="11"/>
        <v/>
      </c>
      <c r="G193" s="31" t="str">
        <f t="shared" si="12"/>
        <v/>
      </c>
      <c r="H193" s="31" t="str">
        <f t="shared" si="13"/>
        <v/>
      </c>
      <c r="I193" s="31" t="str">
        <f t="shared" si="14"/>
        <v/>
      </c>
      <c r="J193" s="18"/>
    </row>
    <row r="194" spans="1:10" x14ac:dyDescent="0.45">
      <c r="A194" s="17"/>
      <c r="B194" s="18"/>
      <c r="C194" s="20"/>
      <c r="D194" s="20"/>
      <c r="E194" s="31" t="str">
        <f t="shared" si="10"/>
        <v/>
      </c>
      <c r="F194" s="31" t="str">
        <f t="shared" si="11"/>
        <v/>
      </c>
      <c r="G194" s="31" t="str">
        <f t="shared" si="12"/>
        <v/>
      </c>
      <c r="H194" s="31" t="str">
        <f t="shared" si="13"/>
        <v/>
      </c>
      <c r="I194" s="31" t="str">
        <f t="shared" si="14"/>
        <v/>
      </c>
      <c r="J194" s="18"/>
    </row>
    <row r="195" spans="1:10" x14ac:dyDescent="0.45">
      <c r="A195" s="17"/>
      <c r="B195" s="18"/>
      <c r="C195" s="20"/>
      <c r="D195" s="20"/>
      <c r="E195" s="31" t="str">
        <f t="shared" si="10"/>
        <v/>
      </c>
      <c r="F195" s="31" t="str">
        <f t="shared" si="11"/>
        <v/>
      </c>
      <c r="G195" s="31" t="str">
        <f t="shared" si="12"/>
        <v/>
      </c>
      <c r="H195" s="31" t="str">
        <f t="shared" si="13"/>
        <v/>
      </c>
      <c r="I195" s="31" t="str">
        <f t="shared" si="14"/>
        <v/>
      </c>
      <c r="J195" s="18"/>
    </row>
    <row r="196" spans="1:10" x14ac:dyDescent="0.45">
      <c r="A196" s="17"/>
      <c r="B196" s="18"/>
      <c r="C196" s="20"/>
      <c r="D196" s="20"/>
      <c r="E196" s="31" t="str">
        <f t="shared" si="10"/>
        <v/>
      </c>
      <c r="F196" s="31" t="str">
        <f t="shared" si="11"/>
        <v/>
      </c>
      <c r="G196" s="31" t="str">
        <f t="shared" si="12"/>
        <v/>
      </c>
      <c r="H196" s="31" t="str">
        <f t="shared" si="13"/>
        <v/>
      </c>
      <c r="I196" s="31" t="str">
        <f t="shared" si="14"/>
        <v/>
      </c>
      <c r="J196" s="18"/>
    </row>
    <row r="197" spans="1:10" x14ac:dyDescent="0.45">
      <c r="A197" s="17"/>
      <c r="B197" s="18"/>
      <c r="C197" s="20"/>
      <c r="D197" s="20"/>
      <c r="E197" s="31" t="str">
        <f t="shared" ref="E197:E260" si="15">IF(OR(A197="",C197="",D197=""),"",ROUND(MAX(0,MIN((D197+(C197&lt;4/24)+(D197&lt;C197)),8/24)-MAX((C197+(C197&lt;4/24)),4/24))*24,2))</f>
        <v/>
      </c>
      <c r="F197" s="31" t="str">
        <f t="shared" ref="F197:F260" si="16">IF(OR(A197="",C197="",D197=""),"",ROUND(MAX(0,MIN((D197+(C197&lt;4/24)+(D197&lt;C197)),22/24)-MAX((C197+(C197&lt;4/24)),17/24))*24,2))</f>
        <v/>
      </c>
      <c r="G197" s="31" t="str">
        <f t="shared" ref="G197:G260" si="17">IF(OR(A197="",C197="",D197=""),"",ROUND(MAX(0,MIN((D197+(C197&lt;4/24)+(D197&lt;C197)),1)-MAX((C197+(C197&lt;4/24)),22/24))*24,2))</f>
        <v/>
      </c>
      <c r="H197" s="31" t="str">
        <f t="shared" ref="H197:H260" si="18">IF(OR(A197="",C197="",D197=""),"",ROUND(MAX(0,MIN((D197+(C197&lt;4/24)+(D197&lt;C197)),28/24)-MAX((C197+(C197&lt;4/24)),1))*24,2))</f>
        <v/>
      </c>
      <c r="I197" s="31" t="str">
        <f t="shared" ref="I197:I260" si="19">IF(OR(A197="",C197="",D197=""),"",SUM(E197:H197))</f>
        <v/>
      </c>
      <c r="J197" s="18"/>
    </row>
    <row r="198" spans="1:10" x14ac:dyDescent="0.45">
      <c r="A198" s="17"/>
      <c r="B198" s="18"/>
      <c r="C198" s="20"/>
      <c r="D198" s="20"/>
      <c r="E198" s="31" t="str">
        <f t="shared" si="15"/>
        <v/>
      </c>
      <c r="F198" s="31" t="str">
        <f t="shared" si="16"/>
        <v/>
      </c>
      <c r="G198" s="31" t="str">
        <f t="shared" si="17"/>
        <v/>
      </c>
      <c r="H198" s="31" t="str">
        <f t="shared" si="18"/>
        <v/>
      </c>
      <c r="I198" s="31" t="str">
        <f t="shared" si="19"/>
        <v/>
      </c>
      <c r="J198" s="18"/>
    </row>
    <row r="199" spans="1:10" x14ac:dyDescent="0.45">
      <c r="A199" s="17"/>
      <c r="B199" s="18"/>
      <c r="C199" s="20"/>
      <c r="D199" s="20"/>
      <c r="E199" s="31" t="str">
        <f t="shared" si="15"/>
        <v/>
      </c>
      <c r="F199" s="31" t="str">
        <f t="shared" si="16"/>
        <v/>
      </c>
      <c r="G199" s="31" t="str">
        <f t="shared" si="17"/>
        <v/>
      </c>
      <c r="H199" s="31" t="str">
        <f t="shared" si="18"/>
        <v/>
      </c>
      <c r="I199" s="31" t="str">
        <f t="shared" si="19"/>
        <v/>
      </c>
      <c r="J199" s="18"/>
    </row>
    <row r="200" spans="1:10" x14ac:dyDescent="0.45">
      <c r="A200" s="17"/>
      <c r="B200" s="18"/>
      <c r="C200" s="20"/>
      <c r="D200" s="20"/>
      <c r="E200" s="31" t="str">
        <f t="shared" si="15"/>
        <v/>
      </c>
      <c r="F200" s="31" t="str">
        <f t="shared" si="16"/>
        <v/>
      </c>
      <c r="G200" s="31" t="str">
        <f t="shared" si="17"/>
        <v/>
      </c>
      <c r="H200" s="31" t="str">
        <f t="shared" si="18"/>
        <v/>
      </c>
      <c r="I200" s="31" t="str">
        <f t="shared" si="19"/>
        <v/>
      </c>
      <c r="J200" s="18"/>
    </row>
    <row r="201" spans="1:10" x14ac:dyDescent="0.45">
      <c r="A201" s="17"/>
      <c r="B201" s="18"/>
      <c r="C201" s="20"/>
      <c r="D201" s="20"/>
      <c r="E201" s="31" t="str">
        <f t="shared" si="15"/>
        <v/>
      </c>
      <c r="F201" s="31" t="str">
        <f t="shared" si="16"/>
        <v/>
      </c>
      <c r="G201" s="31" t="str">
        <f t="shared" si="17"/>
        <v/>
      </c>
      <c r="H201" s="31" t="str">
        <f t="shared" si="18"/>
        <v/>
      </c>
      <c r="I201" s="31" t="str">
        <f t="shared" si="19"/>
        <v/>
      </c>
      <c r="J201" s="18"/>
    </row>
    <row r="202" spans="1:10" x14ac:dyDescent="0.45">
      <c r="A202" s="17"/>
      <c r="B202" s="18"/>
      <c r="C202" s="20"/>
      <c r="D202" s="20"/>
      <c r="E202" s="31" t="str">
        <f t="shared" si="15"/>
        <v/>
      </c>
      <c r="F202" s="31" t="str">
        <f t="shared" si="16"/>
        <v/>
      </c>
      <c r="G202" s="31" t="str">
        <f t="shared" si="17"/>
        <v/>
      </c>
      <c r="H202" s="31" t="str">
        <f t="shared" si="18"/>
        <v/>
      </c>
      <c r="I202" s="31" t="str">
        <f t="shared" si="19"/>
        <v/>
      </c>
      <c r="J202" s="18"/>
    </row>
    <row r="203" spans="1:10" x14ac:dyDescent="0.45">
      <c r="A203" s="17"/>
      <c r="B203" s="18"/>
      <c r="C203" s="20"/>
      <c r="D203" s="20"/>
      <c r="E203" s="31" t="str">
        <f t="shared" si="15"/>
        <v/>
      </c>
      <c r="F203" s="31" t="str">
        <f t="shared" si="16"/>
        <v/>
      </c>
      <c r="G203" s="31" t="str">
        <f t="shared" si="17"/>
        <v/>
      </c>
      <c r="H203" s="31" t="str">
        <f t="shared" si="18"/>
        <v/>
      </c>
      <c r="I203" s="31" t="str">
        <f t="shared" si="19"/>
        <v/>
      </c>
      <c r="J203" s="18"/>
    </row>
    <row r="204" spans="1:10" x14ac:dyDescent="0.45">
      <c r="A204" s="17"/>
      <c r="B204" s="18"/>
      <c r="C204" s="20"/>
      <c r="D204" s="20"/>
      <c r="E204" s="31" t="str">
        <f t="shared" si="15"/>
        <v/>
      </c>
      <c r="F204" s="31" t="str">
        <f t="shared" si="16"/>
        <v/>
      </c>
      <c r="G204" s="31" t="str">
        <f t="shared" si="17"/>
        <v/>
      </c>
      <c r="H204" s="31" t="str">
        <f t="shared" si="18"/>
        <v/>
      </c>
      <c r="I204" s="31" t="str">
        <f t="shared" si="19"/>
        <v/>
      </c>
      <c r="J204" s="18"/>
    </row>
    <row r="205" spans="1:10" x14ac:dyDescent="0.45">
      <c r="A205" s="17"/>
      <c r="B205" s="18"/>
      <c r="C205" s="20"/>
      <c r="D205" s="20"/>
      <c r="E205" s="31" t="str">
        <f t="shared" si="15"/>
        <v/>
      </c>
      <c r="F205" s="31" t="str">
        <f t="shared" si="16"/>
        <v/>
      </c>
      <c r="G205" s="31" t="str">
        <f t="shared" si="17"/>
        <v/>
      </c>
      <c r="H205" s="31" t="str">
        <f t="shared" si="18"/>
        <v/>
      </c>
      <c r="I205" s="31" t="str">
        <f t="shared" si="19"/>
        <v/>
      </c>
      <c r="J205" s="18"/>
    </row>
    <row r="206" spans="1:10" x14ac:dyDescent="0.45">
      <c r="A206" s="17"/>
      <c r="B206" s="18"/>
      <c r="C206" s="20"/>
      <c r="D206" s="20"/>
      <c r="E206" s="31" t="str">
        <f t="shared" si="15"/>
        <v/>
      </c>
      <c r="F206" s="31" t="str">
        <f t="shared" si="16"/>
        <v/>
      </c>
      <c r="G206" s="31" t="str">
        <f t="shared" si="17"/>
        <v/>
      </c>
      <c r="H206" s="31" t="str">
        <f t="shared" si="18"/>
        <v/>
      </c>
      <c r="I206" s="31" t="str">
        <f t="shared" si="19"/>
        <v/>
      </c>
      <c r="J206" s="18"/>
    </row>
    <row r="207" spans="1:10" x14ac:dyDescent="0.45">
      <c r="A207" s="17"/>
      <c r="B207" s="18"/>
      <c r="C207" s="20"/>
      <c r="D207" s="20"/>
      <c r="E207" s="31" t="str">
        <f t="shared" si="15"/>
        <v/>
      </c>
      <c r="F207" s="31" t="str">
        <f t="shared" si="16"/>
        <v/>
      </c>
      <c r="G207" s="31" t="str">
        <f t="shared" si="17"/>
        <v/>
      </c>
      <c r="H207" s="31" t="str">
        <f t="shared" si="18"/>
        <v/>
      </c>
      <c r="I207" s="31" t="str">
        <f t="shared" si="19"/>
        <v/>
      </c>
      <c r="J207" s="18"/>
    </row>
    <row r="208" spans="1:10" x14ac:dyDescent="0.45">
      <c r="A208" s="17"/>
      <c r="B208" s="18"/>
      <c r="C208" s="20"/>
      <c r="D208" s="20"/>
      <c r="E208" s="31" t="str">
        <f t="shared" si="15"/>
        <v/>
      </c>
      <c r="F208" s="31" t="str">
        <f t="shared" si="16"/>
        <v/>
      </c>
      <c r="G208" s="31" t="str">
        <f t="shared" si="17"/>
        <v/>
      </c>
      <c r="H208" s="31" t="str">
        <f t="shared" si="18"/>
        <v/>
      </c>
      <c r="I208" s="31" t="str">
        <f t="shared" si="19"/>
        <v/>
      </c>
      <c r="J208" s="18"/>
    </row>
    <row r="209" spans="1:10" x14ac:dyDescent="0.45">
      <c r="A209" s="17"/>
      <c r="B209" s="18"/>
      <c r="C209" s="20"/>
      <c r="D209" s="20"/>
      <c r="E209" s="31" t="str">
        <f t="shared" si="15"/>
        <v/>
      </c>
      <c r="F209" s="31" t="str">
        <f t="shared" si="16"/>
        <v/>
      </c>
      <c r="G209" s="31" t="str">
        <f t="shared" si="17"/>
        <v/>
      </c>
      <c r="H209" s="31" t="str">
        <f t="shared" si="18"/>
        <v/>
      </c>
      <c r="I209" s="31" t="str">
        <f t="shared" si="19"/>
        <v/>
      </c>
      <c r="J209" s="18"/>
    </row>
    <row r="210" spans="1:10" x14ac:dyDescent="0.45">
      <c r="A210" s="17"/>
      <c r="B210" s="18"/>
      <c r="C210" s="20"/>
      <c r="D210" s="20"/>
      <c r="E210" s="31" t="str">
        <f t="shared" si="15"/>
        <v/>
      </c>
      <c r="F210" s="31" t="str">
        <f t="shared" si="16"/>
        <v/>
      </c>
      <c r="G210" s="31" t="str">
        <f t="shared" si="17"/>
        <v/>
      </c>
      <c r="H210" s="31" t="str">
        <f t="shared" si="18"/>
        <v/>
      </c>
      <c r="I210" s="31" t="str">
        <f t="shared" si="19"/>
        <v/>
      </c>
      <c r="J210" s="18"/>
    </row>
    <row r="211" spans="1:10" x14ac:dyDescent="0.45">
      <c r="A211" s="17"/>
      <c r="B211" s="18"/>
      <c r="C211" s="20"/>
      <c r="D211" s="20"/>
      <c r="E211" s="31" t="str">
        <f t="shared" si="15"/>
        <v/>
      </c>
      <c r="F211" s="31" t="str">
        <f t="shared" si="16"/>
        <v/>
      </c>
      <c r="G211" s="31" t="str">
        <f t="shared" si="17"/>
        <v/>
      </c>
      <c r="H211" s="31" t="str">
        <f t="shared" si="18"/>
        <v/>
      </c>
      <c r="I211" s="31" t="str">
        <f t="shared" si="19"/>
        <v/>
      </c>
      <c r="J211" s="18"/>
    </row>
    <row r="212" spans="1:10" x14ac:dyDescent="0.45">
      <c r="A212" s="17"/>
      <c r="B212" s="18"/>
      <c r="C212" s="20"/>
      <c r="D212" s="20"/>
      <c r="E212" s="31" t="str">
        <f t="shared" si="15"/>
        <v/>
      </c>
      <c r="F212" s="31" t="str">
        <f t="shared" si="16"/>
        <v/>
      </c>
      <c r="G212" s="31" t="str">
        <f t="shared" si="17"/>
        <v/>
      </c>
      <c r="H212" s="31" t="str">
        <f t="shared" si="18"/>
        <v/>
      </c>
      <c r="I212" s="31" t="str">
        <f t="shared" si="19"/>
        <v/>
      </c>
      <c r="J212" s="18"/>
    </row>
    <row r="213" spans="1:10" x14ac:dyDescent="0.45">
      <c r="A213" s="17"/>
      <c r="B213" s="18"/>
      <c r="C213" s="20"/>
      <c r="D213" s="20"/>
      <c r="E213" s="31" t="str">
        <f t="shared" si="15"/>
        <v/>
      </c>
      <c r="F213" s="31" t="str">
        <f t="shared" si="16"/>
        <v/>
      </c>
      <c r="G213" s="31" t="str">
        <f t="shared" si="17"/>
        <v/>
      </c>
      <c r="H213" s="31" t="str">
        <f t="shared" si="18"/>
        <v/>
      </c>
      <c r="I213" s="31" t="str">
        <f t="shared" si="19"/>
        <v/>
      </c>
      <c r="J213" s="18"/>
    </row>
    <row r="214" spans="1:10" x14ac:dyDescent="0.45">
      <c r="A214" s="17"/>
      <c r="B214" s="18"/>
      <c r="C214" s="20"/>
      <c r="D214" s="20"/>
      <c r="E214" s="31" t="str">
        <f t="shared" si="15"/>
        <v/>
      </c>
      <c r="F214" s="31" t="str">
        <f t="shared" si="16"/>
        <v/>
      </c>
      <c r="G214" s="31" t="str">
        <f t="shared" si="17"/>
        <v/>
      </c>
      <c r="H214" s="31" t="str">
        <f t="shared" si="18"/>
        <v/>
      </c>
      <c r="I214" s="31" t="str">
        <f t="shared" si="19"/>
        <v/>
      </c>
      <c r="J214" s="18"/>
    </row>
    <row r="215" spans="1:10" x14ac:dyDescent="0.45">
      <c r="A215" s="17"/>
      <c r="B215" s="18"/>
      <c r="C215" s="20"/>
      <c r="D215" s="20"/>
      <c r="E215" s="31" t="str">
        <f t="shared" si="15"/>
        <v/>
      </c>
      <c r="F215" s="31" t="str">
        <f t="shared" si="16"/>
        <v/>
      </c>
      <c r="G215" s="31" t="str">
        <f t="shared" si="17"/>
        <v/>
      </c>
      <c r="H215" s="31" t="str">
        <f t="shared" si="18"/>
        <v/>
      </c>
      <c r="I215" s="31" t="str">
        <f t="shared" si="19"/>
        <v/>
      </c>
      <c r="J215" s="18"/>
    </row>
    <row r="216" spans="1:10" x14ac:dyDescent="0.45">
      <c r="A216" s="17"/>
      <c r="B216" s="18"/>
      <c r="C216" s="20"/>
      <c r="D216" s="20"/>
      <c r="E216" s="31" t="str">
        <f t="shared" si="15"/>
        <v/>
      </c>
      <c r="F216" s="31" t="str">
        <f t="shared" si="16"/>
        <v/>
      </c>
      <c r="G216" s="31" t="str">
        <f t="shared" si="17"/>
        <v/>
      </c>
      <c r="H216" s="31" t="str">
        <f t="shared" si="18"/>
        <v/>
      </c>
      <c r="I216" s="31" t="str">
        <f t="shared" si="19"/>
        <v/>
      </c>
      <c r="J216" s="18"/>
    </row>
    <row r="217" spans="1:10" x14ac:dyDescent="0.45">
      <c r="A217" s="17"/>
      <c r="B217" s="18"/>
      <c r="C217" s="20"/>
      <c r="D217" s="20"/>
      <c r="E217" s="31" t="str">
        <f t="shared" si="15"/>
        <v/>
      </c>
      <c r="F217" s="31" t="str">
        <f t="shared" si="16"/>
        <v/>
      </c>
      <c r="G217" s="31" t="str">
        <f t="shared" si="17"/>
        <v/>
      </c>
      <c r="H217" s="31" t="str">
        <f t="shared" si="18"/>
        <v/>
      </c>
      <c r="I217" s="31" t="str">
        <f t="shared" si="19"/>
        <v/>
      </c>
      <c r="J217" s="18"/>
    </row>
    <row r="218" spans="1:10" x14ac:dyDescent="0.45">
      <c r="A218" s="17"/>
      <c r="B218" s="18"/>
      <c r="C218" s="20"/>
      <c r="D218" s="20"/>
      <c r="E218" s="31" t="str">
        <f t="shared" si="15"/>
        <v/>
      </c>
      <c r="F218" s="31" t="str">
        <f t="shared" si="16"/>
        <v/>
      </c>
      <c r="G218" s="31" t="str">
        <f t="shared" si="17"/>
        <v/>
      </c>
      <c r="H218" s="31" t="str">
        <f t="shared" si="18"/>
        <v/>
      </c>
      <c r="I218" s="31" t="str">
        <f t="shared" si="19"/>
        <v/>
      </c>
      <c r="J218" s="18"/>
    </row>
    <row r="219" spans="1:10" x14ac:dyDescent="0.45">
      <c r="A219" s="17"/>
      <c r="B219" s="18"/>
      <c r="C219" s="20"/>
      <c r="D219" s="20"/>
      <c r="E219" s="31" t="str">
        <f t="shared" si="15"/>
        <v/>
      </c>
      <c r="F219" s="31" t="str">
        <f t="shared" si="16"/>
        <v/>
      </c>
      <c r="G219" s="31" t="str">
        <f t="shared" si="17"/>
        <v/>
      </c>
      <c r="H219" s="31" t="str">
        <f t="shared" si="18"/>
        <v/>
      </c>
      <c r="I219" s="31" t="str">
        <f t="shared" si="19"/>
        <v/>
      </c>
      <c r="J219" s="18"/>
    </row>
    <row r="220" spans="1:10" x14ac:dyDescent="0.45">
      <c r="A220" s="17"/>
      <c r="B220" s="18"/>
      <c r="C220" s="20"/>
      <c r="D220" s="20"/>
      <c r="E220" s="31" t="str">
        <f t="shared" si="15"/>
        <v/>
      </c>
      <c r="F220" s="31" t="str">
        <f t="shared" si="16"/>
        <v/>
      </c>
      <c r="G220" s="31" t="str">
        <f t="shared" si="17"/>
        <v/>
      </c>
      <c r="H220" s="31" t="str">
        <f t="shared" si="18"/>
        <v/>
      </c>
      <c r="I220" s="31" t="str">
        <f t="shared" si="19"/>
        <v/>
      </c>
      <c r="J220" s="18"/>
    </row>
    <row r="221" spans="1:10" x14ac:dyDescent="0.45">
      <c r="A221" s="17"/>
      <c r="B221" s="18"/>
      <c r="C221" s="20"/>
      <c r="D221" s="20"/>
      <c r="E221" s="31" t="str">
        <f t="shared" si="15"/>
        <v/>
      </c>
      <c r="F221" s="31" t="str">
        <f t="shared" si="16"/>
        <v/>
      </c>
      <c r="G221" s="31" t="str">
        <f t="shared" si="17"/>
        <v/>
      </c>
      <c r="H221" s="31" t="str">
        <f t="shared" si="18"/>
        <v/>
      </c>
      <c r="I221" s="31" t="str">
        <f t="shared" si="19"/>
        <v/>
      </c>
      <c r="J221" s="18"/>
    </row>
    <row r="222" spans="1:10" x14ac:dyDescent="0.45">
      <c r="A222" s="17"/>
      <c r="B222" s="18"/>
      <c r="C222" s="20"/>
      <c r="D222" s="20"/>
      <c r="E222" s="31" t="str">
        <f t="shared" si="15"/>
        <v/>
      </c>
      <c r="F222" s="31" t="str">
        <f t="shared" si="16"/>
        <v/>
      </c>
      <c r="G222" s="31" t="str">
        <f t="shared" si="17"/>
        <v/>
      </c>
      <c r="H222" s="31" t="str">
        <f t="shared" si="18"/>
        <v/>
      </c>
      <c r="I222" s="31" t="str">
        <f t="shared" si="19"/>
        <v/>
      </c>
      <c r="J222" s="18"/>
    </row>
    <row r="223" spans="1:10" x14ac:dyDescent="0.45">
      <c r="A223" s="17"/>
      <c r="B223" s="18"/>
      <c r="C223" s="20"/>
      <c r="D223" s="20"/>
      <c r="E223" s="31" t="str">
        <f t="shared" si="15"/>
        <v/>
      </c>
      <c r="F223" s="31" t="str">
        <f t="shared" si="16"/>
        <v/>
      </c>
      <c r="G223" s="31" t="str">
        <f t="shared" si="17"/>
        <v/>
      </c>
      <c r="H223" s="31" t="str">
        <f t="shared" si="18"/>
        <v/>
      </c>
      <c r="I223" s="31" t="str">
        <f t="shared" si="19"/>
        <v/>
      </c>
      <c r="J223" s="18"/>
    </row>
    <row r="224" spans="1:10" x14ac:dyDescent="0.45">
      <c r="A224" s="17"/>
      <c r="B224" s="18"/>
      <c r="C224" s="20"/>
      <c r="D224" s="20"/>
      <c r="E224" s="31" t="str">
        <f t="shared" si="15"/>
        <v/>
      </c>
      <c r="F224" s="31" t="str">
        <f t="shared" si="16"/>
        <v/>
      </c>
      <c r="G224" s="31" t="str">
        <f t="shared" si="17"/>
        <v/>
      </c>
      <c r="H224" s="31" t="str">
        <f t="shared" si="18"/>
        <v/>
      </c>
      <c r="I224" s="31" t="str">
        <f t="shared" si="19"/>
        <v/>
      </c>
      <c r="J224" s="18"/>
    </row>
    <row r="225" spans="1:10" x14ac:dyDescent="0.45">
      <c r="A225" s="17"/>
      <c r="B225" s="18"/>
      <c r="C225" s="20"/>
      <c r="D225" s="20"/>
      <c r="E225" s="31" t="str">
        <f t="shared" si="15"/>
        <v/>
      </c>
      <c r="F225" s="31" t="str">
        <f t="shared" si="16"/>
        <v/>
      </c>
      <c r="G225" s="31" t="str">
        <f t="shared" si="17"/>
        <v/>
      </c>
      <c r="H225" s="31" t="str">
        <f t="shared" si="18"/>
        <v/>
      </c>
      <c r="I225" s="31" t="str">
        <f t="shared" si="19"/>
        <v/>
      </c>
      <c r="J225" s="18"/>
    </row>
    <row r="226" spans="1:10" x14ac:dyDescent="0.45">
      <c r="A226" s="17"/>
      <c r="B226" s="18"/>
      <c r="C226" s="20"/>
      <c r="D226" s="20"/>
      <c r="E226" s="31" t="str">
        <f t="shared" si="15"/>
        <v/>
      </c>
      <c r="F226" s="31" t="str">
        <f t="shared" si="16"/>
        <v/>
      </c>
      <c r="G226" s="31" t="str">
        <f t="shared" si="17"/>
        <v/>
      </c>
      <c r="H226" s="31" t="str">
        <f t="shared" si="18"/>
        <v/>
      </c>
      <c r="I226" s="31" t="str">
        <f t="shared" si="19"/>
        <v/>
      </c>
      <c r="J226" s="18"/>
    </row>
    <row r="227" spans="1:10" x14ac:dyDescent="0.45">
      <c r="A227" s="17"/>
      <c r="B227" s="18"/>
      <c r="C227" s="20"/>
      <c r="D227" s="20"/>
      <c r="E227" s="31" t="str">
        <f t="shared" si="15"/>
        <v/>
      </c>
      <c r="F227" s="31" t="str">
        <f t="shared" si="16"/>
        <v/>
      </c>
      <c r="G227" s="31" t="str">
        <f t="shared" si="17"/>
        <v/>
      </c>
      <c r="H227" s="31" t="str">
        <f t="shared" si="18"/>
        <v/>
      </c>
      <c r="I227" s="31" t="str">
        <f t="shared" si="19"/>
        <v/>
      </c>
      <c r="J227" s="18"/>
    </row>
    <row r="228" spans="1:10" x14ac:dyDescent="0.45">
      <c r="A228" s="17"/>
      <c r="B228" s="18"/>
      <c r="C228" s="20"/>
      <c r="D228" s="20"/>
      <c r="E228" s="31" t="str">
        <f t="shared" si="15"/>
        <v/>
      </c>
      <c r="F228" s="31" t="str">
        <f t="shared" si="16"/>
        <v/>
      </c>
      <c r="G228" s="31" t="str">
        <f t="shared" si="17"/>
        <v/>
      </c>
      <c r="H228" s="31" t="str">
        <f t="shared" si="18"/>
        <v/>
      </c>
      <c r="I228" s="31" t="str">
        <f t="shared" si="19"/>
        <v/>
      </c>
      <c r="J228" s="18"/>
    </row>
    <row r="229" spans="1:10" x14ac:dyDescent="0.45">
      <c r="A229" s="17"/>
      <c r="B229" s="18"/>
      <c r="C229" s="20"/>
      <c r="D229" s="20"/>
      <c r="E229" s="31" t="str">
        <f t="shared" si="15"/>
        <v/>
      </c>
      <c r="F229" s="31" t="str">
        <f t="shared" si="16"/>
        <v/>
      </c>
      <c r="G229" s="31" t="str">
        <f t="shared" si="17"/>
        <v/>
      </c>
      <c r="H229" s="31" t="str">
        <f t="shared" si="18"/>
        <v/>
      </c>
      <c r="I229" s="31" t="str">
        <f t="shared" si="19"/>
        <v/>
      </c>
      <c r="J229" s="18"/>
    </row>
    <row r="230" spans="1:10" x14ac:dyDescent="0.45">
      <c r="A230" s="17"/>
      <c r="B230" s="18"/>
      <c r="C230" s="20"/>
      <c r="D230" s="20"/>
      <c r="E230" s="31" t="str">
        <f t="shared" si="15"/>
        <v/>
      </c>
      <c r="F230" s="31" t="str">
        <f t="shared" si="16"/>
        <v/>
      </c>
      <c r="G230" s="31" t="str">
        <f t="shared" si="17"/>
        <v/>
      </c>
      <c r="H230" s="31" t="str">
        <f t="shared" si="18"/>
        <v/>
      </c>
      <c r="I230" s="31" t="str">
        <f t="shared" si="19"/>
        <v/>
      </c>
      <c r="J230" s="18"/>
    </row>
    <row r="231" spans="1:10" x14ac:dyDescent="0.45">
      <c r="A231" s="17"/>
      <c r="B231" s="18"/>
      <c r="C231" s="20"/>
      <c r="D231" s="20"/>
      <c r="E231" s="31" t="str">
        <f t="shared" si="15"/>
        <v/>
      </c>
      <c r="F231" s="31" t="str">
        <f t="shared" si="16"/>
        <v/>
      </c>
      <c r="G231" s="31" t="str">
        <f t="shared" si="17"/>
        <v/>
      </c>
      <c r="H231" s="31" t="str">
        <f t="shared" si="18"/>
        <v/>
      </c>
      <c r="I231" s="31" t="str">
        <f t="shared" si="19"/>
        <v/>
      </c>
      <c r="J231" s="18"/>
    </row>
    <row r="232" spans="1:10" x14ac:dyDescent="0.45">
      <c r="A232" s="17"/>
      <c r="B232" s="18"/>
      <c r="C232" s="20"/>
      <c r="D232" s="20"/>
      <c r="E232" s="31" t="str">
        <f t="shared" si="15"/>
        <v/>
      </c>
      <c r="F232" s="31" t="str">
        <f t="shared" si="16"/>
        <v/>
      </c>
      <c r="G232" s="31" t="str">
        <f t="shared" si="17"/>
        <v/>
      </c>
      <c r="H232" s="31" t="str">
        <f t="shared" si="18"/>
        <v/>
      </c>
      <c r="I232" s="31" t="str">
        <f t="shared" si="19"/>
        <v/>
      </c>
      <c r="J232" s="18"/>
    </row>
    <row r="233" spans="1:10" x14ac:dyDescent="0.45">
      <c r="A233" s="17"/>
      <c r="B233" s="18"/>
      <c r="C233" s="20"/>
      <c r="D233" s="20"/>
      <c r="E233" s="31" t="str">
        <f t="shared" si="15"/>
        <v/>
      </c>
      <c r="F233" s="31" t="str">
        <f t="shared" si="16"/>
        <v/>
      </c>
      <c r="G233" s="31" t="str">
        <f t="shared" si="17"/>
        <v/>
      </c>
      <c r="H233" s="31" t="str">
        <f t="shared" si="18"/>
        <v/>
      </c>
      <c r="I233" s="31" t="str">
        <f t="shared" si="19"/>
        <v/>
      </c>
      <c r="J233" s="18"/>
    </row>
    <row r="234" spans="1:10" x14ac:dyDescent="0.45">
      <c r="A234" s="17"/>
      <c r="B234" s="18"/>
      <c r="C234" s="20"/>
      <c r="D234" s="20"/>
      <c r="E234" s="31" t="str">
        <f t="shared" si="15"/>
        <v/>
      </c>
      <c r="F234" s="31" t="str">
        <f t="shared" si="16"/>
        <v/>
      </c>
      <c r="G234" s="31" t="str">
        <f t="shared" si="17"/>
        <v/>
      </c>
      <c r="H234" s="31" t="str">
        <f t="shared" si="18"/>
        <v/>
      </c>
      <c r="I234" s="31" t="str">
        <f t="shared" si="19"/>
        <v/>
      </c>
      <c r="J234" s="18"/>
    </row>
    <row r="235" spans="1:10" x14ac:dyDescent="0.45">
      <c r="A235" s="17"/>
      <c r="B235" s="18"/>
      <c r="C235" s="20"/>
      <c r="D235" s="20"/>
      <c r="E235" s="31" t="str">
        <f t="shared" si="15"/>
        <v/>
      </c>
      <c r="F235" s="31" t="str">
        <f t="shared" si="16"/>
        <v/>
      </c>
      <c r="G235" s="31" t="str">
        <f t="shared" si="17"/>
        <v/>
      </c>
      <c r="H235" s="31" t="str">
        <f t="shared" si="18"/>
        <v/>
      </c>
      <c r="I235" s="31" t="str">
        <f t="shared" si="19"/>
        <v/>
      </c>
      <c r="J235" s="18"/>
    </row>
    <row r="236" spans="1:10" x14ac:dyDescent="0.45">
      <c r="A236" s="17"/>
      <c r="B236" s="18"/>
      <c r="C236" s="20"/>
      <c r="D236" s="20"/>
      <c r="E236" s="31" t="str">
        <f t="shared" si="15"/>
        <v/>
      </c>
      <c r="F236" s="31" t="str">
        <f t="shared" si="16"/>
        <v/>
      </c>
      <c r="G236" s="31" t="str">
        <f t="shared" si="17"/>
        <v/>
      </c>
      <c r="H236" s="31" t="str">
        <f t="shared" si="18"/>
        <v/>
      </c>
      <c r="I236" s="31" t="str">
        <f t="shared" si="19"/>
        <v/>
      </c>
      <c r="J236" s="18"/>
    </row>
    <row r="237" spans="1:10" x14ac:dyDescent="0.45">
      <c r="A237" s="17"/>
      <c r="B237" s="18"/>
      <c r="C237" s="20"/>
      <c r="D237" s="20"/>
      <c r="E237" s="31" t="str">
        <f t="shared" si="15"/>
        <v/>
      </c>
      <c r="F237" s="31" t="str">
        <f t="shared" si="16"/>
        <v/>
      </c>
      <c r="G237" s="31" t="str">
        <f t="shared" si="17"/>
        <v/>
      </c>
      <c r="H237" s="31" t="str">
        <f t="shared" si="18"/>
        <v/>
      </c>
      <c r="I237" s="31" t="str">
        <f t="shared" si="19"/>
        <v/>
      </c>
      <c r="J237" s="18"/>
    </row>
    <row r="238" spans="1:10" x14ac:dyDescent="0.45">
      <c r="A238" s="17"/>
      <c r="B238" s="18"/>
      <c r="C238" s="20"/>
      <c r="D238" s="20"/>
      <c r="E238" s="31" t="str">
        <f t="shared" si="15"/>
        <v/>
      </c>
      <c r="F238" s="31" t="str">
        <f t="shared" si="16"/>
        <v/>
      </c>
      <c r="G238" s="31" t="str">
        <f t="shared" si="17"/>
        <v/>
      </c>
      <c r="H238" s="31" t="str">
        <f t="shared" si="18"/>
        <v/>
      </c>
      <c r="I238" s="31" t="str">
        <f t="shared" si="19"/>
        <v/>
      </c>
      <c r="J238" s="18"/>
    </row>
    <row r="239" spans="1:10" x14ac:dyDescent="0.45">
      <c r="A239" s="17"/>
      <c r="B239" s="18"/>
      <c r="C239" s="20"/>
      <c r="D239" s="20"/>
      <c r="E239" s="31" t="str">
        <f t="shared" si="15"/>
        <v/>
      </c>
      <c r="F239" s="31" t="str">
        <f t="shared" si="16"/>
        <v/>
      </c>
      <c r="G239" s="31" t="str">
        <f t="shared" si="17"/>
        <v/>
      </c>
      <c r="H239" s="31" t="str">
        <f t="shared" si="18"/>
        <v/>
      </c>
      <c r="I239" s="31" t="str">
        <f t="shared" si="19"/>
        <v/>
      </c>
      <c r="J239" s="18"/>
    </row>
    <row r="240" spans="1:10" x14ac:dyDescent="0.45">
      <c r="A240" s="17"/>
      <c r="B240" s="18"/>
      <c r="C240" s="20"/>
      <c r="D240" s="20"/>
      <c r="E240" s="31" t="str">
        <f t="shared" si="15"/>
        <v/>
      </c>
      <c r="F240" s="31" t="str">
        <f t="shared" si="16"/>
        <v/>
      </c>
      <c r="G240" s="31" t="str">
        <f t="shared" si="17"/>
        <v/>
      </c>
      <c r="H240" s="31" t="str">
        <f t="shared" si="18"/>
        <v/>
      </c>
      <c r="I240" s="31" t="str">
        <f t="shared" si="19"/>
        <v/>
      </c>
      <c r="J240" s="18"/>
    </row>
    <row r="241" spans="1:10" x14ac:dyDescent="0.45">
      <c r="A241" s="17"/>
      <c r="B241" s="18"/>
      <c r="C241" s="20"/>
      <c r="D241" s="20"/>
      <c r="E241" s="31" t="str">
        <f t="shared" si="15"/>
        <v/>
      </c>
      <c r="F241" s="31" t="str">
        <f t="shared" si="16"/>
        <v/>
      </c>
      <c r="G241" s="31" t="str">
        <f t="shared" si="17"/>
        <v/>
      </c>
      <c r="H241" s="31" t="str">
        <f t="shared" si="18"/>
        <v/>
      </c>
      <c r="I241" s="31" t="str">
        <f t="shared" si="19"/>
        <v/>
      </c>
      <c r="J241" s="18"/>
    </row>
    <row r="242" spans="1:10" x14ac:dyDescent="0.45">
      <c r="A242" s="17"/>
      <c r="B242" s="18"/>
      <c r="C242" s="20"/>
      <c r="D242" s="20"/>
      <c r="E242" s="31" t="str">
        <f t="shared" si="15"/>
        <v/>
      </c>
      <c r="F242" s="31" t="str">
        <f t="shared" si="16"/>
        <v/>
      </c>
      <c r="G242" s="31" t="str">
        <f t="shared" si="17"/>
        <v/>
      </c>
      <c r="H242" s="31" t="str">
        <f t="shared" si="18"/>
        <v/>
      </c>
      <c r="I242" s="31" t="str">
        <f t="shared" si="19"/>
        <v/>
      </c>
      <c r="J242" s="18"/>
    </row>
    <row r="243" spans="1:10" x14ac:dyDescent="0.45">
      <c r="A243" s="17"/>
      <c r="B243" s="18"/>
      <c r="C243" s="20"/>
      <c r="D243" s="20"/>
      <c r="E243" s="31" t="str">
        <f t="shared" si="15"/>
        <v/>
      </c>
      <c r="F243" s="31" t="str">
        <f t="shared" si="16"/>
        <v/>
      </c>
      <c r="G243" s="31" t="str">
        <f t="shared" si="17"/>
        <v/>
      </c>
      <c r="H243" s="31" t="str">
        <f t="shared" si="18"/>
        <v/>
      </c>
      <c r="I243" s="31" t="str">
        <f t="shared" si="19"/>
        <v/>
      </c>
      <c r="J243" s="18"/>
    </row>
    <row r="244" spans="1:10" x14ac:dyDescent="0.45">
      <c r="A244" s="17"/>
      <c r="B244" s="18"/>
      <c r="C244" s="20"/>
      <c r="D244" s="20"/>
      <c r="E244" s="31" t="str">
        <f t="shared" si="15"/>
        <v/>
      </c>
      <c r="F244" s="31" t="str">
        <f t="shared" si="16"/>
        <v/>
      </c>
      <c r="G244" s="31" t="str">
        <f t="shared" si="17"/>
        <v/>
      </c>
      <c r="H244" s="31" t="str">
        <f t="shared" si="18"/>
        <v/>
      </c>
      <c r="I244" s="31" t="str">
        <f t="shared" si="19"/>
        <v/>
      </c>
      <c r="J244" s="18"/>
    </row>
    <row r="245" spans="1:10" x14ac:dyDescent="0.45">
      <c r="A245" s="17"/>
      <c r="B245" s="18"/>
      <c r="C245" s="20"/>
      <c r="D245" s="20"/>
      <c r="E245" s="31" t="str">
        <f t="shared" si="15"/>
        <v/>
      </c>
      <c r="F245" s="31" t="str">
        <f t="shared" si="16"/>
        <v/>
      </c>
      <c r="G245" s="31" t="str">
        <f t="shared" si="17"/>
        <v/>
      </c>
      <c r="H245" s="31" t="str">
        <f t="shared" si="18"/>
        <v/>
      </c>
      <c r="I245" s="31" t="str">
        <f t="shared" si="19"/>
        <v/>
      </c>
      <c r="J245" s="18"/>
    </row>
    <row r="246" spans="1:10" x14ac:dyDescent="0.45">
      <c r="A246" s="17"/>
      <c r="B246" s="18"/>
      <c r="C246" s="20"/>
      <c r="D246" s="20"/>
      <c r="E246" s="31" t="str">
        <f t="shared" si="15"/>
        <v/>
      </c>
      <c r="F246" s="31" t="str">
        <f t="shared" si="16"/>
        <v/>
      </c>
      <c r="G246" s="31" t="str">
        <f t="shared" si="17"/>
        <v/>
      </c>
      <c r="H246" s="31" t="str">
        <f t="shared" si="18"/>
        <v/>
      </c>
      <c r="I246" s="31" t="str">
        <f t="shared" si="19"/>
        <v/>
      </c>
      <c r="J246" s="18"/>
    </row>
    <row r="247" spans="1:10" x14ac:dyDescent="0.45">
      <c r="A247" s="17"/>
      <c r="B247" s="18"/>
      <c r="C247" s="20"/>
      <c r="D247" s="20"/>
      <c r="E247" s="31" t="str">
        <f t="shared" si="15"/>
        <v/>
      </c>
      <c r="F247" s="31" t="str">
        <f t="shared" si="16"/>
        <v/>
      </c>
      <c r="G247" s="31" t="str">
        <f t="shared" si="17"/>
        <v/>
      </c>
      <c r="H247" s="31" t="str">
        <f t="shared" si="18"/>
        <v/>
      </c>
      <c r="I247" s="31" t="str">
        <f t="shared" si="19"/>
        <v/>
      </c>
      <c r="J247" s="18"/>
    </row>
    <row r="248" spans="1:10" x14ac:dyDescent="0.45">
      <c r="A248" s="17"/>
      <c r="B248" s="18"/>
      <c r="C248" s="20"/>
      <c r="D248" s="20"/>
      <c r="E248" s="31" t="str">
        <f t="shared" si="15"/>
        <v/>
      </c>
      <c r="F248" s="31" t="str">
        <f t="shared" si="16"/>
        <v/>
      </c>
      <c r="G248" s="31" t="str">
        <f t="shared" si="17"/>
        <v/>
      </c>
      <c r="H248" s="31" t="str">
        <f t="shared" si="18"/>
        <v/>
      </c>
      <c r="I248" s="31" t="str">
        <f t="shared" si="19"/>
        <v/>
      </c>
      <c r="J248" s="18"/>
    </row>
    <row r="249" spans="1:10" x14ac:dyDescent="0.45">
      <c r="A249" s="17"/>
      <c r="B249" s="18"/>
      <c r="C249" s="20"/>
      <c r="D249" s="20"/>
      <c r="E249" s="31" t="str">
        <f t="shared" si="15"/>
        <v/>
      </c>
      <c r="F249" s="31" t="str">
        <f t="shared" si="16"/>
        <v/>
      </c>
      <c r="G249" s="31" t="str">
        <f t="shared" si="17"/>
        <v/>
      </c>
      <c r="H249" s="31" t="str">
        <f t="shared" si="18"/>
        <v/>
      </c>
      <c r="I249" s="31" t="str">
        <f t="shared" si="19"/>
        <v/>
      </c>
      <c r="J249" s="18"/>
    </row>
    <row r="250" spans="1:10" x14ac:dyDescent="0.45">
      <c r="A250" s="17"/>
      <c r="B250" s="18"/>
      <c r="C250" s="20"/>
      <c r="D250" s="20"/>
      <c r="E250" s="31" t="str">
        <f t="shared" si="15"/>
        <v/>
      </c>
      <c r="F250" s="31" t="str">
        <f t="shared" si="16"/>
        <v/>
      </c>
      <c r="G250" s="31" t="str">
        <f t="shared" si="17"/>
        <v/>
      </c>
      <c r="H250" s="31" t="str">
        <f t="shared" si="18"/>
        <v/>
      </c>
      <c r="I250" s="31" t="str">
        <f t="shared" si="19"/>
        <v/>
      </c>
      <c r="J250" s="18"/>
    </row>
    <row r="251" spans="1:10" x14ac:dyDescent="0.45">
      <c r="A251" s="17"/>
      <c r="B251" s="18"/>
      <c r="C251" s="20"/>
      <c r="D251" s="20"/>
      <c r="E251" s="31" t="str">
        <f t="shared" si="15"/>
        <v/>
      </c>
      <c r="F251" s="31" t="str">
        <f t="shared" si="16"/>
        <v/>
      </c>
      <c r="G251" s="31" t="str">
        <f t="shared" si="17"/>
        <v/>
      </c>
      <c r="H251" s="31" t="str">
        <f t="shared" si="18"/>
        <v/>
      </c>
      <c r="I251" s="31" t="str">
        <f t="shared" si="19"/>
        <v/>
      </c>
      <c r="J251" s="18"/>
    </row>
    <row r="252" spans="1:10" x14ac:dyDescent="0.45">
      <c r="A252" s="17"/>
      <c r="B252" s="18"/>
      <c r="C252" s="20"/>
      <c r="D252" s="20"/>
      <c r="E252" s="31" t="str">
        <f t="shared" si="15"/>
        <v/>
      </c>
      <c r="F252" s="31" t="str">
        <f t="shared" si="16"/>
        <v/>
      </c>
      <c r="G252" s="31" t="str">
        <f t="shared" si="17"/>
        <v/>
      </c>
      <c r="H252" s="31" t="str">
        <f t="shared" si="18"/>
        <v/>
      </c>
      <c r="I252" s="31" t="str">
        <f t="shared" si="19"/>
        <v/>
      </c>
      <c r="J252" s="18"/>
    </row>
    <row r="253" spans="1:10" x14ac:dyDescent="0.45">
      <c r="A253" s="17"/>
      <c r="B253" s="18"/>
      <c r="C253" s="20"/>
      <c r="D253" s="20"/>
      <c r="E253" s="31" t="str">
        <f t="shared" si="15"/>
        <v/>
      </c>
      <c r="F253" s="31" t="str">
        <f t="shared" si="16"/>
        <v/>
      </c>
      <c r="G253" s="31" t="str">
        <f t="shared" si="17"/>
        <v/>
      </c>
      <c r="H253" s="31" t="str">
        <f t="shared" si="18"/>
        <v/>
      </c>
      <c r="I253" s="31" t="str">
        <f t="shared" si="19"/>
        <v/>
      </c>
      <c r="J253" s="18"/>
    </row>
    <row r="254" spans="1:10" x14ac:dyDescent="0.45">
      <c r="A254" s="17"/>
      <c r="B254" s="18"/>
      <c r="C254" s="20"/>
      <c r="D254" s="20"/>
      <c r="E254" s="31" t="str">
        <f t="shared" si="15"/>
        <v/>
      </c>
      <c r="F254" s="31" t="str">
        <f t="shared" si="16"/>
        <v/>
      </c>
      <c r="G254" s="31" t="str">
        <f t="shared" si="17"/>
        <v/>
      </c>
      <c r="H254" s="31" t="str">
        <f t="shared" si="18"/>
        <v/>
      </c>
      <c r="I254" s="31" t="str">
        <f t="shared" si="19"/>
        <v/>
      </c>
      <c r="J254" s="18"/>
    </row>
    <row r="255" spans="1:10" x14ac:dyDescent="0.45">
      <c r="A255" s="17"/>
      <c r="B255" s="18"/>
      <c r="C255" s="20"/>
      <c r="D255" s="20"/>
      <c r="E255" s="31" t="str">
        <f t="shared" si="15"/>
        <v/>
      </c>
      <c r="F255" s="31" t="str">
        <f t="shared" si="16"/>
        <v/>
      </c>
      <c r="G255" s="31" t="str">
        <f t="shared" si="17"/>
        <v/>
      </c>
      <c r="H255" s="31" t="str">
        <f t="shared" si="18"/>
        <v/>
      </c>
      <c r="I255" s="31" t="str">
        <f t="shared" si="19"/>
        <v/>
      </c>
      <c r="J255" s="18"/>
    </row>
    <row r="256" spans="1:10" x14ac:dyDescent="0.45">
      <c r="A256" s="17"/>
      <c r="B256" s="18"/>
      <c r="C256" s="20"/>
      <c r="D256" s="20"/>
      <c r="E256" s="31" t="str">
        <f t="shared" si="15"/>
        <v/>
      </c>
      <c r="F256" s="31" t="str">
        <f t="shared" si="16"/>
        <v/>
      </c>
      <c r="G256" s="31" t="str">
        <f t="shared" si="17"/>
        <v/>
      </c>
      <c r="H256" s="31" t="str">
        <f t="shared" si="18"/>
        <v/>
      </c>
      <c r="I256" s="31" t="str">
        <f t="shared" si="19"/>
        <v/>
      </c>
      <c r="J256" s="18"/>
    </row>
    <row r="257" spans="1:10" x14ac:dyDescent="0.45">
      <c r="A257" s="17"/>
      <c r="B257" s="18"/>
      <c r="C257" s="20"/>
      <c r="D257" s="20"/>
      <c r="E257" s="31" t="str">
        <f t="shared" si="15"/>
        <v/>
      </c>
      <c r="F257" s="31" t="str">
        <f t="shared" si="16"/>
        <v/>
      </c>
      <c r="G257" s="31" t="str">
        <f t="shared" si="17"/>
        <v/>
      </c>
      <c r="H257" s="31" t="str">
        <f t="shared" si="18"/>
        <v/>
      </c>
      <c r="I257" s="31" t="str">
        <f t="shared" si="19"/>
        <v/>
      </c>
      <c r="J257" s="18"/>
    </row>
    <row r="258" spans="1:10" x14ac:dyDescent="0.45">
      <c r="A258" s="17"/>
      <c r="B258" s="18"/>
      <c r="C258" s="20"/>
      <c r="D258" s="20"/>
      <c r="E258" s="31" t="str">
        <f t="shared" si="15"/>
        <v/>
      </c>
      <c r="F258" s="31" t="str">
        <f t="shared" si="16"/>
        <v/>
      </c>
      <c r="G258" s="31" t="str">
        <f t="shared" si="17"/>
        <v/>
      </c>
      <c r="H258" s="31" t="str">
        <f t="shared" si="18"/>
        <v/>
      </c>
      <c r="I258" s="31" t="str">
        <f t="shared" si="19"/>
        <v/>
      </c>
      <c r="J258" s="18"/>
    </row>
    <row r="259" spans="1:10" x14ac:dyDescent="0.45">
      <c r="A259" s="17"/>
      <c r="B259" s="18"/>
      <c r="C259" s="20"/>
      <c r="D259" s="20"/>
      <c r="E259" s="31" t="str">
        <f t="shared" si="15"/>
        <v/>
      </c>
      <c r="F259" s="31" t="str">
        <f t="shared" si="16"/>
        <v/>
      </c>
      <c r="G259" s="31" t="str">
        <f t="shared" si="17"/>
        <v/>
      </c>
      <c r="H259" s="31" t="str">
        <f t="shared" si="18"/>
        <v/>
      </c>
      <c r="I259" s="31" t="str">
        <f t="shared" si="19"/>
        <v/>
      </c>
      <c r="J259" s="18"/>
    </row>
    <row r="260" spans="1:10" x14ac:dyDescent="0.45">
      <c r="A260" s="17"/>
      <c r="B260" s="18"/>
      <c r="C260" s="20"/>
      <c r="D260" s="20"/>
      <c r="E260" s="31" t="str">
        <f t="shared" si="15"/>
        <v/>
      </c>
      <c r="F260" s="31" t="str">
        <f t="shared" si="16"/>
        <v/>
      </c>
      <c r="G260" s="31" t="str">
        <f t="shared" si="17"/>
        <v/>
      </c>
      <c r="H260" s="31" t="str">
        <f t="shared" si="18"/>
        <v/>
      </c>
      <c r="I260" s="31" t="str">
        <f t="shared" si="19"/>
        <v/>
      </c>
      <c r="J260" s="18"/>
    </row>
    <row r="261" spans="1:10" x14ac:dyDescent="0.45">
      <c r="A261" s="17"/>
      <c r="B261" s="18"/>
      <c r="C261" s="20"/>
      <c r="D261" s="20"/>
      <c r="E261" s="31" t="str">
        <f t="shared" ref="E261:E324" si="20">IF(OR(A261="",C261="",D261=""),"",ROUND(MAX(0,MIN((D261+(C261&lt;4/24)+(D261&lt;C261)),8/24)-MAX((C261+(C261&lt;4/24)),4/24))*24,2))</f>
        <v/>
      </c>
      <c r="F261" s="31" t="str">
        <f t="shared" ref="F261:F304" si="21">IF(OR(A261="",C261="",D261=""),"",ROUND(MAX(0,MIN((D261+(C261&lt;4/24)+(D261&lt;C261)),22/24)-MAX((C261+(C261&lt;4/24)),17/24))*24,2))</f>
        <v/>
      </c>
      <c r="G261" s="31" t="str">
        <f t="shared" ref="G261:G304" si="22">IF(OR(A261="",C261="",D261=""),"",ROUND(MAX(0,MIN((D261+(C261&lt;4/24)+(D261&lt;C261)),1)-MAX((C261+(C261&lt;4/24)),22/24))*24,2))</f>
        <v/>
      </c>
      <c r="H261" s="31" t="str">
        <f t="shared" ref="H261:H304" si="23">IF(OR(A261="",C261="",D261=""),"",ROUND(MAX(0,MIN((D261+(C261&lt;4/24)+(D261&lt;C261)),28/24)-MAX((C261+(C261&lt;4/24)),1))*24,2))</f>
        <v/>
      </c>
      <c r="I261" s="31" t="str">
        <f t="shared" ref="I261:I324" si="24">IF(OR(A261="",C261="",D261=""),"",SUM(E261:H261))</f>
        <v/>
      </c>
      <c r="J261" s="18"/>
    </row>
    <row r="262" spans="1:10" x14ac:dyDescent="0.45">
      <c r="A262" s="17"/>
      <c r="B262" s="18"/>
      <c r="C262" s="20"/>
      <c r="D262" s="20"/>
      <c r="E262" s="31" t="str">
        <f t="shared" si="20"/>
        <v/>
      </c>
      <c r="F262" s="31" t="str">
        <f t="shared" si="21"/>
        <v/>
      </c>
      <c r="G262" s="31" t="str">
        <f t="shared" si="22"/>
        <v/>
      </c>
      <c r="H262" s="31" t="str">
        <f t="shared" si="23"/>
        <v/>
      </c>
      <c r="I262" s="31" t="str">
        <f t="shared" si="24"/>
        <v/>
      </c>
      <c r="J262" s="18"/>
    </row>
    <row r="263" spans="1:10" x14ac:dyDescent="0.45">
      <c r="A263" s="17"/>
      <c r="B263" s="18"/>
      <c r="C263" s="20"/>
      <c r="D263" s="20"/>
      <c r="E263" s="31" t="str">
        <f t="shared" si="20"/>
        <v/>
      </c>
      <c r="F263" s="31" t="str">
        <f t="shared" si="21"/>
        <v/>
      </c>
      <c r="G263" s="31" t="str">
        <f t="shared" si="22"/>
        <v/>
      </c>
      <c r="H263" s="31" t="str">
        <f t="shared" si="23"/>
        <v/>
      </c>
      <c r="I263" s="31" t="str">
        <f t="shared" si="24"/>
        <v/>
      </c>
      <c r="J263" s="18"/>
    </row>
    <row r="264" spans="1:10" x14ac:dyDescent="0.45">
      <c r="A264" s="17"/>
      <c r="B264" s="18"/>
      <c r="C264" s="20"/>
      <c r="D264" s="20"/>
      <c r="E264" s="31" t="str">
        <f t="shared" si="20"/>
        <v/>
      </c>
      <c r="F264" s="31" t="str">
        <f t="shared" si="21"/>
        <v/>
      </c>
      <c r="G264" s="31" t="str">
        <f t="shared" si="22"/>
        <v/>
      </c>
      <c r="H264" s="31" t="str">
        <f t="shared" si="23"/>
        <v/>
      </c>
      <c r="I264" s="31" t="str">
        <f t="shared" si="24"/>
        <v/>
      </c>
      <c r="J264" s="18"/>
    </row>
    <row r="265" spans="1:10" x14ac:dyDescent="0.45">
      <c r="A265" s="17"/>
      <c r="B265" s="18"/>
      <c r="C265" s="20"/>
      <c r="D265" s="20"/>
      <c r="E265" s="31" t="str">
        <f t="shared" si="20"/>
        <v/>
      </c>
      <c r="F265" s="31" t="str">
        <f t="shared" si="21"/>
        <v/>
      </c>
      <c r="G265" s="31" t="str">
        <f t="shared" si="22"/>
        <v/>
      </c>
      <c r="H265" s="31" t="str">
        <f t="shared" si="23"/>
        <v/>
      </c>
      <c r="I265" s="31" t="str">
        <f t="shared" si="24"/>
        <v/>
      </c>
      <c r="J265" s="18"/>
    </row>
    <row r="266" spans="1:10" x14ac:dyDescent="0.45">
      <c r="A266" s="17"/>
      <c r="B266" s="18"/>
      <c r="C266" s="20"/>
      <c r="D266" s="20"/>
      <c r="E266" s="31" t="str">
        <f t="shared" si="20"/>
        <v/>
      </c>
      <c r="F266" s="31" t="str">
        <f t="shared" si="21"/>
        <v/>
      </c>
      <c r="G266" s="31" t="str">
        <f t="shared" si="22"/>
        <v/>
      </c>
      <c r="H266" s="31" t="str">
        <f t="shared" si="23"/>
        <v/>
      </c>
      <c r="I266" s="31" t="str">
        <f t="shared" si="24"/>
        <v/>
      </c>
      <c r="J266" s="18"/>
    </row>
    <row r="267" spans="1:10" x14ac:dyDescent="0.45">
      <c r="A267" s="17"/>
      <c r="B267" s="18"/>
      <c r="C267" s="20"/>
      <c r="D267" s="20"/>
      <c r="E267" s="31" t="str">
        <f t="shared" si="20"/>
        <v/>
      </c>
      <c r="F267" s="31" t="str">
        <f t="shared" si="21"/>
        <v/>
      </c>
      <c r="G267" s="31" t="str">
        <f t="shared" si="22"/>
        <v/>
      </c>
      <c r="H267" s="31" t="str">
        <f t="shared" si="23"/>
        <v/>
      </c>
      <c r="I267" s="31" t="str">
        <f t="shared" si="24"/>
        <v/>
      </c>
      <c r="J267" s="18"/>
    </row>
    <row r="268" spans="1:10" x14ac:dyDescent="0.45">
      <c r="A268" s="17"/>
      <c r="B268" s="18"/>
      <c r="C268" s="20"/>
      <c r="D268" s="20"/>
      <c r="E268" s="31" t="str">
        <f t="shared" si="20"/>
        <v/>
      </c>
      <c r="F268" s="31" t="str">
        <f t="shared" si="21"/>
        <v/>
      </c>
      <c r="G268" s="31" t="str">
        <f t="shared" si="22"/>
        <v/>
      </c>
      <c r="H268" s="31" t="str">
        <f t="shared" si="23"/>
        <v/>
      </c>
      <c r="I268" s="31" t="str">
        <f t="shared" si="24"/>
        <v/>
      </c>
      <c r="J268" s="18"/>
    </row>
    <row r="269" spans="1:10" x14ac:dyDescent="0.45">
      <c r="A269" s="17"/>
      <c r="B269" s="18"/>
      <c r="C269" s="20"/>
      <c r="D269" s="20"/>
      <c r="E269" s="31" t="str">
        <f t="shared" si="20"/>
        <v/>
      </c>
      <c r="F269" s="31" t="str">
        <f t="shared" si="21"/>
        <v/>
      </c>
      <c r="G269" s="31" t="str">
        <f t="shared" si="22"/>
        <v/>
      </c>
      <c r="H269" s="31" t="str">
        <f t="shared" si="23"/>
        <v/>
      </c>
      <c r="I269" s="31" t="str">
        <f t="shared" si="24"/>
        <v/>
      </c>
      <c r="J269" s="18"/>
    </row>
    <row r="270" spans="1:10" x14ac:dyDescent="0.45">
      <c r="A270" s="17"/>
      <c r="B270" s="18"/>
      <c r="C270" s="20"/>
      <c r="D270" s="20"/>
      <c r="E270" s="31" t="str">
        <f t="shared" si="20"/>
        <v/>
      </c>
      <c r="F270" s="31" t="str">
        <f t="shared" si="21"/>
        <v/>
      </c>
      <c r="G270" s="31" t="str">
        <f t="shared" si="22"/>
        <v/>
      </c>
      <c r="H270" s="31" t="str">
        <f t="shared" si="23"/>
        <v/>
      </c>
      <c r="I270" s="31" t="str">
        <f t="shared" si="24"/>
        <v/>
      </c>
      <c r="J270" s="18"/>
    </row>
    <row r="271" spans="1:10" x14ac:dyDescent="0.45">
      <c r="A271" s="17"/>
      <c r="B271" s="18"/>
      <c r="C271" s="20"/>
      <c r="D271" s="20"/>
      <c r="E271" s="31" t="str">
        <f t="shared" si="20"/>
        <v/>
      </c>
      <c r="F271" s="31" t="str">
        <f t="shared" si="21"/>
        <v/>
      </c>
      <c r="G271" s="31" t="str">
        <f t="shared" si="22"/>
        <v/>
      </c>
      <c r="H271" s="31" t="str">
        <f t="shared" si="23"/>
        <v/>
      </c>
      <c r="I271" s="31" t="str">
        <f t="shared" si="24"/>
        <v/>
      </c>
      <c r="J271" s="18"/>
    </row>
    <row r="272" spans="1:10" x14ac:dyDescent="0.45">
      <c r="A272" s="17"/>
      <c r="B272" s="18"/>
      <c r="C272" s="20"/>
      <c r="D272" s="20"/>
      <c r="E272" s="31" t="str">
        <f t="shared" si="20"/>
        <v/>
      </c>
      <c r="F272" s="31" t="str">
        <f t="shared" si="21"/>
        <v/>
      </c>
      <c r="G272" s="31" t="str">
        <f t="shared" si="22"/>
        <v/>
      </c>
      <c r="H272" s="31" t="str">
        <f t="shared" si="23"/>
        <v/>
      </c>
      <c r="I272" s="31" t="str">
        <f t="shared" si="24"/>
        <v/>
      </c>
      <c r="J272" s="18"/>
    </row>
    <row r="273" spans="1:10" x14ac:dyDescent="0.45">
      <c r="A273" s="17"/>
      <c r="B273" s="18"/>
      <c r="C273" s="20"/>
      <c r="D273" s="20"/>
      <c r="E273" s="31" t="str">
        <f t="shared" si="20"/>
        <v/>
      </c>
      <c r="F273" s="31" t="str">
        <f t="shared" si="21"/>
        <v/>
      </c>
      <c r="G273" s="31" t="str">
        <f t="shared" si="22"/>
        <v/>
      </c>
      <c r="H273" s="31" t="str">
        <f t="shared" si="23"/>
        <v/>
      </c>
      <c r="I273" s="31" t="str">
        <f t="shared" si="24"/>
        <v/>
      </c>
      <c r="J273" s="18"/>
    </row>
    <row r="274" spans="1:10" x14ac:dyDescent="0.45">
      <c r="A274" s="17"/>
      <c r="B274" s="18"/>
      <c r="C274" s="20"/>
      <c r="D274" s="20"/>
      <c r="E274" s="31" t="str">
        <f t="shared" si="20"/>
        <v/>
      </c>
      <c r="F274" s="31" t="str">
        <f t="shared" si="21"/>
        <v/>
      </c>
      <c r="G274" s="31" t="str">
        <f t="shared" si="22"/>
        <v/>
      </c>
      <c r="H274" s="31" t="str">
        <f t="shared" si="23"/>
        <v/>
      </c>
      <c r="I274" s="31" t="str">
        <f t="shared" si="24"/>
        <v/>
      </c>
      <c r="J274" s="18"/>
    </row>
    <row r="275" spans="1:10" x14ac:dyDescent="0.45">
      <c r="A275" s="17"/>
      <c r="B275" s="18"/>
      <c r="C275" s="20"/>
      <c r="D275" s="20"/>
      <c r="E275" s="31" t="str">
        <f t="shared" si="20"/>
        <v/>
      </c>
      <c r="F275" s="31" t="str">
        <f t="shared" si="21"/>
        <v/>
      </c>
      <c r="G275" s="31" t="str">
        <f t="shared" si="22"/>
        <v/>
      </c>
      <c r="H275" s="31" t="str">
        <f t="shared" si="23"/>
        <v/>
      </c>
      <c r="I275" s="31" t="str">
        <f t="shared" si="24"/>
        <v/>
      </c>
      <c r="J275" s="18"/>
    </row>
    <row r="276" spans="1:10" x14ac:dyDescent="0.45">
      <c r="A276" s="17"/>
      <c r="B276" s="18"/>
      <c r="C276" s="20"/>
      <c r="D276" s="20"/>
      <c r="E276" s="31" t="str">
        <f t="shared" si="20"/>
        <v/>
      </c>
      <c r="F276" s="31" t="str">
        <f t="shared" si="21"/>
        <v/>
      </c>
      <c r="G276" s="31" t="str">
        <f t="shared" si="22"/>
        <v/>
      </c>
      <c r="H276" s="31" t="str">
        <f t="shared" si="23"/>
        <v/>
      </c>
      <c r="I276" s="31" t="str">
        <f t="shared" si="24"/>
        <v/>
      </c>
      <c r="J276" s="18"/>
    </row>
    <row r="277" spans="1:10" x14ac:dyDescent="0.45">
      <c r="A277" s="17"/>
      <c r="B277" s="18"/>
      <c r="C277" s="20"/>
      <c r="D277" s="20"/>
      <c r="E277" s="31" t="str">
        <f t="shared" si="20"/>
        <v/>
      </c>
      <c r="F277" s="31" t="str">
        <f t="shared" si="21"/>
        <v/>
      </c>
      <c r="G277" s="31" t="str">
        <f t="shared" si="22"/>
        <v/>
      </c>
      <c r="H277" s="31" t="str">
        <f t="shared" si="23"/>
        <v/>
      </c>
      <c r="I277" s="31" t="str">
        <f t="shared" si="24"/>
        <v/>
      </c>
      <c r="J277" s="18"/>
    </row>
    <row r="278" spans="1:10" x14ac:dyDescent="0.45">
      <c r="A278" s="17"/>
      <c r="B278" s="18"/>
      <c r="C278" s="20"/>
      <c r="D278" s="20"/>
      <c r="E278" s="31" t="str">
        <f t="shared" si="20"/>
        <v/>
      </c>
      <c r="F278" s="31" t="str">
        <f t="shared" si="21"/>
        <v/>
      </c>
      <c r="G278" s="31" t="str">
        <f t="shared" si="22"/>
        <v/>
      </c>
      <c r="H278" s="31" t="str">
        <f t="shared" si="23"/>
        <v/>
      </c>
      <c r="I278" s="31" t="str">
        <f t="shared" si="24"/>
        <v/>
      </c>
      <c r="J278" s="18"/>
    </row>
    <row r="279" spans="1:10" x14ac:dyDescent="0.45">
      <c r="A279" s="17"/>
      <c r="B279" s="18"/>
      <c r="C279" s="20"/>
      <c r="D279" s="20"/>
      <c r="E279" s="31" t="str">
        <f t="shared" si="20"/>
        <v/>
      </c>
      <c r="F279" s="31" t="str">
        <f t="shared" si="21"/>
        <v/>
      </c>
      <c r="G279" s="31" t="str">
        <f t="shared" si="22"/>
        <v/>
      </c>
      <c r="H279" s="31" t="str">
        <f t="shared" si="23"/>
        <v/>
      </c>
      <c r="I279" s="31" t="str">
        <f t="shared" si="24"/>
        <v/>
      </c>
      <c r="J279" s="18"/>
    </row>
    <row r="280" spans="1:10" x14ac:dyDescent="0.45">
      <c r="A280" s="17"/>
      <c r="B280" s="18"/>
      <c r="C280" s="20"/>
      <c r="D280" s="20"/>
      <c r="E280" s="31" t="str">
        <f t="shared" si="20"/>
        <v/>
      </c>
      <c r="F280" s="31" t="str">
        <f t="shared" si="21"/>
        <v/>
      </c>
      <c r="G280" s="31" t="str">
        <f t="shared" si="22"/>
        <v/>
      </c>
      <c r="H280" s="31" t="str">
        <f t="shared" si="23"/>
        <v/>
      </c>
      <c r="I280" s="31" t="str">
        <f t="shared" si="24"/>
        <v/>
      </c>
      <c r="J280" s="18"/>
    </row>
    <row r="281" spans="1:10" x14ac:dyDescent="0.45">
      <c r="A281" s="17"/>
      <c r="B281" s="18"/>
      <c r="C281" s="20"/>
      <c r="D281" s="20"/>
      <c r="E281" s="31" t="str">
        <f t="shared" si="20"/>
        <v/>
      </c>
      <c r="F281" s="31" t="str">
        <f t="shared" si="21"/>
        <v/>
      </c>
      <c r="G281" s="31" t="str">
        <f t="shared" si="22"/>
        <v/>
      </c>
      <c r="H281" s="31" t="str">
        <f t="shared" si="23"/>
        <v/>
      </c>
      <c r="I281" s="31" t="str">
        <f t="shared" si="24"/>
        <v/>
      </c>
      <c r="J281" s="18"/>
    </row>
    <row r="282" spans="1:10" x14ac:dyDescent="0.45">
      <c r="A282" s="17"/>
      <c r="B282" s="18"/>
      <c r="C282" s="20"/>
      <c r="D282" s="20"/>
      <c r="E282" s="31" t="str">
        <f t="shared" si="20"/>
        <v/>
      </c>
      <c r="F282" s="31" t="str">
        <f t="shared" si="21"/>
        <v/>
      </c>
      <c r="G282" s="31" t="str">
        <f t="shared" si="22"/>
        <v/>
      </c>
      <c r="H282" s="31" t="str">
        <f t="shared" si="23"/>
        <v/>
      </c>
      <c r="I282" s="31" t="str">
        <f t="shared" si="24"/>
        <v/>
      </c>
      <c r="J282" s="18"/>
    </row>
    <row r="283" spans="1:10" x14ac:dyDescent="0.45">
      <c r="A283" s="17"/>
      <c r="B283" s="18"/>
      <c r="C283" s="20"/>
      <c r="D283" s="20"/>
      <c r="E283" s="31" t="str">
        <f t="shared" si="20"/>
        <v/>
      </c>
      <c r="F283" s="31" t="str">
        <f t="shared" si="21"/>
        <v/>
      </c>
      <c r="G283" s="31" t="str">
        <f t="shared" si="22"/>
        <v/>
      </c>
      <c r="H283" s="31" t="str">
        <f t="shared" si="23"/>
        <v/>
      </c>
      <c r="I283" s="31" t="str">
        <f t="shared" si="24"/>
        <v/>
      </c>
      <c r="J283" s="18"/>
    </row>
    <row r="284" spans="1:10" x14ac:dyDescent="0.45">
      <c r="A284" s="17"/>
      <c r="B284" s="18"/>
      <c r="C284" s="20"/>
      <c r="D284" s="20"/>
      <c r="E284" s="31" t="str">
        <f t="shared" si="20"/>
        <v/>
      </c>
      <c r="F284" s="31" t="str">
        <f t="shared" si="21"/>
        <v/>
      </c>
      <c r="G284" s="31" t="str">
        <f t="shared" si="22"/>
        <v/>
      </c>
      <c r="H284" s="31" t="str">
        <f t="shared" si="23"/>
        <v/>
      </c>
      <c r="I284" s="31" t="str">
        <f t="shared" si="24"/>
        <v/>
      </c>
      <c r="J284" s="18"/>
    </row>
    <row r="285" spans="1:10" x14ac:dyDescent="0.45">
      <c r="A285" s="17"/>
      <c r="B285" s="18"/>
      <c r="C285" s="20"/>
      <c r="D285" s="20"/>
      <c r="E285" s="31" t="str">
        <f t="shared" si="20"/>
        <v/>
      </c>
      <c r="F285" s="31" t="str">
        <f t="shared" si="21"/>
        <v/>
      </c>
      <c r="G285" s="31" t="str">
        <f t="shared" si="22"/>
        <v/>
      </c>
      <c r="H285" s="31" t="str">
        <f t="shared" si="23"/>
        <v/>
      </c>
      <c r="I285" s="31" t="str">
        <f t="shared" si="24"/>
        <v/>
      </c>
      <c r="J285" s="18"/>
    </row>
    <row r="286" spans="1:10" x14ac:dyDescent="0.45">
      <c r="A286" s="17"/>
      <c r="B286" s="18"/>
      <c r="C286" s="20"/>
      <c r="D286" s="20"/>
      <c r="E286" s="31" t="str">
        <f t="shared" si="20"/>
        <v/>
      </c>
      <c r="F286" s="31" t="str">
        <f t="shared" si="21"/>
        <v/>
      </c>
      <c r="G286" s="31" t="str">
        <f t="shared" si="22"/>
        <v/>
      </c>
      <c r="H286" s="31" t="str">
        <f t="shared" si="23"/>
        <v/>
      </c>
      <c r="I286" s="31" t="str">
        <f t="shared" si="24"/>
        <v/>
      </c>
      <c r="J286" s="18"/>
    </row>
    <row r="287" spans="1:10" x14ac:dyDescent="0.45">
      <c r="A287" s="17"/>
      <c r="B287" s="18"/>
      <c r="C287" s="20"/>
      <c r="D287" s="20"/>
      <c r="E287" s="31" t="str">
        <f t="shared" si="20"/>
        <v/>
      </c>
      <c r="F287" s="31" t="str">
        <f t="shared" si="21"/>
        <v/>
      </c>
      <c r="G287" s="31" t="str">
        <f t="shared" si="22"/>
        <v/>
      </c>
      <c r="H287" s="31" t="str">
        <f t="shared" si="23"/>
        <v/>
      </c>
      <c r="I287" s="31" t="str">
        <f t="shared" si="24"/>
        <v/>
      </c>
      <c r="J287" s="18"/>
    </row>
    <row r="288" spans="1:10" x14ac:dyDescent="0.45">
      <c r="A288" s="17"/>
      <c r="B288" s="18"/>
      <c r="C288" s="20"/>
      <c r="D288" s="20"/>
      <c r="E288" s="31" t="str">
        <f t="shared" si="20"/>
        <v/>
      </c>
      <c r="F288" s="31" t="str">
        <f t="shared" si="21"/>
        <v/>
      </c>
      <c r="G288" s="31" t="str">
        <f t="shared" si="22"/>
        <v/>
      </c>
      <c r="H288" s="31" t="str">
        <f t="shared" si="23"/>
        <v/>
      </c>
      <c r="I288" s="31" t="str">
        <f t="shared" si="24"/>
        <v/>
      </c>
      <c r="J288" s="18"/>
    </row>
    <row r="289" spans="1:10" x14ac:dyDescent="0.45">
      <c r="A289" s="17"/>
      <c r="B289" s="18"/>
      <c r="C289" s="20"/>
      <c r="D289" s="20"/>
      <c r="E289" s="31" t="str">
        <f t="shared" si="20"/>
        <v/>
      </c>
      <c r="F289" s="31" t="str">
        <f t="shared" si="21"/>
        <v/>
      </c>
      <c r="G289" s="31" t="str">
        <f t="shared" si="22"/>
        <v/>
      </c>
      <c r="H289" s="31" t="str">
        <f t="shared" si="23"/>
        <v/>
      </c>
      <c r="I289" s="31" t="str">
        <f t="shared" si="24"/>
        <v/>
      </c>
      <c r="J289" s="18"/>
    </row>
    <row r="290" spans="1:10" x14ac:dyDescent="0.45">
      <c r="A290" s="17"/>
      <c r="B290" s="18"/>
      <c r="C290" s="20"/>
      <c r="D290" s="20"/>
      <c r="E290" s="31" t="str">
        <f t="shared" si="20"/>
        <v/>
      </c>
      <c r="F290" s="31" t="str">
        <f t="shared" si="21"/>
        <v/>
      </c>
      <c r="G290" s="31" t="str">
        <f t="shared" si="22"/>
        <v/>
      </c>
      <c r="H290" s="31" t="str">
        <f t="shared" si="23"/>
        <v/>
      </c>
      <c r="I290" s="31" t="str">
        <f t="shared" si="24"/>
        <v/>
      </c>
      <c r="J290" s="18"/>
    </row>
    <row r="291" spans="1:10" x14ac:dyDescent="0.45">
      <c r="A291" s="17"/>
      <c r="B291" s="18"/>
      <c r="C291" s="20"/>
      <c r="D291" s="20"/>
      <c r="E291" s="31" t="str">
        <f t="shared" si="20"/>
        <v/>
      </c>
      <c r="F291" s="31" t="str">
        <f t="shared" si="21"/>
        <v/>
      </c>
      <c r="G291" s="31" t="str">
        <f t="shared" si="22"/>
        <v/>
      </c>
      <c r="H291" s="31" t="str">
        <f t="shared" si="23"/>
        <v/>
      </c>
      <c r="I291" s="31" t="str">
        <f t="shared" si="24"/>
        <v/>
      </c>
      <c r="J291" s="18"/>
    </row>
    <row r="292" spans="1:10" x14ac:dyDescent="0.45">
      <c r="A292" s="17"/>
      <c r="B292" s="18"/>
      <c r="C292" s="20"/>
      <c r="D292" s="20"/>
      <c r="E292" s="31" t="str">
        <f t="shared" si="20"/>
        <v/>
      </c>
      <c r="F292" s="31" t="str">
        <f t="shared" si="21"/>
        <v/>
      </c>
      <c r="G292" s="31" t="str">
        <f t="shared" si="22"/>
        <v/>
      </c>
      <c r="H292" s="31" t="str">
        <f t="shared" si="23"/>
        <v/>
      </c>
      <c r="I292" s="31" t="str">
        <f t="shared" si="24"/>
        <v/>
      </c>
      <c r="J292" s="18"/>
    </row>
    <row r="293" spans="1:10" x14ac:dyDescent="0.45">
      <c r="A293" s="17"/>
      <c r="B293" s="18"/>
      <c r="C293" s="20"/>
      <c r="D293" s="20"/>
      <c r="E293" s="31" t="str">
        <f t="shared" si="20"/>
        <v/>
      </c>
      <c r="F293" s="31" t="str">
        <f t="shared" si="21"/>
        <v/>
      </c>
      <c r="G293" s="31" t="str">
        <f t="shared" si="22"/>
        <v/>
      </c>
      <c r="H293" s="31" t="str">
        <f t="shared" si="23"/>
        <v/>
      </c>
      <c r="I293" s="31" t="str">
        <f t="shared" si="24"/>
        <v/>
      </c>
      <c r="J293" s="18"/>
    </row>
    <row r="294" spans="1:10" x14ac:dyDescent="0.45">
      <c r="A294" s="17"/>
      <c r="B294" s="18"/>
      <c r="C294" s="20"/>
      <c r="D294" s="20"/>
      <c r="E294" s="31" t="str">
        <f t="shared" si="20"/>
        <v/>
      </c>
      <c r="F294" s="31" t="str">
        <f t="shared" si="21"/>
        <v/>
      </c>
      <c r="G294" s="31" t="str">
        <f t="shared" si="22"/>
        <v/>
      </c>
      <c r="H294" s="31" t="str">
        <f t="shared" si="23"/>
        <v/>
      </c>
      <c r="I294" s="31" t="str">
        <f t="shared" si="24"/>
        <v/>
      </c>
      <c r="J294" s="18"/>
    </row>
    <row r="295" spans="1:10" x14ac:dyDescent="0.45">
      <c r="A295" s="17"/>
      <c r="B295" s="18"/>
      <c r="C295" s="20"/>
      <c r="D295" s="20"/>
      <c r="E295" s="31" t="str">
        <f t="shared" si="20"/>
        <v/>
      </c>
      <c r="F295" s="31" t="str">
        <f t="shared" si="21"/>
        <v/>
      </c>
      <c r="G295" s="31" t="str">
        <f t="shared" si="22"/>
        <v/>
      </c>
      <c r="H295" s="31" t="str">
        <f t="shared" si="23"/>
        <v/>
      </c>
      <c r="I295" s="31" t="str">
        <f t="shared" si="24"/>
        <v/>
      </c>
      <c r="J295" s="18"/>
    </row>
    <row r="296" spans="1:10" x14ac:dyDescent="0.45">
      <c r="A296" s="17"/>
      <c r="B296" s="18"/>
      <c r="C296" s="20"/>
      <c r="D296" s="20"/>
      <c r="E296" s="31" t="str">
        <f t="shared" si="20"/>
        <v/>
      </c>
      <c r="F296" s="31" t="str">
        <f t="shared" si="21"/>
        <v/>
      </c>
      <c r="G296" s="31" t="str">
        <f t="shared" si="22"/>
        <v/>
      </c>
      <c r="H296" s="31" t="str">
        <f t="shared" si="23"/>
        <v/>
      </c>
      <c r="I296" s="31" t="str">
        <f t="shared" si="24"/>
        <v/>
      </c>
      <c r="J296" s="18"/>
    </row>
    <row r="297" spans="1:10" x14ac:dyDescent="0.45">
      <c r="A297" s="17"/>
      <c r="B297" s="18"/>
      <c r="C297" s="20"/>
      <c r="D297" s="20"/>
      <c r="E297" s="31" t="str">
        <f t="shared" si="20"/>
        <v/>
      </c>
      <c r="F297" s="31" t="str">
        <f t="shared" si="21"/>
        <v/>
      </c>
      <c r="G297" s="31" t="str">
        <f t="shared" si="22"/>
        <v/>
      </c>
      <c r="H297" s="31" t="str">
        <f t="shared" si="23"/>
        <v/>
      </c>
      <c r="I297" s="31" t="str">
        <f t="shared" si="24"/>
        <v/>
      </c>
      <c r="J297" s="18"/>
    </row>
    <row r="298" spans="1:10" x14ac:dyDescent="0.45">
      <c r="A298" s="17"/>
      <c r="B298" s="18"/>
      <c r="C298" s="20"/>
      <c r="D298" s="20"/>
      <c r="E298" s="31" t="str">
        <f t="shared" si="20"/>
        <v/>
      </c>
      <c r="F298" s="31" t="str">
        <f t="shared" si="21"/>
        <v/>
      </c>
      <c r="G298" s="31" t="str">
        <f t="shared" si="22"/>
        <v/>
      </c>
      <c r="H298" s="31" t="str">
        <f t="shared" si="23"/>
        <v/>
      </c>
      <c r="I298" s="31" t="str">
        <f t="shared" si="24"/>
        <v/>
      </c>
      <c r="J298" s="18"/>
    </row>
    <row r="299" spans="1:10" x14ac:dyDescent="0.45">
      <c r="A299" s="17"/>
      <c r="B299" s="18"/>
      <c r="C299" s="20"/>
      <c r="D299" s="20"/>
      <c r="E299" s="31" t="str">
        <f t="shared" si="20"/>
        <v/>
      </c>
      <c r="F299" s="31" t="str">
        <f t="shared" si="21"/>
        <v/>
      </c>
      <c r="G299" s="31" t="str">
        <f t="shared" si="22"/>
        <v/>
      </c>
      <c r="H299" s="31" t="str">
        <f t="shared" si="23"/>
        <v/>
      </c>
      <c r="I299" s="31" t="str">
        <f t="shared" si="24"/>
        <v/>
      </c>
      <c r="J299" s="18"/>
    </row>
    <row r="300" spans="1:10" x14ac:dyDescent="0.45">
      <c r="A300" s="17"/>
      <c r="B300" s="18"/>
      <c r="C300" s="20"/>
      <c r="D300" s="20"/>
      <c r="E300" s="31" t="str">
        <f t="shared" si="20"/>
        <v/>
      </c>
      <c r="F300" s="31" t="str">
        <f t="shared" si="21"/>
        <v/>
      </c>
      <c r="G300" s="31" t="str">
        <f t="shared" si="22"/>
        <v/>
      </c>
      <c r="H300" s="31" t="str">
        <f t="shared" si="23"/>
        <v/>
      </c>
      <c r="I300" s="31" t="str">
        <f t="shared" si="24"/>
        <v/>
      </c>
      <c r="J300" s="18"/>
    </row>
    <row r="301" spans="1:10" x14ac:dyDescent="0.45">
      <c r="A301" s="17"/>
      <c r="B301" s="18"/>
      <c r="C301" s="20"/>
      <c r="D301" s="20"/>
      <c r="E301" s="31" t="str">
        <f t="shared" si="20"/>
        <v/>
      </c>
      <c r="F301" s="31" t="str">
        <f t="shared" si="21"/>
        <v/>
      </c>
      <c r="G301" s="31" t="str">
        <f t="shared" si="22"/>
        <v/>
      </c>
      <c r="H301" s="31" t="str">
        <f t="shared" si="23"/>
        <v/>
      </c>
      <c r="I301" s="31" t="str">
        <f t="shared" si="24"/>
        <v/>
      </c>
      <c r="J301" s="18"/>
    </row>
    <row r="302" spans="1:10" x14ac:dyDescent="0.45">
      <c r="A302" s="17"/>
      <c r="B302" s="18"/>
      <c r="C302" s="20"/>
      <c r="D302" s="20"/>
      <c r="E302" s="31" t="str">
        <f t="shared" si="20"/>
        <v/>
      </c>
      <c r="F302" s="31" t="str">
        <f t="shared" si="21"/>
        <v/>
      </c>
      <c r="G302" s="31" t="str">
        <f t="shared" si="22"/>
        <v/>
      </c>
      <c r="H302" s="31" t="str">
        <f t="shared" si="23"/>
        <v/>
      </c>
      <c r="I302" s="31" t="str">
        <f t="shared" si="24"/>
        <v/>
      </c>
      <c r="J302" s="18"/>
    </row>
    <row r="303" spans="1:10" x14ac:dyDescent="0.45">
      <c r="A303" s="17"/>
      <c r="B303" s="18"/>
      <c r="C303" s="20"/>
      <c r="D303" s="20"/>
      <c r="E303" s="31" t="str">
        <f t="shared" si="20"/>
        <v/>
      </c>
      <c r="F303" s="31" t="str">
        <f t="shared" si="21"/>
        <v/>
      </c>
      <c r="G303" s="31" t="str">
        <f t="shared" si="22"/>
        <v/>
      </c>
      <c r="H303" s="31" t="str">
        <f t="shared" si="23"/>
        <v/>
      </c>
      <c r="I303" s="31" t="str">
        <f t="shared" si="24"/>
        <v/>
      </c>
      <c r="J303" s="18"/>
    </row>
    <row r="304" spans="1:10" x14ac:dyDescent="0.45">
      <c r="A304" s="17"/>
      <c r="B304" s="18"/>
      <c r="C304" s="20"/>
      <c r="D304" s="20"/>
      <c r="E304" s="31" t="str">
        <f t="shared" si="20"/>
        <v/>
      </c>
      <c r="F304" s="31" t="str">
        <f t="shared" si="21"/>
        <v/>
      </c>
      <c r="G304" s="31" t="str">
        <f t="shared" si="22"/>
        <v/>
      </c>
      <c r="H304" s="31" t="str">
        <f t="shared" si="23"/>
        <v/>
      </c>
      <c r="I304" s="31" t="str">
        <f t="shared" si="24"/>
        <v/>
      </c>
      <c r="J304" s="18"/>
    </row>
  </sheetData>
  <mergeCells count="2">
    <mergeCell ref="A3:D3"/>
    <mergeCell ref="E3:I3"/>
  </mergeCells>
  <pageMargins left="0.75" right="0.75" top="1" bottom="1" header="0.511811023622047" footer="0.511811023622047"/>
  <pageSetup paperSize="9" orientation="portrait" horizontalDpi="300" verticalDpi="300"/>
  <extLst>
    <ext xmlns:x14="http://schemas.microsoft.com/office/spreadsheetml/2009/9/main" uri="{CCE6A557-97BC-4b89-ADB6-D9C93CAAB3DF}">
      <x14:dataValidations xmlns:xm="http://schemas.microsoft.com/office/excel/2006/main" count="1">
        <x14:dataValidation type="list" allowBlank="1" xr:uid="{00000000-0002-0000-0300-000000000000}">
          <x14:formula1>
            <xm:f>'THAM SỐ'!$A$5:$A$7</xm:f>
          </x14:formula1>
          <x14:formula2>
            <xm:f>0</xm:f>
          </x14:formula2>
          <xm:sqref>B5:B304</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2E75B6"/>
  </sheetPr>
  <dimension ref="A1:P204"/>
  <sheetViews>
    <sheetView showGridLines="0" zoomScaleNormal="100" workbookViewId="0">
      <pane ySplit="4" topLeftCell="A6" activePane="bottomLeft" state="frozen"/>
      <selection pane="bottomLeft"/>
    </sheetView>
  </sheetViews>
  <sheetFormatPr defaultColWidth="8.6640625" defaultRowHeight="14.25" x14ac:dyDescent="0.45"/>
  <cols>
    <col min="1" max="2" width="11" customWidth="1"/>
    <col min="3" max="3" width="16" customWidth="1"/>
    <col min="4" max="4" width="14.796875" customWidth="1"/>
    <col min="5" max="5" width="4.59765625" customWidth="1"/>
    <col min="6" max="6" width="9" customWidth="1"/>
    <col min="7" max="7" width="10" customWidth="1"/>
    <col min="8" max="8" width="9" customWidth="1"/>
    <col min="9" max="9" width="8" customWidth="1"/>
    <col min="10" max="10" width="5.86328125" customWidth="1"/>
    <col min="11" max="11" width="12" customWidth="1"/>
    <col min="12" max="12" width="9" customWidth="1"/>
    <col min="13" max="13" width="8" customWidth="1"/>
    <col min="14" max="14" width="14" customWidth="1"/>
    <col min="15" max="16" width="10" customWidth="1"/>
  </cols>
  <sheetData>
    <row r="1" spans="1:16" ht="17.649999999999999" x14ac:dyDescent="0.5">
      <c r="A1" s="5" t="s">
        <v>164</v>
      </c>
    </row>
    <row r="2" spans="1:16" x14ac:dyDescent="0.45">
      <c r="A2" s="6" t="s">
        <v>165</v>
      </c>
    </row>
    <row r="3" spans="1:16" x14ac:dyDescent="0.45">
      <c r="A3" s="4" t="s">
        <v>53</v>
      </c>
      <c r="B3" s="4"/>
      <c r="C3" s="4"/>
      <c r="D3" s="4"/>
      <c r="E3" s="4"/>
      <c r="F3" s="4"/>
      <c r="G3" s="4"/>
      <c r="H3" s="4"/>
      <c r="I3" s="4"/>
      <c r="J3" s="4"/>
      <c r="K3" s="3" t="s">
        <v>52</v>
      </c>
      <c r="L3" s="3"/>
      <c r="M3" s="3"/>
      <c r="N3" s="3"/>
      <c r="O3" s="3"/>
      <c r="P3" s="3"/>
    </row>
    <row r="4" spans="1:16" ht="39.75" customHeight="1" x14ac:dyDescent="0.45">
      <c r="A4" s="15" t="s">
        <v>55</v>
      </c>
      <c r="B4" s="15" t="s">
        <v>56</v>
      </c>
      <c r="C4" s="15" t="s">
        <v>57</v>
      </c>
      <c r="D4" s="15" t="s">
        <v>166</v>
      </c>
      <c r="E4" s="15" t="s">
        <v>167</v>
      </c>
      <c r="F4" s="15" t="s">
        <v>168</v>
      </c>
      <c r="G4" s="15" t="s">
        <v>169</v>
      </c>
      <c r="H4" s="15" t="s">
        <v>170</v>
      </c>
      <c r="I4" s="15" t="s">
        <v>171</v>
      </c>
      <c r="J4" s="15" t="s">
        <v>75</v>
      </c>
      <c r="K4" s="14" t="s">
        <v>172</v>
      </c>
      <c r="L4" s="14" t="s">
        <v>173</v>
      </c>
      <c r="M4" s="14" t="s">
        <v>174</v>
      </c>
      <c r="N4" s="14" t="s">
        <v>175</v>
      </c>
      <c r="O4" s="14" t="s">
        <v>176</v>
      </c>
      <c r="P4" s="14" t="s">
        <v>177</v>
      </c>
    </row>
    <row r="5" spans="1:16" x14ac:dyDescent="0.45">
      <c r="A5" s="17">
        <v>46300</v>
      </c>
      <c r="B5" s="18" t="s">
        <v>76</v>
      </c>
      <c r="C5" s="18" t="s">
        <v>77</v>
      </c>
      <c r="D5" s="18" t="s">
        <v>178</v>
      </c>
      <c r="E5" s="32">
        <v>45</v>
      </c>
      <c r="F5" s="19">
        <v>19500</v>
      </c>
      <c r="G5" s="19">
        <v>38200</v>
      </c>
      <c r="H5" s="32">
        <v>42.5</v>
      </c>
      <c r="I5" s="18" t="s">
        <v>147</v>
      </c>
      <c r="J5" s="18" t="s">
        <v>84</v>
      </c>
      <c r="K5" s="21">
        <f t="shared" ref="K5:K36" si="0">IF(OR($A5="",E5="",F5=""),"",E5*F5)</f>
        <v>877500</v>
      </c>
      <c r="L5" s="28">
        <f t="shared" ref="L5:L36" si="1">IF(OR($A5="",E5="",H5=""),"",E5-H5)</f>
        <v>2.5</v>
      </c>
      <c r="M5" s="33">
        <f t="shared" ref="M5:M36" si="2">IF(OR(L5="",N(E5)=0),"",L5/E5)</f>
        <v>5.5555555555555552E-2</v>
      </c>
      <c r="N5" s="16" t="str">
        <f>IF($A5="","",IF(I5&lt;&gt;"Đủ","Thiếu ảnh",IF(M5="","Chưa có số GPS",IF(ABS(M5)&gt;'THAM SỐ'!$B$30,"LỆCH DẦU","Đạt"))))</f>
        <v>Đạt</v>
      </c>
      <c r="O5" s="21" t="str">
        <f>IF(OR($A5="",G5="",COUNTIFS(B$4:B4,B5)=0),"",G5-_xlfn.MAXIFS(G$4:G4,B$4:B4,B5))</f>
        <v/>
      </c>
      <c r="P5" s="28" t="str">
        <f t="shared" ref="P5:P36" si="3">IF(OR(O5="",N(O5)&lt;=0,E5=""),"",E5/O5*100)</f>
        <v/>
      </c>
    </row>
    <row r="6" spans="1:16" x14ac:dyDescent="0.45">
      <c r="A6" s="17">
        <v>46303</v>
      </c>
      <c r="B6" s="18" t="s">
        <v>76</v>
      </c>
      <c r="C6" s="18" t="s">
        <v>77</v>
      </c>
      <c r="D6" s="18" t="s">
        <v>179</v>
      </c>
      <c r="E6" s="32">
        <v>58</v>
      </c>
      <c r="F6" s="19">
        <v>19500</v>
      </c>
      <c r="G6" s="19">
        <v>38770</v>
      </c>
      <c r="H6" s="32">
        <v>51</v>
      </c>
      <c r="I6" s="18" t="s">
        <v>147</v>
      </c>
      <c r="J6" s="18" t="s">
        <v>84</v>
      </c>
      <c r="K6" s="21">
        <f t="shared" si="0"/>
        <v>1131000</v>
      </c>
      <c r="L6" s="28">
        <f t="shared" si="1"/>
        <v>7</v>
      </c>
      <c r="M6" s="33">
        <f t="shared" si="2"/>
        <v>0.1206896551724138</v>
      </c>
      <c r="N6" s="16" t="str">
        <f>IF($A6="","",IF(I6&lt;&gt;"Đủ","Thiếu ảnh",IF(M6="","Chưa có số GPS",IF(ABS(M6)&gt;'THAM SỐ'!$B$30,"LỆCH DẦU","Đạt"))))</f>
        <v>LỆCH DẦU</v>
      </c>
      <c r="O6" s="21">
        <f>IF(OR($A6="",G6="",COUNTIFS(B$4:B5,B6)=0),"",G6-_xlfn.MAXIFS(G$4:G5,B$4:B5,B6))</f>
        <v>570</v>
      </c>
      <c r="P6" s="28">
        <f t="shared" si="3"/>
        <v>10.175438596491228</v>
      </c>
    </row>
    <row r="7" spans="1:16" x14ac:dyDescent="0.45">
      <c r="A7" s="17">
        <v>46301</v>
      </c>
      <c r="B7" s="18" t="s">
        <v>85</v>
      </c>
      <c r="C7" s="18" t="s">
        <v>86</v>
      </c>
      <c r="D7" s="18" t="s">
        <v>178</v>
      </c>
      <c r="E7" s="32">
        <v>30</v>
      </c>
      <c r="F7" s="19">
        <v>19500</v>
      </c>
      <c r="G7" s="19">
        <v>61540</v>
      </c>
      <c r="H7" s="32">
        <v>28.4</v>
      </c>
      <c r="I7" s="18" t="s">
        <v>150</v>
      </c>
      <c r="J7" s="18" t="s">
        <v>84</v>
      </c>
      <c r="K7" s="21">
        <f t="shared" si="0"/>
        <v>585000</v>
      </c>
      <c r="L7" s="28">
        <f t="shared" si="1"/>
        <v>1.6000000000000014</v>
      </c>
      <c r="M7" s="33">
        <f t="shared" si="2"/>
        <v>5.3333333333333378E-2</v>
      </c>
      <c r="N7" s="16" t="str">
        <f>IF($A7="","",IF(I7&lt;&gt;"Đủ","Thiếu ảnh",IF(M7="","Chưa có số GPS",IF(ABS(M7)&gt;'THAM SỐ'!$B$30,"LỆCH DẦU","Đạt"))))</f>
        <v>Thiếu ảnh</v>
      </c>
      <c r="O7" s="21" t="str">
        <f>IF(OR($A7="",G7="",COUNTIFS(B$4:B6,B7)=0),"",G7-_xlfn.MAXIFS(G$4:G6,B$4:B6,B7))</f>
        <v/>
      </c>
      <c r="P7" s="28" t="str">
        <f t="shared" si="3"/>
        <v/>
      </c>
    </row>
    <row r="8" spans="1:16" x14ac:dyDescent="0.45">
      <c r="A8" s="17"/>
      <c r="B8" s="18"/>
      <c r="C8" s="18"/>
      <c r="D8" s="18"/>
      <c r="E8" s="32"/>
      <c r="F8" s="19"/>
      <c r="G8" s="19"/>
      <c r="H8" s="32"/>
      <c r="I8" s="18"/>
      <c r="J8" s="18"/>
      <c r="K8" s="21" t="str">
        <f t="shared" si="0"/>
        <v/>
      </c>
      <c r="L8" s="28" t="str">
        <f t="shared" si="1"/>
        <v/>
      </c>
      <c r="M8" s="33" t="str">
        <f t="shared" si="2"/>
        <v/>
      </c>
      <c r="N8" s="16" t="str">
        <f>IF($A8="","",IF(I8&lt;&gt;"Đủ","Thiếu ảnh",IF(M8="","Chưa có số GPS",IF(ABS(M8)&gt;'THAM SỐ'!$B$30,"LỆCH DẦU","Đạt"))))</f>
        <v/>
      </c>
      <c r="O8" s="21" t="str">
        <f>IF(OR($A8="",G8="",COUNTIFS(B$4:B7,B8)=0),"",G8-_xlfn.MAXIFS(G$4:G7,B$4:B7,B8))</f>
        <v/>
      </c>
      <c r="P8" s="28" t="str">
        <f t="shared" si="3"/>
        <v/>
      </c>
    </row>
    <row r="9" spans="1:16" x14ac:dyDescent="0.45">
      <c r="A9" s="17"/>
      <c r="B9" s="18"/>
      <c r="C9" s="18"/>
      <c r="D9" s="18"/>
      <c r="E9" s="32"/>
      <c r="F9" s="19"/>
      <c r="G9" s="19"/>
      <c r="H9" s="32"/>
      <c r="I9" s="18"/>
      <c r="J9" s="18"/>
      <c r="K9" s="21" t="str">
        <f t="shared" si="0"/>
        <v/>
      </c>
      <c r="L9" s="28" t="str">
        <f t="shared" si="1"/>
        <v/>
      </c>
      <c r="M9" s="33" t="str">
        <f t="shared" si="2"/>
        <v/>
      </c>
      <c r="N9" s="16" t="str">
        <f>IF($A9="","",IF(I9&lt;&gt;"Đủ","Thiếu ảnh",IF(M9="","Chưa có số GPS",IF(ABS(M9)&gt;'THAM SỐ'!$B$30,"LỆCH DẦU","Đạt"))))</f>
        <v/>
      </c>
      <c r="O9" s="21" t="str">
        <f>IF(OR($A9="",G9="",COUNTIFS(B$4:B8,B9)=0),"",G9-_xlfn.MAXIFS(G$4:G8,B$4:B8,B9))</f>
        <v/>
      </c>
      <c r="P9" s="28" t="str">
        <f t="shared" si="3"/>
        <v/>
      </c>
    </row>
    <row r="10" spans="1:16" x14ac:dyDescent="0.45">
      <c r="A10" s="17"/>
      <c r="B10" s="18"/>
      <c r="C10" s="18"/>
      <c r="D10" s="18"/>
      <c r="E10" s="32"/>
      <c r="F10" s="19"/>
      <c r="G10" s="19"/>
      <c r="H10" s="32"/>
      <c r="I10" s="18"/>
      <c r="J10" s="18"/>
      <c r="K10" s="21" t="str">
        <f t="shared" si="0"/>
        <v/>
      </c>
      <c r="L10" s="28" t="str">
        <f t="shared" si="1"/>
        <v/>
      </c>
      <c r="M10" s="33" t="str">
        <f t="shared" si="2"/>
        <v/>
      </c>
      <c r="N10" s="16" t="str">
        <f>IF($A10="","",IF(I10&lt;&gt;"Đủ","Thiếu ảnh",IF(M10="","Chưa có số GPS",IF(ABS(M10)&gt;'THAM SỐ'!$B$30,"LỆCH DẦU","Đạt"))))</f>
        <v/>
      </c>
      <c r="O10" s="21" t="str">
        <f>IF(OR($A10="",G10="",COUNTIFS(B$4:B9,B10)=0),"",G10-_xlfn.MAXIFS(G$4:G9,B$4:B9,B10))</f>
        <v/>
      </c>
      <c r="P10" s="28" t="str">
        <f t="shared" si="3"/>
        <v/>
      </c>
    </row>
    <row r="11" spans="1:16" x14ac:dyDescent="0.45">
      <c r="A11" s="17"/>
      <c r="B11" s="18"/>
      <c r="C11" s="18"/>
      <c r="D11" s="18"/>
      <c r="E11" s="32"/>
      <c r="F11" s="19"/>
      <c r="G11" s="19"/>
      <c r="H11" s="32"/>
      <c r="I11" s="18"/>
      <c r="J11" s="18"/>
      <c r="K11" s="21" t="str">
        <f t="shared" si="0"/>
        <v/>
      </c>
      <c r="L11" s="28" t="str">
        <f t="shared" si="1"/>
        <v/>
      </c>
      <c r="M11" s="33" t="str">
        <f t="shared" si="2"/>
        <v/>
      </c>
      <c r="N11" s="16" t="str">
        <f>IF($A11="","",IF(I11&lt;&gt;"Đủ","Thiếu ảnh",IF(M11="","Chưa có số GPS",IF(ABS(M11)&gt;'THAM SỐ'!$B$30,"LỆCH DẦU","Đạt"))))</f>
        <v/>
      </c>
      <c r="O11" s="21" t="str">
        <f>IF(OR($A11="",G11="",COUNTIFS(B$4:B10,B11)=0),"",G11-_xlfn.MAXIFS(G$4:G10,B$4:B10,B11))</f>
        <v/>
      </c>
      <c r="P11" s="28" t="str">
        <f t="shared" si="3"/>
        <v/>
      </c>
    </row>
    <row r="12" spans="1:16" x14ac:dyDescent="0.45">
      <c r="A12" s="17"/>
      <c r="B12" s="18"/>
      <c r="C12" s="18"/>
      <c r="D12" s="18"/>
      <c r="E12" s="32"/>
      <c r="F12" s="19"/>
      <c r="G12" s="19"/>
      <c r="H12" s="32"/>
      <c r="I12" s="18"/>
      <c r="J12" s="18"/>
      <c r="K12" s="21" t="str">
        <f t="shared" si="0"/>
        <v/>
      </c>
      <c r="L12" s="28" t="str">
        <f t="shared" si="1"/>
        <v/>
      </c>
      <c r="M12" s="33" t="str">
        <f t="shared" si="2"/>
        <v/>
      </c>
      <c r="N12" s="16" t="str">
        <f>IF($A12="","",IF(I12&lt;&gt;"Đủ","Thiếu ảnh",IF(M12="","Chưa có số GPS",IF(ABS(M12)&gt;'THAM SỐ'!$B$30,"LỆCH DẦU","Đạt"))))</f>
        <v/>
      </c>
      <c r="O12" s="21" t="str">
        <f>IF(OR($A12="",G12="",COUNTIFS(B$4:B11,B12)=0),"",G12-_xlfn.MAXIFS(G$4:G11,B$4:B11,B12))</f>
        <v/>
      </c>
      <c r="P12" s="28" t="str">
        <f t="shared" si="3"/>
        <v/>
      </c>
    </row>
    <row r="13" spans="1:16" x14ac:dyDescent="0.45">
      <c r="A13" s="17"/>
      <c r="B13" s="18"/>
      <c r="C13" s="18"/>
      <c r="D13" s="18"/>
      <c r="E13" s="32"/>
      <c r="F13" s="19"/>
      <c r="G13" s="19"/>
      <c r="H13" s="32"/>
      <c r="I13" s="18"/>
      <c r="J13" s="18"/>
      <c r="K13" s="21" t="str">
        <f t="shared" si="0"/>
        <v/>
      </c>
      <c r="L13" s="28" t="str">
        <f t="shared" si="1"/>
        <v/>
      </c>
      <c r="M13" s="33" t="str">
        <f t="shared" si="2"/>
        <v/>
      </c>
      <c r="N13" s="16" t="str">
        <f>IF($A13="","",IF(I13&lt;&gt;"Đủ","Thiếu ảnh",IF(M13="","Chưa có số GPS",IF(ABS(M13)&gt;'THAM SỐ'!$B$30,"LỆCH DẦU","Đạt"))))</f>
        <v/>
      </c>
      <c r="O13" s="21" t="str">
        <f>IF(OR($A13="",G13="",COUNTIFS(B$4:B12,B13)=0),"",G13-_xlfn.MAXIFS(G$4:G12,B$4:B12,B13))</f>
        <v/>
      </c>
      <c r="P13" s="28" t="str">
        <f t="shared" si="3"/>
        <v/>
      </c>
    </row>
    <row r="14" spans="1:16" x14ac:dyDescent="0.45">
      <c r="A14" s="17"/>
      <c r="B14" s="18"/>
      <c r="C14" s="18"/>
      <c r="D14" s="18"/>
      <c r="E14" s="32"/>
      <c r="F14" s="19"/>
      <c r="G14" s="19"/>
      <c r="H14" s="32"/>
      <c r="I14" s="18"/>
      <c r="J14" s="18"/>
      <c r="K14" s="21" t="str">
        <f t="shared" si="0"/>
        <v/>
      </c>
      <c r="L14" s="28" t="str">
        <f t="shared" si="1"/>
        <v/>
      </c>
      <c r="M14" s="33" t="str">
        <f t="shared" si="2"/>
        <v/>
      </c>
      <c r="N14" s="16" t="str">
        <f>IF($A14="","",IF(I14&lt;&gt;"Đủ","Thiếu ảnh",IF(M14="","Chưa có số GPS",IF(ABS(M14)&gt;'THAM SỐ'!$B$30,"LỆCH DẦU","Đạt"))))</f>
        <v/>
      </c>
      <c r="O14" s="21" t="str">
        <f>IF(OR($A14="",G14="",COUNTIFS(B$4:B13,B14)=0),"",G14-_xlfn.MAXIFS(G$4:G13,B$4:B13,B14))</f>
        <v/>
      </c>
      <c r="P14" s="28" t="str">
        <f t="shared" si="3"/>
        <v/>
      </c>
    </row>
    <row r="15" spans="1:16" x14ac:dyDescent="0.45">
      <c r="A15" s="17"/>
      <c r="B15" s="18"/>
      <c r="C15" s="18"/>
      <c r="D15" s="18"/>
      <c r="E15" s="32"/>
      <c r="F15" s="19"/>
      <c r="G15" s="19"/>
      <c r="H15" s="32"/>
      <c r="I15" s="18"/>
      <c r="J15" s="18"/>
      <c r="K15" s="21" t="str">
        <f t="shared" si="0"/>
        <v/>
      </c>
      <c r="L15" s="28" t="str">
        <f t="shared" si="1"/>
        <v/>
      </c>
      <c r="M15" s="33" t="str">
        <f t="shared" si="2"/>
        <v/>
      </c>
      <c r="N15" s="16" t="str">
        <f>IF($A15="","",IF(I15&lt;&gt;"Đủ","Thiếu ảnh",IF(M15="","Chưa có số GPS",IF(ABS(M15)&gt;'THAM SỐ'!$B$30,"LỆCH DẦU","Đạt"))))</f>
        <v/>
      </c>
      <c r="O15" s="21" t="str">
        <f>IF(OR($A15="",G15="",COUNTIFS(B$4:B14,B15)=0),"",G15-_xlfn.MAXIFS(G$4:G14,B$4:B14,B15))</f>
        <v/>
      </c>
      <c r="P15" s="28" t="str">
        <f t="shared" si="3"/>
        <v/>
      </c>
    </row>
    <row r="16" spans="1:16" x14ac:dyDescent="0.45">
      <c r="A16" s="17"/>
      <c r="B16" s="18"/>
      <c r="C16" s="18"/>
      <c r="D16" s="18"/>
      <c r="E16" s="32"/>
      <c r="F16" s="19"/>
      <c r="G16" s="19"/>
      <c r="H16" s="32"/>
      <c r="I16" s="18"/>
      <c r="J16" s="18"/>
      <c r="K16" s="21" t="str">
        <f t="shared" si="0"/>
        <v/>
      </c>
      <c r="L16" s="28" t="str">
        <f t="shared" si="1"/>
        <v/>
      </c>
      <c r="M16" s="33" t="str">
        <f t="shared" si="2"/>
        <v/>
      </c>
      <c r="N16" s="16" t="str">
        <f>IF($A16="","",IF(I16&lt;&gt;"Đủ","Thiếu ảnh",IF(M16="","Chưa có số GPS",IF(ABS(M16)&gt;'THAM SỐ'!$B$30,"LỆCH DẦU","Đạt"))))</f>
        <v/>
      </c>
      <c r="O16" s="21" t="str">
        <f>IF(OR($A16="",G16="",COUNTIFS(B$4:B15,B16)=0),"",G16-_xlfn.MAXIFS(G$4:G15,B$4:B15,B16))</f>
        <v/>
      </c>
      <c r="P16" s="28" t="str">
        <f t="shared" si="3"/>
        <v/>
      </c>
    </row>
    <row r="17" spans="1:16" x14ac:dyDescent="0.45">
      <c r="A17" s="17"/>
      <c r="B17" s="18"/>
      <c r="C17" s="18"/>
      <c r="D17" s="18"/>
      <c r="E17" s="32"/>
      <c r="F17" s="19"/>
      <c r="G17" s="19"/>
      <c r="H17" s="32"/>
      <c r="I17" s="18"/>
      <c r="J17" s="18"/>
      <c r="K17" s="21" t="str">
        <f t="shared" si="0"/>
        <v/>
      </c>
      <c r="L17" s="28" t="str">
        <f t="shared" si="1"/>
        <v/>
      </c>
      <c r="M17" s="33" t="str">
        <f t="shared" si="2"/>
        <v/>
      </c>
      <c r="N17" s="16" t="str">
        <f>IF($A17="","",IF(I17&lt;&gt;"Đủ","Thiếu ảnh",IF(M17="","Chưa có số GPS",IF(ABS(M17)&gt;'THAM SỐ'!$B$30,"LỆCH DẦU","Đạt"))))</f>
        <v/>
      </c>
      <c r="O17" s="21" t="str">
        <f>IF(OR($A17="",G17="",COUNTIFS(B$4:B16,B17)=0),"",G17-_xlfn.MAXIFS(G$4:G16,B$4:B16,B17))</f>
        <v/>
      </c>
      <c r="P17" s="28" t="str">
        <f t="shared" si="3"/>
        <v/>
      </c>
    </row>
    <row r="18" spans="1:16" x14ac:dyDescent="0.45">
      <c r="A18" s="17"/>
      <c r="B18" s="18"/>
      <c r="C18" s="18"/>
      <c r="D18" s="18"/>
      <c r="E18" s="32"/>
      <c r="F18" s="19"/>
      <c r="G18" s="19"/>
      <c r="H18" s="32"/>
      <c r="I18" s="18"/>
      <c r="J18" s="18"/>
      <c r="K18" s="21" t="str">
        <f t="shared" si="0"/>
        <v/>
      </c>
      <c r="L18" s="28" t="str">
        <f t="shared" si="1"/>
        <v/>
      </c>
      <c r="M18" s="33" t="str">
        <f t="shared" si="2"/>
        <v/>
      </c>
      <c r="N18" s="16" t="str">
        <f>IF($A18="","",IF(I18&lt;&gt;"Đủ","Thiếu ảnh",IF(M18="","Chưa có số GPS",IF(ABS(M18)&gt;'THAM SỐ'!$B$30,"LỆCH DẦU","Đạt"))))</f>
        <v/>
      </c>
      <c r="O18" s="21" t="str">
        <f>IF(OR($A18="",G18="",COUNTIFS(B$4:B17,B18)=0),"",G18-_xlfn.MAXIFS(G$4:G17,B$4:B17,B18))</f>
        <v/>
      </c>
      <c r="P18" s="28" t="str">
        <f t="shared" si="3"/>
        <v/>
      </c>
    </row>
    <row r="19" spans="1:16" x14ac:dyDescent="0.45">
      <c r="A19" s="17"/>
      <c r="B19" s="18"/>
      <c r="C19" s="18"/>
      <c r="D19" s="18"/>
      <c r="E19" s="32"/>
      <c r="F19" s="19"/>
      <c r="G19" s="19"/>
      <c r="H19" s="32"/>
      <c r="I19" s="18"/>
      <c r="J19" s="18"/>
      <c r="K19" s="21" t="str">
        <f t="shared" si="0"/>
        <v/>
      </c>
      <c r="L19" s="28" t="str">
        <f t="shared" si="1"/>
        <v/>
      </c>
      <c r="M19" s="33" t="str">
        <f t="shared" si="2"/>
        <v/>
      </c>
      <c r="N19" s="16" t="str">
        <f>IF($A19="","",IF(I19&lt;&gt;"Đủ","Thiếu ảnh",IF(M19="","Chưa có số GPS",IF(ABS(M19)&gt;'THAM SỐ'!$B$30,"LỆCH DẦU","Đạt"))))</f>
        <v/>
      </c>
      <c r="O19" s="21" t="str">
        <f>IF(OR($A19="",G19="",COUNTIFS(B$4:B18,B19)=0),"",G19-_xlfn.MAXIFS(G$4:G18,B$4:B18,B19))</f>
        <v/>
      </c>
      <c r="P19" s="28" t="str">
        <f t="shared" si="3"/>
        <v/>
      </c>
    </row>
    <row r="20" spans="1:16" x14ac:dyDescent="0.45">
      <c r="A20" s="17"/>
      <c r="B20" s="18"/>
      <c r="C20" s="18"/>
      <c r="D20" s="18"/>
      <c r="E20" s="32"/>
      <c r="F20" s="19"/>
      <c r="G20" s="19"/>
      <c r="H20" s="32"/>
      <c r="I20" s="18"/>
      <c r="J20" s="18"/>
      <c r="K20" s="21" t="str">
        <f t="shared" si="0"/>
        <v/>
      </c>
      <c r="L20" s="28" t="str">
        <f t="shared" si="1"/>
        <v/>
      </c>
      <c r="M20" s="33" t="str">
        <f t="shared" si="2"/>
        <v/>
      </c>
      <c r="N20" s="16" t="str">
        <f>IF($A20="","",IF(I20&lt;&gt;"Đủ","Thiếu ảnh",IF(M20="","Chưa có số GPS",IF(ABS(M20)&gt;'THAM SỐ'!$B$30,"LỆCH DẦU","Đạt"))))</f>
        <v/>
      </c>
      <c r="O20" s="21" t="str">
        <f>IF(OR($A20="",G20="",COUNTIFS(B$4:B19,B20)=0),"",G20-_xlfn.MAXIFS(G$4:G19,B$4:B19,B20))</f>
        <v/>
      </c>
      <c r="P20" s="28" t="str">
        <f t="shared" si="3"/>
        <v/>
      </c>
    </row>
    <row r="21" spans="1:16" x14ac:dyDescent="0.45">
      <c r="A21" s="17"/>
      <c r="B21" s="18"/>
      <c r="C21" s="18"/>
      <c r="D21" s="18"/>
      <c r="E21" s="32"/>
      <c r="F21" s="19"/>
      <c r="G21" s="19"/>
      <c r="H21" s="32"/>
      <c r="I21" s="18"/>
      <c r="J21" s="18"/>
      <c r="K21" s="21" t="str">
        <f t="shared" si="0"/>
        <v/>
      </c>
      <c r="L21" s="28" t="str">
        <f t="shared" si="1"/>
        <v/>
      </c>
      <c r="M21" s="33" t="str">
        <f t="shared" si="2"/>
        <v/>
      </c>
      <c r="N21" s="16" t="str">
        <f>IF($A21="","",IF(I21&lt;&gt;"Đủ","Thiếu ảnh",IF(M21="","Chưa có số GPS",IF(ABS(M21)&gt;'THAM SỐ'!$B$30,"LỆCH DẦU","Đạt"))))</f>
        <v/>
      </c>
      <c r="O21" s="21" t="str">
        <f>IF(OR($A21="",G21="",COUNTIFS(B$4:B20,B21)=0),"",G21-_xlfn.MAXIFS(G$4:G20,B$4:B20,B21))</f>
        <v/>
      </c>
      <c r="P21" s="28" t="str">
        <f t="shared" si="3"/>
        <v/>
      </c>
    </row>
    <row r="22" spans="1:16" x14ac:dyDescent="0.45">
      <c r="A22" s="17"/>
      <c r="B22" s="18"/>
      <c r="C22" s="18"/>
      <c r="D22" s="18"/>
      <c r="E22" s="32"/>
      <c r="F22" s="19"/>
      <c r="G22" s="19"/>
      <c r="H22" s="32"/>
      <c r="I22" s="18"/>
      <c r="J22" s="18"/>
      <c r="K22" s="21" t="str">
        <f t="shared" si="0"/>
        <v/>
      </c>
      <c r="L22" s="28" t="str">
        <f t="shared" si="1"/>
        <v/>
      </c>
      <c r="M22" s="33" t="str">
        <f t="shared" si="2"/>
        <v/>
      </c>
      <c r="N22" s="16" t="str">
        <f>IF($A22="","",IF(I22&lt;&gt;"Đủ","Thiếu ảnh",IF(M22="","Chưa có số GPS",IF(ABS(M22)&gt;'THAM SỐ'!$B$30,"LỆCH DẦU","Đạt"))))</f>
        <v/>
      </c>
      <c r="O22" s="21" t="str">
        <f>IF(OR($A22="",G22="",COUNTIFS(B$4:B21,B22)=0),"",G22-_xlfn.MAXIFS(G$4:G21,B$4:B21,B22))</f>
        <v/>
      </c>
      <c r="P22" s="28" t="str">
        <f t="shared" si="3"/>
        <v/>
      </c>
    </row>
    <row r="23" spans="1:16" x14ac:dyDescent="0.45">
      <c r="A23" s="17"/>
      <c r="B23" s="18"/>
      <c r="C23" s="18"/>
      <c r="D23" s="18"/>
      <c r="E23" s="32"/>
      <c r="F23" s="19"/>
      <c r="G23" s="19"/>
      <c r="H23" s="32"/>
      <c r="I23" s="18"/>
      <c r="J23" s="18"/>
      <c r="K23" s="21" t="str">
        <f t="shared" si="0"/>
        <v/>
      </c>
      <c r="L23" s="28" t="str">
        <f t="shared" si="1"/>
        <v/>
      </c>
      <c r="M23" s="33" t="str">
        <f t="shared" si="2"/>
        <v/>
      </c>
      <c r="N23" s="16" t="str">
        <f>IF($A23="","",IF(I23&lt;&gt;"Đủ","Thiếu ảnh",IF(M23="","Chưa có số GPS",IF(ABS(M23)&gt;'THAM SỐ'!$B$30,"LỆCH DẦU","Đạt"))))</f>
        <v/>
      </c>
      <c r="O23" s="21" t="str">
        <f>IF(OR($A23="",G23="",COUNTIFS(B$4:B22,B23)=0),"",G23-_xlfn.MAXIFS(G$4:G22,B$4:B22,B23))</f>
        <v/>
      </c>
      <c r="P23" s="28" t="str">
        <f t="shared" si="3"/>
        <v/>
      </c>
    </row>
    <row r="24" spans="1:16" x14ac:dyDescent="0.45">
      <c r="A24" s="17"/>
      <c r="B24" s="18"/>
      <c r="C24" s="18"/>
      <c r="D24" s="18"/>
      <c r="E24" s="32"/>
      <c r="F24" s="19"/>
      <c r="G24" s="19"/>
      <c r="H24" s="32"/>
      <c r="I24" s="18"/>
      <c r="J24" s="18"/>
      <c r="K24" s="21" t="str">
        <f t="shared" si="0"/>
        <v/>
      </c>
      <c r="L24" s="28" t="str">
        <f t="shared" si="1"/>
        <v/>
      </c>
      <c r="M24" s="33" t="str">
        <f t="shared" si="2"/>
        <v/>
      </c>
      <c r="N24" s="16" t="str">
        <f>IF($A24="","",IF(I24&lt;&gt;"Đủ","Thiếu ảnh",IF(M24="","Chưa có số GPS",IF(ABS(M24)&gt;'THAM SỐ'!$B$30,"LỆCH DẦU","Đạt"))))</f>
        <v/>
      </c>
      <c r="O24" s="21" t="str">
        <f>IF(OR($A24="",G24="",COUNTIFS(B$4:B23,B24)=0),"",G24-_xlfn.MAXIFS(G$4:G23,B$4:B23,B24))</f>
        <v/>
      </c>
      <c r="P24" s="28" t="str">
        <f t="shared" si="3"/>
        <v/>
      </c>
    </row>
    <row r="25" spans="1:16" x14ac:dyDescent="0.45">
      <c r="A25" s="17"/>
      <c r="B25" s="18"/>
      <c r="C25" s="18"/>
      <c r="D25" s="18"/>
      <c r="E25" s="32"/>
      <c r="F25" s="19"/>
      <c r="G25" s="19"/>
      <c r="H25" s="32"/>
      <c r="I25" s="18"/>
      <c r="J25" s="18"/>
      <c r="K25" s="21" t="str">
        <f t="shared" si="0"/>
        <v/>
      </c>
      <c r="L25" s="28" t="str">
        <f t="shared" si="1"/>
        <v/>
      </c>
      <c r="M25" s="33" t="str">
        <f t="shared" si="2"/>
        <v/>
      </c>
      <c r="N25" s="16" t="str">
        <f>IF($A25="","",IF(I25&lt;&gt;"Đủ","Thiếu ảnh",IF(M25="","Chưa có số GPS",IF(ABS(M25)&gt;'THAM SỐ'!$B$30,"LỆCH DẦU","Đạt"))))</f>
        <v/>
      </c>
      <c r="O25" s="21" t="str">
        <f>IF(OR($A25="",G25="",COUNTIFS(B$4:B24,B25)=0),"",G25-_xlfn.MAXIFS(G$4:G24,B$4:B24,B25))</f>
        <v/>
      </c>
      <c r="P25" s="28" t="str">
        <f t="shared" si="3"/>
        <v/>
      </c>
    </row>
    <row r="26" spans="1:16" x14ac:dyDescent="0.45">
      <c r="A26" s="17"/>
      <c r="B26" s="18"/>
      <c r="C26" s="18"/>
      <c r="D26" s="18"/>
      <c r="E26" s="32"/>
      <c r="F26" s="19"/>
      <c r="G26" s="19"/>
      <c r="H26" s="32"/>
      <c r="I26" s="18"/>
      <c r="J26" s="18"/>
      <c r="K26" s="21" t="str">
        <f t="shared" si="0"/>
        <v/>
      </c>
      <c r="L26" s="28" t="str">
        <f t="shared" si="1"/>
        <v/>
      </c>
      <c r="M26" s="33" t="str">
        <f t="shared" si="2"/>
        <v/>
      </c>
      <c r="N26" s="16" t="str">
        <f>IF($A26="","",IF(I26&lt;&gt;"Đủ","Thiếu ảnh",IF(M26="","Chưa có số GPS",IF(ABS(M26)&gt;'THAM SỐ'!$B$30,"LỆCH DẦU","Đạt"))))</f>
        <v/>
      </c>
      <c r="O26" s="21" t="str">
        <f>IF(OR($A26="",G26="",COUNTIFS(B$4:B25,B26)=0),"",G26-_xlfn.MAXIFS(G$4:G25,B$4:B25,B26))</f>
        <v/>
      </c>
      <c r="P26" s="28" t="str">
        <f t="shared" si="3"/>
        <v/>
      </c>
    </row>
    <row r="27" spans="1:16" x14ac:dyDescent="0.45">
      <c r="A27" s="17"/>
      <c r="B27" s="18"/>
      <c r="C27" s="18"/>
      <c r="D27" s="18"/>
      <c r="E27" s="32"/>
      <c r="F27" s="19"/>
      <c r="G27" s="19"/>
      <c r="H27" s="32"/>
      <c r="I27" s="18"/>
      <c r="J27" s="18"/>
      <c r="K27" s="21" t="str">
        <f t="shared" si="0"/>
        <v/>
      </c>
      <c r="L27" s="28" t="str">
        <f t="shared" si="1"/>
        <v/>
      </c>
      <c r="M27" s="33" t="str">
        <f t="shared" si="2"/>
        <v/>
      </c>
      <c r="N27" s="16" t="str">
        <f>IF($A27="","",IF(I27&lt;&gt;"Đủ","Thiếu ảnh",IF(M27="","Chưa có số GPS",IF(ABS(M27)&gt;'THAM SỐ'!$B$30,"LỆCH DẦU","Đạt"))))</f>
        <v/>
      </c>
      <c r="O27" s="21" t="str">
        <f>IF(OR($A27="",G27="",COUNTIFS(B$4:B26,B27)=0),"",G27-_xlfn.MAXIFS(G$4:G26,B$4:B26,B27))</f>
        <v/>
      </c>
      <c r="P27" s="28" t="str">
        <f t="shared" si="3"/>
        <v/>
      </c>
    </row>
    <row r="28" spans="1:16" x14ac:dyDescent="0.45">
      <c r="A28" s="17"/>
      <c r="B28" s="18"/>
      <c r="C28" s="18"/>
      <c r="D28" s="18"/>
      <c r="E28" s="32"/>
      <c r="F28" s="19"/>
      <c r="G28" s="19"/>
      <c r="H28" s="32"/>
      <c r="I28" s="18"/>
      <c r="J28" s="18"/>
      <c r="K28" s="21" t="str">
        <f t="shared" si="0"/>
        <v/>
      </c>
      <c r="L28" s="28" t="str">
        <f t="shared" si="1"/>
        <v/>
      </c>
      <c r="M28" s="33" t="str">
        <f t="shared" si="2"/>
        <v/>
      </c>
      <c r="N28" s="16" t="str">
        <f>IF($A28="","",IF(I28&lt;&gt;"Đủ","Thiếu ảnh",IF(M28="","Chưa có số GPS",IF(ABS(M28)&gt;'THAM SỐ'!$B$30,"LỆCH DẦU","Đạt"))))</f>
        <v/>
      </c>
      <c r="O28" s="21" t="str">
        <f>IF(OR($A28="",G28="",COUNTIFS(B$4:B27,B28)=0),"",G28-_xlfn.MAXIFS(G$4:G27,B$4:B27,B28))</f>
        <v/>
      </c>
      <c r="P28" s="28" t="str">
        <f t="shared" si="3"/>
        <v/>
      </c>
    </row>
    <row r="29" spans="1:16" x14ac:dyDescent="0.45">
      <c r="A29" s="17"/>
      <c r="B29" s="18"/>
      <c r="C29" s="18"/>
      <c r="D29" s="18"/>
      <c r="E29" s="32"/>
      <c r="F29" s="19"/>
      <c r="G29" s="19"/>
      <c r="H29" s="32"/>
      <c r="I29" s="18"/>
      <c r="J29" s="18"/>
      <c r="K29" s="21" t="str">
        <f t="shared" si="0"/>
        <v/>
      </c>
      <c r="L29" s="28" t="str">
        <f t="shared" si="1"/>
        <v/>
      </c>
      <c r="M29" s="33" t="str">
        <f t="shared" si="2"/>
        <v/>
      </c>
      <c r="N29" s="16" t="str">
        <f>IF($A29="","",IF(I29&lt;&gt;"Đủ","Thiếu ảnh",IF(M29="","Chưa có số GPS",IF(ABS(M29)&gt;'THAM SỐ'!$B$30,"LỆCH DẦU","Đạt"))))</f>
        <v/>
      </c>
      <c r="O29" s="21" t="str">
        <f>IF(OR($A29="",G29="",COUNTIFS(B$4:B28,B29)=0),"",G29-_xlfn.MAXIFS(G$4:G28,B$4:B28,B29))</f>
        <v/>
      </c>
      <c r="P29" s="28" t="str">
        <f t="shared" si="3"/>
        <v/>
      </c>
    </row>
    <row r="30" spans="1:16" x14ac:dyDescent="0.45">
      <c r="A30" s="17"/>
      <c r="B30" s="18"/>
      <c r="C30" s="18"/>
      <c r="D30" s="18"/>
      <c r="E30" s="32"/>
      <c r="F30" s="19"/>
      <c r="G30" s="19"/>
      <c r="H30" s="32"/>
      <c r="I30" s="18"/>
      <c r="J30" s="18"/>
      <c r="K30" s="21" t="str">
        <f t="shared" si="0"/>
        <v/>
      </c>
      <c r="L30" s="28" t="str">
        <f t="shared" si="1"/>
        <v/>
      </c>
      <c r="M30" s="33" t="str">
        <f t="shared" si="2"/>
        <v/>
      </c>
      <c r="N30" s="16" t="str">
        <f>IF($A30="","",IF(I30&lt;&gt;"Đủ","Thiếu ảnh",IF(M30="","Chưa có số GPS",IF(ABS(M30)&gt;'THAM SỐ'!$B$30,"LỆCH DẦU","Đạt"))))</f>
        <v/>
      </c>
      <c r="O30" s="21" t="str">
        <f>IF(OR($A30="",G30="",COUNTIFS(B$4:B29,B30)=0),"",G30-_xlfn.MAXIFS(G$4:G29,B$4:B29,B30))</f>
        <v/>
      </c>
      <c r="P30" s="28" t="str">
        <f t="shared" si="3"/>
        <v/>
      </c>
    </row>
    <row r="31" spans="1:16" x14ac:dyDescent="0.45">
      <c r="A31" s="17"/>
      <c r="B31" s="18"/>
      <c r="C31" s="18"/>
      <c r="D31" s="18"/>
      <c r="E31" s="32"/>
      <c r="F31" s="19"/>
      <c r="G31" s="19"/>
      <c r="H31" s="32"/>
      <c r="I31" s="18"/>
      <c r="J31" s="18"/>
      <c r="K31" s="21" t="str">
        <f t="shared" si="0"/>
        <v/>
      </c>
      <c r="L31" s="28" t="str">
        <f t="shared" si="1"/>
        <v/>
      </c>
      <c r="M31" s="33" t="str">
        <f t="shared" si="2"/>
        <v/>
      </c>
      <c r="N31" s="16" t="str">
        <f>IF($A31="","",IF(I31&lt;&gt;"Đủ","Thiếu ảnh",IF(M31="","Chưa có số GPS",IF(ABS(M31)&gt;'THAM SỐ'!$B$30,"LỆCH DẦU","Đạt"))))</f>
        <v/>
      </c>
      <c r="O31" s="21" t="str">
        <f>IF(OR($A31="",G31="",COUNTIFS(B$4:B30,B31)=0),"",G31-_xlfn.MAXIFS(G$4:G30,B$4:B30,B31))</f>
        <v/>
      </c>
      <c r="P31" s="28" t="str">
        <f t="shared" si="3"/>
        <v/>
      </c>
    </row>
    <row r="32" spans="1:16" x14ac:dyDescent="0.45">
      <c r="A32" s="17"/>
      <c r="B32" s="18"/>
      <c r="C32" s="18"/>
      <c r="D32" s="18"/>
      <c r="E32" s="32"/>
      <c r="F32" s="19"/>
      <c r="G32" s="19"/>
      <c r="H32" s="32"/>
      <c r="I32" s="18"/>
      <c r="J32" s="18"/>
      <c r="K32" s="21" t="str">
        <f t="shared" si="0"/>
        <v/>
      </c>
      <c r="L32" s="28" t="str">
        <f t="shared" si="1"/>
        <v/>
      </c>
      <c r="M32" s="33" t="str">
        <f t="shared" si="2"/>
        <v/>
      </c>
      <c r="N32" s="16" t="str">
        <f>IF($A32="","",IF(I32&lt;&gt;"Đủ","Thiếu ảnh",IF(M32="","Chưa có số GPS",IF(ABS(M32)&gt;'THAM SỐ'!$B$30,"LỆCH DẦU","Đạt"))))</f>
        <v/>
      </c>
      <c r="O32" s="21" t="str">
        <f>IF(OR($A32="",G32="",COUNTIFS(B$4:B31,B32)=0),"",G32-_xlfn.MAXIFS(G$4:G31,B$4:B31,B32))</f>
        <v/>
      </c>
      <c r="P32" s="28" t="str">
        <f t="shared" si="3"/>
        <v/>
      </c>
    </row>
    <row r="33" spans="1:16" x14ac:dyDescent="0.45">
      <c r="A33" s="17"/>
      <c r="B33" s="18"/>
      <c r="C33" s="18"/>
      <c r="D33" s="18"/>
      <c r="E33" s="32"/>
      <c r="F33" s="19"/>
      <c r="G33" s="19"/>
      <c r="H33" s="32"/>
      <c r="I33" s="18"/>
      <c r="J33" s="18"/>
      <c r="K33" s="21" t="str">
        <f t="shared" si="0"/>
        <v/>
      </c>
      <c r="L33" s="28" t="str">
        <f t="shared" si="1"/>
        <v/>
      </c>
      <c r="M33" s="33" t="str">
        <f t="shared" si="2"/>
        <v/>
      </c>
      <c r="N33" s="16" t="str">
        <f>IF($A33="","",IF(I33&lt;&gt;"Đủ","Thiếu ảnh",IF(M33="","Chưa có số GPS",IF(ABS(M33)&gt;'THAM SỐ'!$B$30,"LỆCH DẦU","Đạt"))))</f>
        <v/>
      </c>
      <c r="O33" s="21" t="str">
        <f>IF(OR($A33="",G33="",COUNTIFS(B$4:B32,B33)=0),"",G33-_xlfn.MAXIFS(G$4:G32,B$4:B32,B33))</f>
        <v/>
      </c>
      <c r="P33" s="28" t="str">
        <f t="shared" si="3"/>
        <v/>
      </c>
    </row>
    <row r="34" spans="1:16" x14ac:dyDescent="0.45">
      <c r="A34" s="17"/>
      <c r="B34" s="18"/>
      <c r="C34" s="18"/>
      <c r="D34" s="18"/>
      <c r="E34" s="32"/>
      <c r="F34" s="19"/>
      <c r="G34" s="19"/>
      <c r="H34" s="32"/>
      <c r="I34" s="18"/>
      <c r="J34" s="18"/>
      <c r="K34" s="21" t="str">
        <f t="shared" si="0"/>
        <v/>
      </c>
      <c r="L34" s="28" t="str">
        <f t="shared" si="1"/>
        <v/>
      </c>
      <c r="M34" s="33" t="str">
        <f t="shared" si="2"/>
        <v/>
      </c>
      <c r="N34" s="16" t="str">
        <f>IF($A34="","",IF(I34&lt;&gt;"Đủ","Thiếu ảnh",IF(M34="","Chưa có số GPS",IF(ABS(M34)&gt;'THAM SỐ'!$B$30,"LỆCH DẦU","Đạt"))))</f>
        <v/>
      </c>
      <c r="O34" s="21" t="str">
        <f>IF(OR($A34="",G34="",COUNTIFS(B$4:B33,B34)=0),"",G34-_xlfn.MAXIFS(G$4:G33,B$4:B33,B34))</f>
        <v/>
      </c>
      <c r="P34" s="28" t="str">
        <f t="shared" si="3"/>
        <v/>
      </c>
    </row>
    <row r="35" spans="1:16" x14ac:dyDescent="0.45">
      <c r="A35" s="17"/>
      <c r="B35" s="18"/>
      <c r="C35" s="18"/>
      <c r="D35" s="18"/>
      <c r="E35" s="32"/>
      <c r="F35" s="19"/>
      <c r="G35" s="19"/>
      <c r="H35" s="32"/>
      <c r="I35" s="18"/>
      <c r="J35" s="18"/>
      <c r="K35" s="21" t="str">
        <f t="shared" si="0"/>
        <v/>
      </c>
      <c r="L35" s="28" t="str">
        <f t="shared" si="1"/>
        <v/>
      </c>
      <c r="M35" s="33" t="str">
        <f t="shared" si="2"/>
        <v/>
      </c>
      <c r="N35" s="16" t="str">
        <f>IF($A35="","",IF(I35&lt;&gt;"Đủ","Thiếu ảnh",IF(M35="","Chưa có số GPS",IF(ABS(M35)&gt;'THAM SỐ'!$B$30,"LỆCH DẦU","Đạt"))))</f>
        <v/>
      </c>
      <c r="O35" s="21" t="str">
        <f>IF(OR($A35="",G35="",COUNTIFS(B$4:B34,B35)=0),"",G35-_xlfn.MAXIFS(G$4:G34,B$4:B34,B35))</f>
        <v/>
      </c>
      <c r="P35" s="28" t="str">
        <f t="shared" si="3"/>
        <v/>
      </c>
    </row>
    <row r="36" spans="1:16" x14ac:dyDescent="0.45">
      <c r="A36" s="17"/>
      <c r="B36" s="18"/>
      <c r="C36" s="18"/>
      <c r="D36" s="18"/>
      <c r="E36" s="32"/>
      <c r="F36" s="19"/>
      <c r="G36" s="19"/>
      <c r="H36" s="32"/>
      <c r="I36" s="18"/>
      <c r="J36" s="18"/>
      <c r="K36" s="21" t="str">
        <f t="shared" si="0"/>
        <v/>
      </c>
      <c r="L36" s="28" t="str">
        <f t="shared" si="1"/>
        <v/>
      </c>
      <c r="M36" s="33" t="str">
        <f t="shared" si="2"/>
        <v/>
      </c>
      <c r="N36" s="16" t="str">
        <f>IF($A36="","",IF(I36&lt;&gt;"Đủ","Thiếu ảnh",IF(M36="","Chưa có số GPS",IF(ABS(M36)&gt;'THAM SỐ'!$B$30,"LỆCH DẦU","Đạt"))))</f>
        <v/>
      </c>
      <c r="O36" s="21" t="str">
        <f>IF(OR($A36="",G36="",COUNTIFS(B$4:B35,B36)=0),"",G36-_xlfn.MAXIFS(G$4:G35,B$4:B35,B36))</f>
        <v/>
      </c>
      <c r="P36" s="28" t="str">
        <f t="shared" si="3"/>
        <v/>
      </c>
    </row>
    <row r="37" spans="1:16" x14ac:dyDescent="0.45">
      <c r="A37" s="17"/>
      <c r="B37" s="18"/>
      <c r="C37" s="18"/>
      <c r="D37" s="18"/>
      <c r="E37" s="32"/>
      <c r="F37" s="19"/>
      <c r="G37" s="19"/>
      <c r="H37" s="32"/>
      <c r="I37" s="18"/>
      <c r="J37" s="18"/>
      <c r="K37" s="21" t="str">
        <f t="shared" ref="K37:K68" si="4">IF(OR($A37="",E37="",F37=""),"",E37*F37)</f>
        <v/>
      </c>
      <c r="L37" s="28" t="str">
        <f t="shared" ref="L37:L68" si="5">IF(OR($A37="",E37="",H37=""),"",E37-H37)</f>
        <v/>
      </c>
      <c r="M37" s="33" t="str">
        <f t="shared" ref="M37:M68" si="6">IF(OR(L37="",N(E37)=0),"",L37/E37)</f>
        <v/>
      </c>
      <c r="N37" s="16" t="str">
        <f>IF($A37="","",IF(I37&lt;&gt;"Đủ","Thiếu ảnh",IF(M37="","Chưa có số GPS",IF(ABS(M37)&gt;'THAM SỐ'!$B$30,"LỆCH DẦU","Đạt"))))</f>
        <v/>
      </c>
      <c r="O37" s="21" t="str">
        <f>IF(OR($A37="",G37="",COUNTIFS(B$4:B36,B37)=0),"",G37-_xlfn.MAXIFS(G$4:G36,B$4:B36,B37))</f>
        <v/>
      </c>
      <c r="P37" s="28" t="str">
        <f t="shared" ref="P37:P68" si="7">IF(OR(O37="",N(O37)&lt;=0,E37=""),"",E37/O37*100)</f>
        <v/>
      </c>
    </row>
    <row r="38" spans="1:16" x14ac:dyDescent="0.45">
      <c r="A38" s="17"/>
      <c r="B38" s="18"/>
      <c r="C38" s="18"/>
      <c r="D38" s="18"/>
      <c r="E38" s="32"/>
      <c r="F38" s="19"/>
      <c r="G38" s="19"/>
      <c r="H38" s="32"/>
      <c r="I38" s="18"/>
      <c r="J38" s="18"/>
      <c r="K38" s="21" t="str">
        <f t="shared" si="4"/>
        <v/>
      </c>
      <c r="L38" s="28" t="str">
        <f t="shared" si="5"/>
        <v/>
      </c>
      <c r="M38" s="33" t="str">
        <f t="shared" si="6"/>
        <v/>
      </c>
      <c r="N38" s="16" t="str">
        <f>IF($A38="","",IF(I38&lt;&gt;"Đủ","Thiếu ảnh",IF(M38="","Chưa có số GPS",IF(ABS(M38)&gt;'THAM SỐ'!$B$30,"LỆCH DẦU","Đạt"))))</f>
        <v/>
      </c>
      <c r="O38" s="21" t="str">
        <f>IF(OR($A38="",G38="",COUNTIFS(B$4:B37,B38)=0),"",G38-_xlfn.MAXIFS(G$4:G37,B$4:B37,B38))</f>
        <v/>
      </c>
      <c r="P38" s="28" t="str">
        <f t="shared" si="7"/>
        <v/>
      </c>
    </row>
    <row r="39" spans="1:16" x14ac:dyDescent="0.45">
      <c r="A39" s="17"/>
      <c r="B39" s="18"/>
      <c r="C39" s="18"/>
      <c r="D39" s="18"/>
      <c r="E39" s="32"/>
      <c r="F39" s="19"/>
      <c r="G39" s="19"/>
      <c r="H39" s="32"/>
      <c r="I39" s="18"/>
      <c r="J39" s="18"/>
      <c r="K39" s="21" t="str">
        <f t="shared" si="4"/>
        <v/>
      </c>
      <c r="L39" s="28" t="str">
        <f t="shared" si="5"/>
        <v/>
      </c>
      <c r="M39" s="33" t="str">
        <f t="shared" si="6"/>
        <v/>
      </c>
      <c r="N39" s="16" t="str">
        <f>IF($A39="","",IF(I39&lt;&gt;"Đủ","Thiếu ảnh",IF(M39="","Chưa có số GPS",IF(ABS(M39)&gt;'THAM SỐ'!$B$30,"LỆCH DẦU","Đạt"))))</f>
        <v/>
      </c>
      <c r="O39" s="21" t="str">
        <f>IF(OR($A39="",G39="",COUNTIFS(B$4:B38,B39)=0),"",G39-_xlfn.MAXIFS(G$4:G38,B$4:B38,B39))</f>
        <v/>
      </c>
      <c r="P39" s="28" t="str">
        <f t="shared" si="7"/>
        <v/>
      </c>
    </row>
    <row r="40" spans="1:16" x14ac:dyDescent="0.45">
      <c r="A40" s="17"/>
      <c r="B40" s="18"/>
      <c r="C40" s="18"/>
      <c r="D40" s="18"/>
      <c r="E40" s="32"/>
      <c r="F40" s="19"/>
      <c r="G40" s="19"/>
      <c r="H40" s="32"/>
      <c r="I40" s="18"/>
      <c r="J40" s="18"/>
      <c r="K40" s="21" t="str">
        <f t="shared" si="4"/>
        <v/>
      </c>
      <c r="L40" s="28" t="str">
        <f t="shared" si="5"/>
        <v/>
      </c>
      <c r="M40" s="33" t="str">
        <f t="shared" si="6"/>
        <v/>
      </c>
      <c r="N40" s="16" t="str">
        <f>IF($A40="","",IF(I40&lt;&gt;"Đủ","Thiếu ảnh",IF(M40="","Chưa có số GPS",IF(ABS(M40)&gt;'THAM SỐ'!$B$30,"LỆCH DẦU","Đạt"))))</f>
        <v/>
      </c>
      <c r="O40" s="21" t="str">
        <f>IF(OR($A40="",G40="",COUNTIFS(B$4:B39,B40)=0),"",G40-_xlfn.MAXIFS(G$4:G39,B$4:B39,B40))</f>
        <v/>
      </c>
      <c r="P40" s="28" t="str">
        <f t="shared" si="7"/>
        <v/>
      </c>
    </row>
    <row r="41" spans="1:16" x14ac:dyDescent="0.45">
      <c r="A41" s="17"/>
      <c r="B41" s="18"/>
      <c r="C41" s="18"/>
      <c r="D41" s="18"/>
      <c r="E41" s="32"/>
      <c r="F41" s="19"/>
      <c r="G41" s="19"/>
      <c r="H41" s="32"/>
      <c r="I41" s="18"/>
      <c r="J41" s="18"/>
      <c r="K41" s="21" t="str">
        <f t="shared" si="4"/>
        <v/>
      </c>
      <c r="L41" s="28" t="str">
        <f t="shared" si="5"/>
        <v/>
      </c>
      <c r="M41" s="33" t="str">
        <f t="shared" si="6"/>
        <v/>
      </c>
      <c r="N41" s="16" t="str">
        <f>IF($A41="","",IF(I41&lt;&gt;"Đủ","Thiếu ảnh",IF(M41="","Chưa có số GPS",IF(ABS(M41)&gt;'THAM SỐ'!$B$30,"LỆCH DẦU","Đạt"))))</f>
        <v/>
      </c>
      <c r="O41" s="21" t="str">
        <f>IF(OR($A41="",G41="",COUNTIFS(B$4:B40,B41)=0),"",G41-_xlfn.MAXIFS(G$4:G40,B$4:B40,B41))</f>
        <v/>
      </c>
      <c r="P41" s="28" t="str">
        <f t="shared" si="7"/>
        <v/>
      </c>
    </row>
    <row r="42" spans="1:16" x14ac:dyDescent="0.45">
      <c r="A42" s="17"/>
      <c r="B42" s="18"/>
      <c r="C42" s="18"/>
      <c r="D42" s="18"/>
      <c r="E42" s="32"/>
      <c r="F42" s="19"/>
      <c r="G42" s="19"/>
      <c r="H42" s="32"/>
      <c r="I42" s="18"/>
      <c r="J42" s="18"/>
      <c r="K42" s="21" t="str">
        <f t="shared" si="4"/>
        <v/>
      </c>
      <c r="L42" s="28" t="str">
        <f t="shared" si="5"/>
        <v/>
      </c>
      <c r="M42" s="33" t="str">
        <f t="shared" si="6"/>
        <v/>
      </c>
      <c r="N42" s="16" t="str">
        <f>IF($A42="","",IF(I42&lt;&gt;"Đủ","Thiếu ảnh",IF(M42="","Chưa có số GPS",IF(ABS(M42)&gt;'THAM SỐ'!$B$30,"LỆCH DẦU","Đạt"))))</f>
        <v/>
      </c>
      <c r="O42" s="21" t="str">
        <f>IF(OR($A42="",G42="",COUNTIFS(B$4:B41,B42)=0),"",G42-_xlfn.MAXIFS(G$4:G41,B$4:B41,B42))</f>
        <v/>
      </c>
      <c r="P42" s="28" t="str">
        <f t="shared" si="7"/>
        <v/>
      </c>
    </row>
    <row r="43" spans="1:16" x14ac:dyDescent="0.45">
      <c r="A43" s="17"/>
      <c r="B43" s="18"/>
      <c r="C43" s="18"/>
      <c r="D43" s="18"/>
      <c r="E43" s="32"/>
      <c r="F43" s="19"/>
      <c r="G43" s="19"/>
      <c r="H43" s="32"/>
      <c r="I43" s="18"/>
      <c r="J43" s="18"/>
      <c r="K43" s="21" t="str">
        <f t="shared" si="4"/>
        <v/>
      </c>
      <c r="L43" s="28" t="str">
        <f t="shared" si="5"/>
        <v/>
      </c>
      <c r="M43" s="33" t="str">
        <f t="shared" si="6"/>
        <v/>
      </c>
      <c r="N43" s="16" t="str">
        <f>IF($A43="","",IF(I43&lt;&gt;"Đủ","Thiếu ảnh",IF(M43="","Chưa có số GPS",IF(ABS(M43)&gt;'THAM SỐ'!$B$30,"LỆCH DẦU","Đạt"))))</f>
        <v/>
      </c>
      <c r="O43" s="21" t="str">
        <f>IF(OR($A43="",G43="",COUNTIFS(B$4:B42,B43)=0),"",G43-_xlfn.MAXIFS(G$4:G42,B$4:B42,B43))</f>
        <v/>
      </c>
      <c r="P43" s="28" t="str">
        <f t="shared" si="7"/>
        <v/>
      </c>
    </row>
    <row r="44" spans="1:16" x14ac:dyDescent="0.45">
      <c r="A44" s="17"/>
      <c r="B44" s="18"/>
      <c r="C44" s="18"/>
      <c r="D44" s="18"/>
      <c r="E44" s="32"/>
      <c r="F44" s="19"/>
      <c r="G44" s="19"/>
      <c r="H44" s="32"/>
      <c r="I44" s="18"/>
      <c r="J44" s="18"/>
      <c r="K44" s="21" t="str">
        <f t="shared" si="4"/>
        <v/>
      </c>
      <c r="L44" s="28" t="str">
        <f t="shared" si="5"/>
        <v/>
      </c>
      <c r="M44" s="33" t="str">
        <f t="shared" si="6"/>
        <v/>
      </c>
      <c r="N44" s="16" t="str">
        <f>IF($A44="","",IF(I44&lt;&gt;"Đủ","Thiếu ảnh",IF(M44="","Chưa có số GPS",IF(ABS(M44)&gt;'THAM SỐ'!$B$30,"LỆCH DẦU","Đạt"))))</f>
        <v/>
      </c>
      <c r="O44" s="21" t="str">
        <f>IF(OR($A44="",G44="",COUNTIFS(B$4:B43,B44)=0),"",G44-_xlfn.MAXIFS(G$4:G43,B$4:B43,B44))</f>
        <v/>
      </c>
      <c r="P44" s="28" t="str">
        <f t="shared" si="7"/>
        <v/>
      </c>
    </row>
    <row r="45" spans="1:16" x14ac:dyDescent="0.45">
      <c r="A45" s="17"/>
      <c r="B45" s="18"/>
      <c r="C45" s="18"/>
      <c r="D45" s="18"/>
      <c r="E45" s="32"/>
      <c r="F45" s="19"/>
      <c r="G45" s="19"/>
      <c r="H45" s="32"/>
      <c r="I45" s="18"/>
      <c r="J45" s="18"/>
      <c r="K45" s="21" t="str">
        <f t="shared" si="4"/>
        <v/>
      </c>
      <c r="L45" s="28" t="str">
        <f t="shared" si="5"/>
        <v/>
      </c>
      <c r="M45" s="33" t="str">
        <f t="shared" si="6"/>
        <v/>
      </c>
      <c r="N45" s="16" t="str">
        <f>IF($A45="","",IF(I45&lt;&gt;"Đủ","Thiếu ảnh",IF(M45="","Chưa có số GPS",IF(ABS(M45)&gt;'THAM SỐ'!$B$30,"LỆCH DẦU","Đạt"))))</f>
        <v/>
      </c>
      <c r="O45" s="21" t="str">
        <f>IF(OR($A45="",G45="",COUNTIFS(B$4:B44,B45)=0),"",G45-_xlfn.MAXIFS(G$4:G44,B$4:B44,B45))</f>
        <v/>
      </c>
      <c r="P45" s="28" t="str">
        <f t="shared" si="7"/>
        <v/>
      </c>
    </row>
    <row r="46" spans="1:16" x14ac:dyDescent="0.45">
      <c r="A46" s="17"/>
      <c r="B46" s="18"/>
      <c r="C46" s="18"/>
      <c r="D46" s="18"/>
      <c r="E46" s="32"/>
      <c r="F46" s="19"/>
      <c r="G46" s="19"/>
      <c r="H46" s="32"/>
      <c r="I46" s="18"/>
      <c r="J46" s="18"/>
      <c r="K46" s="21" t="str">
        <f t="shared" si="4"/>
        <v/>
      </c>
      <c r="L46" s="28" t="str">
        <f t="shared" si="5"/>
        <v/>
      </c>
      <c r="M46" s="33" t="str">
        <f t="shared" si="6"/>
        <v/>
      </c>
      <c r="N46" s="16" t="str">
        <f>IF($A46="","",IF(I46&lt;&gt;"Đủ","Thiếu ảnh",IF(M46="","Chưa có số GPS",IF(ABS(M46)&gt;'THAM SỐ'!$B$30,"LỆCH DẦU","Đạt"))))</f>
        <v/>
      </c>
      <c r="O46" s="21" t="str">
        <f>IF(OR($A46="",G46="",COUNTIFS(B$4:B45,B46)=0),"",G46-_xlfn.MAXIFS(G$4:G45,B$4:B45,B46))</f>
        <v/>
      </c>
      <c r="P46" s="28" t="str">
        <f t="shared" si="7"/>
        <v/>
      </c>
    </row>
    <row r="47" spans="1:16" x14ac:dyDescent="0.45">
      <c r="A47" s="17"/>
      <c r="B47" s="18"/>
      <c r="C47" s="18"/>
      <c r="D47" s="18"/>
      <c r="E47" s="32"/>
      <c r="F47" s="19"/>
      <c r="G47" s="19"/>
      <c r="H47" s="32"/>
      <c r="I47" s="18"/>
      <c r="J47" s="18"/>
      <c r="K47" s="21" t="str">
        <f t="shared" si="4"/>
        <v/>
      </c>
      <c r="L47" s="28" t="str">
        <f t="shared" si="5"/>
        <v/>
      </c>
      <c r="M47" s="33" t="str">
        <f t="shared" si="6"/>
        <v/>
      </c>
      <c r="N47" s="16" t="str">
        <f>IF($A47="","",IF(I47&lt;&gt;"Đủ","Thiếu ảnh",IF(M47="","Chưa có số GPS",IF(ABS(M47)&gt;'THAM SỐ'!$B$30,"LỆCH DẦU","Đạt"))))</f>
        <v/>
      </c>
      <c r="O47" s="21" t="str">
        <f>IF(OR($A47="",G47="",COUNTIFS(B$4:B46,B47)=0),"",G47-_xlfn.MAXIFS(G$4:G46,B$4:B46,B47))</f>
        <v/>
      </c>
      <c r="P47" s="28" t="str">
        <f t="shared" si="7"/>
        <v/>
      </c>
    </row>
    <row r="48" spans="1:16" x14ac:dyDescent="0.45">
      <c r="A48" s="17"/>
      <c r="B48" s="18"/>
      <c r="C48" s="18"/>
      <c r="D48" s="18"/>
      <c r="E48" s="32"/>
      <c r="F48" s="19"/>
      <c r="G48" s="19"/>
      <c r="H48" s="32"/>
      <c r="I48" s="18"/>
      <c r="J48" s="18"/>
      <c r="K48" s="21" t="str">
        <f t="shared" si="4"/>
        <v/>
      </c>
      <c r="L48" s="28" t="str">
        <f t="shared" si="5"/>
        <v/>
      </c>
      <c r="M48" s="33" t="str">
        <f t="shared" si="6"/>
        <v/>
      </c>
      <c r="N48" s="16" t="str">
        <f>IF($A48="","",IF(I48&lt;&gt;"Đủ","Thiếu ảnh",IF(M48="","Chưa có số GPS",IF(ABS(M48)&gt;'THAM SỐ'!$B$30,"LỆCH DẦU","Đạt"))))</f>
        <v/>
      </c>
      <c r="O48" s="21" t="str">
        <f>IF(OR($A48="",G48="",COUNTIFS(B$4:B47,B48)=0),"",G48-_xlfn.MAXIFS(G$4:G47,B$4:B47,B48))</f>
        <v/>
      </c>
      <c r="P48" s="28" t="str">
        <f t="shared" si="7"/>
        <v/>
      </c>
    </row>
    <row r="49" spans="1:16" x14ac:dyDescent="0.45">
      <c r="A49" s="17"/>
      <c r="B49" s="18"/>
      <c r="C49" s="18"/>
      <c r="D49" s="18"/>
      <c r="E49" s="32"/>
      <c r="F49" s="19"/>
      <c r="G49" s="19"/>
      <c r="H49" s="32"/>
      <c r="I49" s="18"/>
      <c r="J49" s="18"/>
      <c r="K49" s="21" t="str">
        <f t="shared" si="4"/>
        <v/>
      </c>
      <c r="L49" s="28" t="str">
        <f t="shared" si="5"/>
        <v/>
      </c>
      <c r="M49" s="33" t="str">
        <f t="shared" si="6"/>
        <v/>
      </c>
      <c r="N49" s="16" t="str">
        <f>IF($A49="","",IF(I49&lt;&gt;"Đủ","Thiếu ảnh",IF(M49="","Chưa có số GPS",IF(ABS(M49)&gt;'THAM SỐ'!$B$30,"LỆCH DẦU","Đạt"))))</f>
        <v/>
      </c>
      <c r="O49" s="21" t="str">
        <f>IF(OR($A49="",G49="",COUNTIFS(B$4:B48,B49)=0),"",G49-_xlfn.MAXIFS(G$4:G48,B$4:B48,B49))</f>
        <v/>
      </c>
      <c r="P49" s="28" t="str">
        <f t="shared" si="7"/>
        <v/>
      </c>
    </row>
    <row r="50" spans="1:16" x14ac:dyDescent="0.45">
      <c r="A50" s="17"/>
      <c r="B50" s="18"/>
      <c r="C50" s="18"/>
      <c r="D50" s="18"/>
      <c r="E50" s="32"/>
      <c r="F50" s="19"/>
      <c r="G50" s="19"/>
      <c r="H50" s="32"/>
      <c r="I50" s="18"/>
      <c r="J50" s="18"/>
      <c r="K50" s="21" t="str">
        <f t="shared" si="4"/>
        <v/>
      </c>
      <c r="L50" s="28" t="str">
        <f t="shared" si="5"/>
        <v/>
      </c>
      <c r="M50" s="33" t="str">
        <f t="shared" si="6"/>
        <v/>
      </c>
      <c r="N50" s="16" t="str">
        <f>IF($A50="","",IF(I50&lt;&gt;"Đủ","Thiếu ảnh",IF(M50="","Chưa có số GPS",IF(ABS(M50)&gt;'THAM SỐ'!$B$30,"LỆCH DẦU","Đạt"))))</f>
        <v/>
      </c>
      <c r="O50" s="21" t="str">
        <f>IF(OR($A50="",G50="",COUNTIFS(B$4:B49,B50)=0),"",G50-_xlfn.MAXIFS(G$4:G49,B$4:B49,B50))</f>
        <v/>
      </c>
      <c r="P50" s="28" t="str">
        <f t="shared" si="7"/>
        <v/>
      </c>
    </row>
    <row r="51" spans="1:16" x14ac:dyDescent="0.45">
      <c r="A51" s="17"/>
      <c r="B51" s="18"/>
      <c r="C51" s="18"/>
      <c r="D51" s="18"/>
      <c r="E51" s="32"/>
      <c r="F51" s="19"/>
      <c r="G51" s="19"/>
      <c r="H51" s="32"/>
      <c r="I51" s="18"/>
      <c r="J51" s="18"/>
      <c r="K51" s="21" t="str">
        <f t="shared" si="4"/>
        <v/>
      </c>
      <c r="L51" s="28" t="str">
        <f t="shared" si="5"/>
        <v/>
      </c>
      <c r="M51" s="33" t="str">
        <f t="shared" si="6"/>
        <v/>
      </c>
      <c r="N51" s="16" t="str">
        <f>IF($A51="","",IF(I51&lt;&gt;"Đủ","Thiếu ảnh",IF(M51="","Chưa có số GPS",IF(ABS(M51)&gt;'THAM SỐ'!$B$30,"LỆCH DẦU","Đạt"))))</f>
        <v/>
      </c>
      <c r="O51" s="21" t="str">
        <f>IF(OR($A51="",G51="",COUNTIFS(B$4:B50,B51)=0),"",G51-_xlfn.MAXIFS(G$4:G50,B$4:B50,B51))</f>
        <v/>
      </c>
      <c r="P51" s="28" t="str">
        <f t="shared" si="7"/>
        <v/>
      </c>
    </row>
    <row r="52" spans="1:16" x14ac:dyDescent="0.45">
      <c r="A52" s="17"/>
      <c r="B52" s="18"/>
      <c r="C52" s="18"/>
      <c r="D52" s="18"/>
      <c r="E52" s="32"/>
      <c r="F52" s="19"/>
      <c r="G52" s="19"/>
      <c r="H52" s="32"/>
      <c r="I52" s="18"/>
      <c r="J52" s="18"/>
      <c r="K52" s="21" t="str">
        <f t="shared" si="4"/>
        <v/>
      </c>
      <c r="L52" s="28" t="str">
        <f t="shared" si="5"/>
        <v/>
      </c>
      <c r="M52" s="33" t="str">
        <f t="shared" si="6"/>
        <v/>
      </c>
      <c r="N52" s="16" t="str">
        <f>IF($A52="","",IF(I52&lt;&gt;"Đủ","Thiếu ảnh",IF(M52="","Chưa có số GPS",IF(ABS(M52)&gt;'THAM SỐ'!$B$30,"LỆCH DẦU","Đạt"))))</f>
        <v/>
      </c>
      <c r="O52" s="21" t="str">
        <f>IF(OR($A52="",G52="",COUNTIFS(B$4:B51,B52)=0),"",G52-_xlfn.MAXIFS(G$4:G51,B$4:B51,B52))</f>
        <v/>
      </c>
      <c r="P52" s="28" t="str">
        <f t="shared" si="7"/>
        <v/>
      </c>
    </row>
    <row r="53" spans="1:16" x14ac:dyDescent="0.45">
      <c r="A53" s="17"/>
      <c r="B53" s="18"/>
      <c r="C53" s="18"/>
      <c r="D53" s="18"/>
      <c r="E53" s="32"/>
      <c r="F53" s="19"/>
      <c r="G53" s="19"/>
      <c r="H53" s="32"/>
      <c r="I53" s="18"/>
      <c r="J53" s="18"/>
      <c r="K53" s="21" t="str">
        <f t="shared" si="4"/>
        <v/>
      </c>
      <c r="L53" s="28" t="str">
        <f t="shared" si="5"/>
        <v/>
      </c>
      <c r="M53" s="33" t="str">
        <f t="shared" si="6"/>
        <v/>
      </c>
      <c r="N53" s="16" t="str">
        <f>IF($A53="","",IF(I53&lt;&gt;"Đủ","Thiếu ảnh",IF(M53="","Chưa có số GPS",IF(ABS(M53)&gt;'THAM SỐ'!$B$30,"LỆCH DẦU","Đạt"))))</f>
        <v/>
      </c>
      <c r="O53" s="21" t="str">
        <f>IF(OR($A53="",G53="",COUNTIFS(B$4:B52,B53)=0),"",G53-_xlfn.MAXIFS(G$4:G52,B$4:B52,B53))</f>
        <v/>
      </c>
      <c r="P53" s="28" t="str">
        <f t="shared" si="7"/>
        <v/>
      </c>
    </row>
    <row r="54" spans="1:16" x14ac:dyDescent="0.45">
      <c r="A54" s="17"/>
      <c r="B54" s="18"/>
      <c r="C54" s="18"/>
      <c r="D54" s="18"/>
      <c r="E54" s="32"/>
      <c r="F54" s="19"/>
      <c r="G54" s="19"/>
      <c r="H54" s="32"/>
      <c r="I54" s="18"/>
      <c r="J54" s="18"/>
      <c r="K54" s="21" t="str">
        <f t="shared" si="4"/>
        <v/>
      </c>
      <c r="L54" s="28" t="str">
        <f t="shared" si="5"/>
        <v/>
      </c>
      <c r="M54" s="33" t="str">
        <f t="shared" si="6"/>
        <v/>
      </c>
      <c r="N54" s="16" t="str">
        <f>IF($A54="","",IF(I54&lt;&gt;"Đủ","Thiếu ảnh",IF(M54="","Chưa có số GPS",IF(ABS(M54)&gt;'THAM SỐ'!$B$30,"LỆCH DẦU","Đạt"))))</f>
        <v/>
      </c>
      <c r="O54" s="21" t="str">
        <f>IF(OR($A54="",G54="",COUNTIFS(B$4:B53,B54)=0),"",G54-_xlfn.MAXIFS(G$4:G53,B$4:B53,B54))</f>
        <v/>
      </c>
      <c r="P54" s="28" t="str">
        <f t="shared" si="7"/>
        <v/>
      </c>
    </row>
    <row r="55" spans="1:16" x14ac:dyDescent="0.45">
      <c r="A55" s="17"/>
      <c r="B55" s="18"/>
      <c r="C55" s="18"/>
      <c r="D55" s="18"/>
      <c r="E55" s="32"/>
      <c r="F55" s="19"/>
      <c r="G55" s="19"/>
      <c r="H55" s="32"/>
      <c r="I55" s="18"/>
      <c r="J55" s="18"/>
      <c r="K55" s="21" t="str">
        <f t="shared" si="4"/>
        <v/>
      </c>
      <c r="L55" s="28" t="str">
        <f t="shared" si="5"/>
        <v/>
      </c>
      <c r="M55" s="33" t="str">
        <f t="shared" si="6"/>
        <v/>
      </c>
      <c r="N55" s="16" t="str">
        <f>IF($A55="","",IF(I55&lt;&gt;"Đủ","Thiếu ảnh",IF(M55="","Chưa có số GPS",IF(ABS(M55)&gt;'THAM SỐ'!$B$30,"LỆCH DẦU","Đạt"))))</f>
        <v/>
      </c>
      <c r="O55" s="21" t="str">
        <f>IF(OR($A55="",G55="",COUNTIFS(B$4:B54,B55)=0),"",G55-_xlfn.MAXIFS(G$4:G54,B$4:B54,B55))</f>
        <v/>
      </c>
      <c r="P55" s="28" t="str">
        <f t="shared" si="7"/>
        <v/>
      </c>
    </row>
    <row r="56" spans="1:16" x14ac:dyDescent="0.45">
      <c r="A56" s="17"/>
      <c r="B56" s="18"/>
      <c r="C56" s="18"/>
      <c r="D56" s="18"/>
      <c r="E56" s="32"/>
      <c r="F56" s="19"/>
      <c r="G56" s="19"/>
      <c r="H56" s="32"/>
      <c r="I56" s="18"/>
      <c r="J56" s="18"/>
      <c r="K56" s="21" t="str">
        <f t="shared" si="4"/>
        <v/>
      </c>
      <c r="L56" s="28" t="str">
        <f t="shared" si="5"/>
        <v/>
      </c>
      <c r="M56" s="33" t="str">
        <f t="shared" si="6"/>
        <v/>
      </c>
      <c r="N56" s="16" t="str">
        <f>IF($A56="","",IF(I56&lt;&gt;"Đủ","Thiếu ảnh",IF(M56="","Chưa có số GPS",IF(ABS(M56)&gt;'THAM SỐ'!$B$30,"LỆCH DẦU","Đạt"))))</f>
        <v/>
      </c>
      <c r="O56" s="21" t="str">
        <f>IF(OR($A56="",G56="",COUNTIFS(B$4:B55,B56)=0),"",G56-_xlfn.MAXIFS(G$4:G55,B$4:B55,B56))</f>
        <v/>
      </c>
      <c r="P56" s="28" t="str">
        <f t="shared" si="7"/>
        <v/>
      </c>
    </row>
    <row r="57" spans="1:16" x14ac:dyDescent="0.45">
      <c r="A57" s="17"/>
      <c r="B57" s="18"/>
      <c r="C57" s="18"/>
      <c r="D57" s="18"/>
      <c r="E57" s="32"/>
      <c r="F57" s="19"/>
      <c r="G57" s="19"/>
      <c r="H57" s="32"/>
      <c r="I57" s="18"/>
      <c r="J57" s="18"/>
      <c r="K57" s="21" t="str">
        <f t="shared" si="4"/>
        <v/>
      </c>
      <c r="L57" s="28" t="str">
        <f t="shared" si="5"/>
        <v/>
      </c>
      <c r="M57" s="33" t="str">
        <f t="shared" si="6"/>
        <v/>
      </c>
      <c r="N57" s="16" t="str">
        <f>IF($A57="","",IF(I57&lt;&gt;"Đủ","Thiếu ảnh",IF(M57="","Chưa có số GPS",IF(ABS(M57)&gt;'THAM SỐ'!$B$30,"LỆCH DẦU","Đạt"))))</f>
        <v/>
      </c>
      <c r="O57" s="21" t="str">
        <f>IF(OR($A57="",G57="",COUNTIFS(B$4:B56,B57)=0),"",G57-_xlfn.MAXIFS(G$4:G56,B$4:B56,B57))</f>
        <v/>
      </c>
      <c r="P57" s="28" t="str">
        <f t="shared" si="7"/>
        <v/>
      </c>
    </row>
    <row r="58" spans="1:16" x14ac:dyDescent="0.45">
      <c r="A58" s="17"/>
      <c r="B58" s="18"/>
      <c r="C58" s="18"/>
      <c r="D58" s="18"/>
      <c r="E58" s="32"/>
      <c r="F58" s="19"/>
      <c r="G58" s="19"/>
      <c r="H58" s="32"/>
      <c r="I58" s="18"/>
      <c r="J58" s="18"/>
      <c r="K58" s="21" t="str">
        <f t="shared" si="4"/>
        <v/>
      </c>
      <c r="L58" s="28" t="str">
        <f t="shared" si="5"/>
        <v/>
      </c>
      <c r="M58" s="33" t="str">
        <f t="shared" si="6"/>
        <v/>
      </c>
      <c r="N58" s="16" t="str">
        <f>IF($A58="","",IF(I58&lt;&gt;"Đủ","Thiếu ảnh",IF(M58="","Chưa có số GPS",IF(ABS(M58)&gt;'THAM SỐ'!$B$30,"LỆCH DẦU","Đạt"))))</f>
        <v/>
      </c>
      <c r="O58" s="21" t="str">
        <f>IF(OR($A58="",G58="",COUNTIFS(B$4:B57,B58)=0),"",G58-_xlfn.MAXIFS(G$4:G57,B$4:B57,B58))</f>
        <v/>
      </c>
      <c r="P58" s="28" t="str">
        <f t="shared" si="7"/>
        <v/>
      </c>
    </row>
    <row r="59" spans="1:16" x14ac:dyDescent="0.45">
      <c r="A59" s="17"/>
      <c r="B59" s="18"/>
      <c r="C59" s="18"/>
      <c r="D59" s="18"/>
      <c r="E59" s="32"/>
      <c r="F59" s="19"/>
      <c r="G59" s="19"/>
      <c r="H59" s="32"/>
      <c r="I59" s="18"/>
      <c r="J59" s="18"/>
      <c r="K59" s="21" t="str">
        <f t="shared" si="4"/>
        <v/>
      </c>
      <c r="L59" s="28" t="str">
        <f t="shared" si="5"/>
        <v/>
      </c>
      <c r="M59" s="33" t="str">
        <f t="shared" si="6"/>
        <v/>
      </c>
      <c r="N59" s="16" t="str">
        <f>IF($A59="","",IF(I59&lt;&gt;"Đủ","Thiếu ảnh",IF(M59="","Chưa có số GPS",IF(ABS(M59)&gt;'THAM SỐ'!$B$30,"LỆCH DẦU","Đạt"))))</f>
        <v/>
      </c>
      <c r="O59" s="21" t="str">
        <f>IF(OR($A59="",G59="",COUNTIFS(B$4:B58,B59)=0),"",G59-_xlfn.MAXIFS(G$4:G58,B$4:B58,B59))</f>
        <v/>
      </c>
      <c r="P59" s="28" t="str">
        <f t="shared" si="7"/>
        <v/>
      </c>
    </row>
    <row r="60" spans="1:16" x14ac:dyDescent="0.45">
      <c r="A60" s="17"/>
      <c r="B60" s="18"/>
      <c r="C60" s="18"/>
      <c r="D60" s="18"/>
      <c r="E60" s="32"/>
      <c r="F60" s="19"/>
      <c r="G60" s="19"/>
      <c r="H60" s="32"/>
      <c r="I60" s="18"/>
      <c r="J60" s="18"/>
      <c r="K60" s="21" t="str">
        <f t="shared" si="4"/>
        <v/>
      </c>
      <c r="L60" s="28" t="str">
        <f t="shared" si="5"/>
        <v/>
      </c>
      <c r="M60" s="33" t="str">
        <f t="shared" si="6"/>
        <v/>
      </c>
      <c r="N60" s="16" t="str">
        <f>IF($A60="","",IF(I60&lt;&gt;"Đủ","Thiếu ảnh",IF(M60="","Chưa có số GPS",IF(ABS(M60)&gt;'THAM SỐ'!$B$30,"LỆCH DẦU","Đạt"))))</f>
        <v/>
      </c>
      <c r="O60" s="21" t="str">
        <f>IF(OR($A60="",G60="",COUNTIFS(B$4:B59,B60)=0),"",G60-_xlfn.MAXIFS(G$4:G59,B$4:B59,B60))</f>
        <v/>
      </c>
      <c r="P60" s="28" t="str">
        <f t="shared" si="7"/>
        <v/>
      </c>
    </row>
    <row r="61" spans="1:16" x14ac:dyDescent="0.45">
      <c r="A61" s="17"/>
      <c r="B61" s="18"/>
      <c r="C61" s="18"/>
      <c r="D61" s="18"/>
      <c r="E61" s="32"/>
      <c r="F61" s="19"/>
      <c r="G61" s="19"/>
      <c r="H61" s="32"/>
      <c r="I61" s="18"/>
      <c r="J61" s="18"/>
      <c r="K61" s="21" t="str">
        <f t="shared" si="4"/>
        <v/>
      </c>
      <c r="L61" s="28" t="str">
        <f t="shared" si="5"/>
        <v/>
      </c>
      <c r="M61" s="33" t="str">
        <f t="shared" si="6"/>
        <v/>
      </c>
      <c r="N61" s="16" t="str">
        <f>IF($A61="","",IF(I61&lt;&gt;"Đủ","Thiếu ảnh",IF(M61="","Chưa có số GPS",IF(ABS(M61)&gt;'THAM SỐ'!$B$30,"LỆCH DẦU","Đạt"))))</f>
        <v/>
      </c>
      <c r="O61" s="21" t="str">
        <f>IF(OR($A61="",G61="",COUNTIFS(B$4:B60,B61)=0),"",G61-_xlfn.MAXIFS(G$4:G60,B$4:B60,B61))</f>
        <v/>
      </c>
      <c r="P61" s="28" t="str">
        <f t="shared" si="7"/>
        <v/>
      </c>
    </row>
    <row r="62" spans="1:16" x14ac:dyDescent="0.45">
      <c r="A62" s="17"/>
      <c r="B62" s="18"/>
      <c r="C62" s="18"/>
      <c r="D62" s="18"/>
      <c r="E62" s="32"/>
      <c r="F62" s="19"/>
      <c r="G62" s="19"/>
      <c r="H62" s="32"/>
      <c r="I62" s="18"/>
      <c r="J62" s="18"/>
      <c r="K62" s="21" t="str">
        <f t="shared" si="4"/>
        <v/>
      </c>
      <c r="L62" s="28" t="str">
        <f t="shared" si="5"/>
        <v/>
      </c>
      <c r="M62" s="33" t="str">
        <f t="shared" si="6"/>
        <v/>
      </c>
      <c r="N62" s="16" t="str">
        <f>IF($A62="","",IF(I62&lt;&gt;"Đủ","Thiếu ảnh",IF(M62="","Chưa có số GPS",IF(ABS(M62)&gt;'THAM SỐ'!$B$30,"LỆCH DẦU","Đạt"))))</f>
        <v/>
      </c>
      <c r="O62" s="21" t="str">
        <f>IF(OR($A62="",G62="",COUNTIFS(B$4:B61,B62)=0),"",G62-_xlfn.MAXIFS(G$4:G61,B$4:B61,B62))</f>
        <v/>
      </c>
      <c r="P62" s="28" t="str">
        <f t="shared" si="7"/>
        <v/>
      </c>
    </row>
    <row r="63" spans="1:16" x14ac:dyDescent="0.45">
      <c r="A63" s="17"/>
      <c r="B63" s="18"/>
      <c r="C63" s="18"/>
      <c r="D63" s="18"/>
      <c r="E63" s="32"/>
      <c r="F63" s="19"/>
      <c r="G63" s="19"/>
      <c r="H63" s="32"/>
      <c r="I63" s="18"/>
      <c r="J63" s="18"/>
      <c r="K63" s="21" t="str">
        <f t="shared" si="4"/>
        <v/>
      </c>
      <c r="L63" s="28" t="str">
        <f t="shared" si="5"/>
        <v/>
      </c>
      <c r="M63" s="33" t="str">
        <f t="shared" si="6"/>
        <v/>
      </c>
      <c r="N63" s="16" t="str">
        <f>IF($A63="","",IF(I63&lt;&gt;"Đủ","Thiếu ảnh",IF(M63="","Chưa có số GPS",IF(ABS(M63)&gt;'THAM SỐ'!$B$30,"LỆCH DẦU","Đạt"))))</f>
        <v/>
      </c>
      <c r="O63" s="21" t="str">
        <f>IF(OR($A63="",G63="",COUNTIFS(B$4:B62,B63)=0),"",G63-_xlfn.MAXIFS(G$4:G62,B$4:B62,B63))</f>
        <v/>
      </c>
      <c r="P63" s="28" t="str">
        <f t="shared" si="7"/>
        <v/>
      </c>
    </row>
    <row r="64" spans="1:16" x14ac:dyDescent="0.45">
      <c r="A64" s="17"/>
      <c r="B64" s="18"/>
      <c r="C64" s="18"/>
      <c r="D64" s="18"/>
      <c r="E64" s="32"/>
      <c r="F64" s="19"/>
      <c r="G64" s="19"/>
      <c r="H64" s="32"/>
      <c r="I64" s="18"/>
      <c r="J64" s="18"/>
      <c r="K64" s="21" t="str">
        <f t="shared" si="4"/>
        <v/>
      </c>
      <c r="L64" s="28" t="str">
        <f t="shared" si="5"/>
        <v/>
      </c>
      <c r="M64" s="33" t="str">
        <f t="shared" si="6"/>
        <v/>
      </c>
      <c r="N64" s="16" t="str">
        <f>IF($A64="","",IF(I64&lt;&gt;"Đủ","Thiếu ảnh",IF(M64="","Chưa có số GPS",IF(ABS(M64)&gt;'THAM SỐ'!$B$30,"LỆCH DẦU","Đạt"))))</f>
        <v/>
      </c>
      <c r="O64" s="21" t="str">
        <f>IF(OR($A64="",G64="",COUNTIFS(B$4:B63,B64)=0),"",G64-_xlfn.MAXIFS(G$4:G63,B$4:B63,B64))</f>
        <v/>
      </c>
      <c r="P64" s="28" t="str">
        <f t="shared" si="7"/>
        <v/>
      </c>
    </row>
    <row r="65" spans="1:16" x14ac:dyDescent="0.45">
      <c r="A65" s="17"/>
      <c r="B65" s="18"/>
      <c r="C65" s="18"/>
      <c r="D65" s="18"/>
      <c r="E65" s="32"/>
      <c r="F65" s="19"/>
      <c r="G65" s="19"/>
      <c r="H65" s="32"/>
      <c r="I65" s="18"/>
      <c r="J65" s="18"/>
      <c r="K65" s="21" t="str">
        <f t="shared" si="4"/>
        <v/>
      </c>
      <c r="L65" s="28" t="str">
        <f t="shared" si="5"/>
        <v/>
      </c>
      <c r="M65" s="33" t="str">
        <f t="shared" si="6"/>
        <v/>
      </c>
      <c r="N65" s="16" t="str">
        <f>IF($A65="","",IF(I65&lt;&gt;"Đủ","Thiếu ảnh",IF(M65="","Chưa có số GPS",IF(ABS(M65)&gt;'THAM SỐ'!$B$30,"LỆCH DẦU","Đạt"))))</f>
        <v/>
      </c>
      <c r="O65" s="21" t="str">
        <f>IF(OR($A65="",G65="",COUNTIFS(B$4:B64,B65)=0),"",G65-_xlfn.MAXIFS(G$4:G64,B$4:B64,B65))</f>
        <v/>
      </c>
      <c r="P65" s="28" t="str">
        <f t="shared" si="7"/>
        <v/>
      </c>
    </row>
    <row r="66" spans="1:16" x14ac:dyDescent="0.45">
      <c r="A66" s="17"/>
      <c r="B66" s="18"/>
      <c r="C66" s="18"/>
      <c r="D66" s="18"/>
      <c r="E66" s="32"/>
      <c r="F66" s="19"/>
      <c r="G66" s="19"/>
      <c r="H66" s="32"/>
      <c r="I66" s="18"/>
      <c r="J66" s="18"/>
      <c r="K66" s="21" t="str">
        <f t="shared" si="4"/>
        <v/>
      </c>
      <c r="L66" s="28" t="str">
        <f t="shared" si="5"/>
        <v/>
      </c>
      <c r="M66" s="33" t="str">
        <f t="shared" si="6"/>
        <v/>
      </c>
      <c r="N66" s="16" t="str">
        <f>IF($A66="","",IF(I66&lt;&gt;"Đủ","Thiếu ảnh",IF(M66="","Chưa có số GPS",IF(ABS(M66)&gt;'THAM SỐ'!$B$30,"LỆCH DẦU","Đạt"))))</f>
        <v/>
      </c>
      <c r="O66" s="21" t="str">
        <f>IF(OR($A66="",G66="",COUNTIFS(B$4:B65,B66)=0),"",G66-_xlfn.MAXIFS(G$4:G65,B$4:B65,B66))</f>
        <v/>
      </c>
      <c r="P66" s="28" t="str">
        <f t="shared" si="7"/>
        <v/>
      </c>
    </row>
    <row r="67" spans="1:16" x14ac:dyDescent="0.45">
      <c r="A67" s="17"/>
      <c r="B67" s="18"/>
      <c r="C67" s="18"/>
      <c r="D67" s="18"/>
      <c r="E67" s="32"/>
      <c r="F67" s="19"/>
      <c r="G67" s="19"/>
      <c r="H67" s="32"/>
      <c r="I67" s="18"/>
      <c r="J67" s="18"/>
      <c r="K67" s="21" t="str">
        <f t="shared" si="4"/>
        <v/>
      </c>
      <c r="L67" s="28" t="str">
        <f t="shared" si="5"/>
        <v/>
      </c>
      <c r="M67" s="33" t="str">
        <f t="shared" si="6"/>
        <v/>
      </c>
      <c r="N67" s="16" t="str">
        <f>IF($A67="","",IF(I67&lt;&gt;"Đủ","Thiếu ảnh",IF(M67="","Chưa có số GPS",IF(ABS(M67)&gt;'THAM SỐ'!$B$30,"LỆCH DẦU","Đạt"))))</f>
        <v/>
      </c>
      <c r="O67" s="21" t="str">
        <f>IF(OR($A67="",G67="",COUNTIFS(B$4:B66,B67)=0),"",G67-_xlfn.MAXIFS(G$4:G66,B$4:B66,B67))</f>
        <v/>
      </c>
      <c r="P67" s="28" t="str">
        <f t="shared" si="7"/>
        <v/>
      </c>
    </row>
    <row r="68" spans="1:16" x14ac:dyDescent="0.45">
      <c r="A68" s="17"/>
      <c r="B68" s="18"/>
      <c r="C68" s="18"/>
      <c r="D68" s="18"/>
      <c r="E68" s="32"/>
      <c r="F68" s="19"/>
      <c r="G68" s="19"/>
      <c r="H68" s="32"/>
      <c r="I68" s="18"/>
      <c r="J68" s="18"/>
      <c r="K68" s="21" t="str">
        <f t="shared" si="4"/>
        <v/>
      </c>
      <c r="L68" s="28" t="str">
        <f t="shared" si="5"/>
        <v/>
      </c>
      <c r="M68" s="33" t="str">
        <f t="shared" si="6"/>
        <v/>
      </c>
      <c r="N68" s="16" t="str">
        <f>IF($A68="","",IF(I68&lt;&gt;"Đủ","Thiếu ảnh",IF(M68="","Chưa có số GPS",IF(ABS(M68)&gt;'THAM SỐ'!$B$30,"LỆCH DẦU","Đạt"))))</f>
        <v/>
      </c>
      <c r="O68" s="21" t="str">
        <f>IF(OR($A68="",G68="",COUNTIFS(B$4:B67,B68)=0),"",G68-_xlfn.MAXIFS(G$4:G67,B$4:B67,B68))</f>
        <v/>
      </c>
      <c r="P68" s="28" t="str">
        <f t="shared" si="7"/>
        <v/>
      </c>
    </row>
    <row r="69" spans="1:16" x14ac:dyDescent="0.45">
      <c r="A69" s="17"/>
      <c r="B69" s="18"/>
      <c r="C69" s="18"/>
      <c r="D69" s="18"/>
      <c r="E69" s="32"/>
      <c r="F69" s="19"/>
      <c r="G69" s="19"/>
      <c r="H69" s="32"/>
      <c r="I69" s="18"/>
      <c r="J69" s="18"/>
      <c r="K69" s="21" t="str">
        <f t="shared" ref="K69:K100" si="8">IF(OR($A69="",E69="",F69=""),"",E69*F69)</f>
        <v/>
      </c>
      <c r="L69" s="28" t="str">
        <f t="shared" ref="L69:L100" si="9">IF(OR($A69="",E69="",H69=""),"",E69-H69)</f>
        <v/>
      </c>
      <c r="M69" s="33" t="str">
        <f t="shared" ref="M69:M100" si="10">IF(OR(L69="",N(E69)=0),"",L69/E69)</f>
        <v/>
      </c>
      <c r="N69" s="16" t="str">
        <f>IF($A69="","",IF(I69&lt;&gt;"Đủ","Thiếu ảnh",IF(M69="","Chưa có số GPS",IF(ABS(M69)&gt;'THAM SỐ'!$B$30,"LỆCH DẦU","Đạt"))))</f>
        <v/>
      </c>
      <c r="O69" s="21" t="str">
        <f>IF(OR($A69="",G69="",COUNTIFS(B$4:B68,B69)=0),"",G69-_xlfn.MAXIFS(G$4:G68,B$4:B68,B69))</f>
        <v/>
      </c>
      <c r="P69" s="28" t="str">
        <f t="shared" ref="P69:P100" si="11">IF(OR(O69="",N(O69)&lt;=0,E69=""),"",E69/O69*100)</f>
        <v/>
      </c>
    </row>
    <row r="70" spans="1:16" x14ac:dyDescent="0.45">
      <c r="A70" s="17"/>
      <c r="B70" s="18"/>
      <c r="C70" s="18"/>
      <c r="D70" s="18"/>
      <c r="E70" s="32"/>
      <c r="F70" s="19"/>
      <c r="G70" s="19"/>
      <c r="H70" s="32"/>
      <c r="I70" s="18"/>
      <c r="J70" s="18"/>
      <c r="K70" s="21" t="str">
        <f t="shared" si="8"/>
        <v/>
      </c>
      <c r="L70" s="28" t="str">
        <f t="shared" si="9"/>
        <v/>
      </c>
      <c r="M70" s="33" t="str">
        <f t="shared" si="10"/>
        <v/>
      </c>
      <c r="N70" s="16" t="str">
        <f>IF($A70="","",IF(I70&lt;&gt;"Đủ","Thiếu ảnh",IF(M70="","Chưa có số GPS",IF(ABS(M70)&gt;'THAM SỐ'!$B$30,"LỆCH DẦU","Đạt"))))</f>
        <v/>
      </c>
      <c r="O70" s="21" t="str">
        <f>IF(OR($A70="",G70="",COUNTIFS(B$4:B69,B70)=0),"",G70-_xlfn.MAXIFS(G$4:G69,B$4:B69,B70))</f>
        <v/>
      </c>
      <c r="P70" s="28" t="str">
        <f t="shared" si="11"/>
        <v/>
      </c>
    </row>
    <row r="71" spans="1:16" x14ac:dyDescent="0.45">
      <c r="A71" s="17"/>
      <c r="B71" s="18"/>
      <c r="C71" s="18"/>
      <c r="D71" s="18"/>
      <c r="E71" s="32"/>
      <c r="F71" s="19"/>
      <c r="G71" s="19"/>
      <c r="H71" s="32"/>
      <c r="I71" s="18"/>
      <c r="J71" s="18"/>
      <c r="K71" s="21" t="str">
        <f t="shared" si="8"/>
        <v/>
      </c>
      <c r="L71" s="28" t="str">
        <f t="shared" si="9"/>
        <v/>
      </c>
      <c r="M71" s="33" t="str">
        <f t="shared" si="10"/>
        <v/>
      </c>
      <c r="N71" s="16" t="str">
        <f>IF($A71="","",IF(I71&lt;&gt;"Đủ","Thiếu ảnh",IF(M71="","Chưa có số GPS",IF(ABS(M71)&gt;'THAM SỐ'!$B$30,"LỆCH DẦU","Đạt"))))</f>
        <v/>
      </c>
      <c r="O71" s="21" t="str">
        <f>IF(OR($A71="",G71="",COUNTIFS(B$4:B70,B71)=0),"",G71-_xlfn.MAXIFS(G$4:G70,B$4:B70,B71))</f>
        <v/>
      </c>
      <c r="P71" s="28" t="str">
        <f t="shared" si="11"/>
        <v/>
      </c>
    </row>
    <row r="72" spans="1:16" x14ac:dyDescent="0.45">
      <c r="A72" s="17"/>
      <c r="B72" s="18"/>
      <c r="C72" s="18"/>
      <c r="D72" s="18"/>
      <c r="E72" s="32"/>
      <c r="F72" s="19"/>
      <c r="G72" s="19"/>
      <c r="H72" s="32"/>
      <c r="I72" s="18"/>
      <c r="J72" s="18"/>
      <c r="K72" s="21" t="str">
        <f t="shared" si="8"/>
        <v/>
      </c>
      <c r="L72" s="28" t="str">
        <f t="shared" si="9"/>
        <v/>
      </c>
      <c r="M72" s="33" t="str">
        <f t="shared" si="10"/>
        <v/>
      </c>
      <c r="N72" s="16" t="str">
        <f>IF($A72="","",IF(I72&lt;&gt;"Đủ","Thiếu ảnh",IF(M72="","Chưa có số GPS",IF(ABS(M72)&gt;'THAM SỐ'!$B$30,"LỆCH DẦU","Đạt"))))</f>
        <v/>
      </c>
      <c r="O72" s="21" t="str">
        <f>IF(OR($A72="",G72="",COUNTIFS(B$4:B71,B72)=0),"",G72-_xlfn.MAXIFS(G$4:G71,B$4:B71,B72))</f>
        <v/>
      </c>
      <c r="P72" s="28" t="str">
        <f t="shared" si="11"/>
        <v/>
      </c>
    </row>
    <row r="73" spans="1:16" x14ac:dyDescent="0.45">
      <c r="A73" s="17"/>
      <c r="B73" s="18"/>
      <c r="C73" s="18"/>
      <c r="D73" s="18"/>
      <c r="E73" s="32"/>
      <c r="F73" s="19"/>
      <c r="G73" s="19"/>
      <c r="H73" s="32"/>
      <c r="I73" s="18"/>
      <c r="J73" s="18"/>
      <c r="K73" s="21" t="str">
        <f t="shared" si="8"/>
        <v/>
      </c>
      <c r="L73" s="28" t="str">
        <f t="shared" si="9"/>
        <v/>
      </c>
      <c r="M73" s="33" t="str">
        <f t="shared" si="10"/>
        <v/>
      </c>
      <c r="N73" s="16" t="str">
        <f>IF($A73="","",IF(I73&lt;&gt;"Đủ","Thiếu ảnh",IF(M73="","Chưa có số GPS",IF(ABS(M73)&gt;'THAM SỐ'!$B$30,"LỆCH DẦU","Đạt"))))</f>
        <v/>
      </c>
      <c r="O73" s="21" t="str">
        <f>IF(OR($A73="",G73="",COUNTIFS(B$4:B72,B73)=0),"",G73-_xlfn.MAXIFS(G$4:G72,B$4:B72,B73))</f>
        <v/>
      </c>
      <c r="P73" s="28" t="str">
        <f t="shared" si="11"/>
        <v/>
      </c>
    </row>
    <row r="74" spans="1:16" x14ac:dyDescent="0.45">
      <c r="A74" s="17"/>
      <c r="B74" s="18"/>
      <c r="C74" s="18"/>
      <c r="D74" s="18"/>
      <c r="E74" s="32"/>
      <c r="F74" s="19"/>
      <c r="G74" s="19"/>
      <c r="H74" s="32"/>
      <c r="I74" s="18"/>
      <c r="J74" s="18"/>
      <c r="K74" s="21" t="str">
        <f t="shared" si="8"/>
        <v/>
      </c>
      <c r="L74" s="28" t="str">
        <f t="shared" si="9"/>
        <v/>
      </c>
      <c r="M74" s="33" t="str">
        <f t="shared" si="10"/>
        <v/>
      </c>
      <c r="N74" s="16" t="str">
        <f>IF($A74="","",IF(I74&lt;&gt;"Đủ","Thiếu ảnh",IF(M74="","Chưa có số GPS",IF(ABS(M74)&gt;'THAM SỐ'!$B$30,"LỆCH DẦU","Đạt"))))</f>
        <v/>
      </c>
      <c r="O74" s="21" t="str">
        <f>IF(OR($A74="",G74="",COUNTIFS(B$4:B73,B74)=0),"",G74-_xlfn.MAXIFS(G$4:G73,B$4:B73,B74))</f>
        <v/>
      </c>
      <c r="P74" s="28" t="str">
        <f t="shared" si="11"/>
        <v/>
      </c>
    </row>
    <row r="75" spans="1:16" x14ac:dyDescent="0.45">
      <c r="A75" s="17"/>
      <c r="B75" s="18"/>
      <c r="C75" s="18"/>
      <c r="D75" s="18"/>
      <c r="E75" s="32"/>
      <c r="F75" s="19"/>
      <c r="G75" s="19"/>
      <c r="H75" s="32"/>
      <c r="I75" s="18"/>
      <c r="J75" s="18"/>
      <c r="K75" s="21" t="str">
        <f t="shared" si="8"/>
        <v/>
      </c>
      <c r="L75" s="28" t="str">
        <f t="shared" si="9"/>
        <v/>
      </c>
      <c r="M75" s="33" t="str">
        <f t="shared" si="10"/>
        <v/>
      </c>
      <c r="N75" s="16" t="str">
        <f>IF($A75="","",IF(I75&lt;&gt;"Đủ","Thiếu ảnh",IF(M75="","Chưa có số GPS",IF(ABS(M75)&gt;'THAM SỐ'!$B$30,"LỆCH DẦU","Đạt"))))</f>
        <v/>
      </c>
      <c r="O75" s="21" t="str">
        <f>IF(OR($A75="",G75="",COUNTIFS(B$4:B74,B75)=0),"",G75-_xlfn.MAXIFS(G$4:G74,B$4:B74,B75))</f>
        <v/>
      </c>
      <c r="P75" s="28" t="str">
        <f t="shared" si="11"/>
        <v/>
      </c>
    </row>
    <row r="76" spans="1:16" x14ac:dyDescent="0.45">
      <c r="A76" s="17"/>
      <c r="B76" s="18"/>
      <c r="C76" s="18"/>
      <c r="D76" s="18"/>
      <c r="E76" s="32"/>
      <c r="F76" s="19"/>
      <c r="G76" s="19"/>
      <c r="H76" s="32"/>
      <c r="I76" s="18"/>
      <c r="J76" s="18"/>
      <c r="K76" s="21" t="str">
        <f t="shared" si="8"/>
        <v/>
      </c>
      <c r="L76" s="28" t="str">
        <f t="shared" si="9"/>
        <v/>
      </c>
      <c r="M76" s="33" t="str">
        <f t="shared" si="10"/>
        <v/>
      </c>
      <c r="N76" s="16" t="str">
        <f>IF($A76="","",IF(I76&lt;&gt;"Đủ","Thiếu ảnh",IF(M76="","Chưa có số GPS",IF(ABS(M76)&gt;'THAM SỐ'!$B$30,"LỆCH DẦU","Đạt"))))</f>
        <v/>
      </c>
      <c r="O76" s="21" t="str">
        <f>IF(OR($A76="",G76="",COUNTIFS(B$4:B75,B76)=0),"",G76-_xlfn.MAXIFS(G$4:G75,B$4:B75,B76))</f>
        <v/>
      </c>
      <c r="P76" s="28" t="str">
        <f t="shared" si="11"/>
        <v/>
      </c>
    </row>
    <row r="77" spans="1:16" x14ac:dyDescent="0.45">
      <c r="A77" s="17"/>
      <c r="B77" s="18"/>
      <c r="C77" s="18"/>
      <c r="D77" s="18"/>
      <c r="E77" s="32"/>
      <c r="F77" s="19"/>
      <c r="G77" s="19"/>
      <c r="H77" s="32"/>
      <c r="I77" s="18"/>
      <c r="J77" s="18"/>
      <c r="K77" s="21" t="str">
        <f t="shared" si="8"/>
        <v/>
      </c>
      <c r="L77" s="28" t="str">
        <f t="shared" si="9"/>
        <v/>
      </c>
      <c r="M77" s="33" t="str">
        <f t="shared" si="10"/>
        <v/>
      </c>
      <c r="N77" s="16" t="str">
        <f>IF($A77="","",IF(I77&lt;&gt;"Đủ","Thiếu ảnh",IF(M77="","Chưa có số GPS",IF(ABS(M77)&gt;'THAM SỐ'!$B$30,"LỆCH DẦU","Đạt"))))</f>
        <v/>
      </c>
      <c r="O77" s="21" t="str">
        <f>IF(OR($A77="",G77="",COUNTIFS(B$4:B76,B77)=0),"",G77-_xlfn.MAXIFS(G$4:G76,B$4:B76,B77))</f>
        <v/>
      </c>
      <c r="P77" s="28" t="str">
        <f t="shared" si="11"/>
        <v/>
      </c>
    </row>
    <row r="78" spans="1:16" x14ac:dyDescent="0.45">
      <c r="A78" s="17"/>
      <c r="B78" s="18"/>
      <c r="C78" s="18"/>
      <c r="D78" s="18"/>
      <c r="E78" s="32"/>
      <c r="F78" s="19"/>
      <c r="G78" s="19"/>
      <c r="H78" s="32"/>
      <c r="I78" s="18"/>
      <c r="J78" s="18"/>
      <c r="K78" s="21" t="str">
        <f t="shared" si="8"/>
        <v/>
      </c>
      <c r="L78" s="28" t="str">
        <f t="shared" si="9"/>
        <v/>
      </c>
      <c r="M78" s="33" t="str">
        <f t="shared" si="10"/>
        <v/>
      </c>
      <c r="N78" s="16" t="str">
        <f>IF($A78="","",IF(I78&lt;&gt;"Đủ","Thiếu ảnh",IF(M78="","Chưa có số GPS",IF(ABS(M78)&gt;'THAM SỐ'!$B$30,"LỆCH DẦU","Đạt"))))</f>
        <v/>
      </c>
      <c r="O78" s="21" t="str">
        <f>IF(OR($A78="",G78="",COUNTIFS(B$4:B77,B78)=0),"",G78-_xlfn.MAXIFS(G$4:G77,B$4:B77,B78))</f>
        <v/>
      </c>
      <c r="P78" s="28" t="str">
        <f t="shared" si="11"/>
        <v/>
      </c>
    </row>
    <row r="79" spans="1:16" x14ac:dyDescent="0.45">
      <c r="A79" s="17"/>
      <c r="B79" s="18"/>
      <c r="C79" s="18"/>
      <c r="D79" s="18"/>
      <c r="E79" s="32"/>
      <c r="F79" s="19"/>
      <c r="G79" s="19"/>
      <c r="H79" s="32"/>
      <c r="I79" s="18"/>
      <c r="J79" s="18"/>
      <c r="K79" s="21" t="str">
        <f t="shared" si="8"/>
        <v/>
      </c>
      <c r="L79" s="28" t="str">
        <f t="shared" si="9"/>
        <v/>
      </c>
      <c r="M79" s="33" t="str">
        <f t="shared" si="10"/>
        <v/>
      </c>
      <c r="N79" s="16" t="str">
        <f>IF($A79="","",IF(I79&lt;&gt;"Đủ","Thiếu ảnh",IF(M79="","Chưa có số GPS",IF(ABS(M79)&gt;'THAM SỐ'!$B$30,"LỆCH DẦU","Đạt"))))</f>
        <v/>
      </c>
      <c r="O79" s="21" t="str">
        <f>IF(OR($A79="",G79="",COUNTIFS(B$4:B78,B79)=0),"",G79-_xlfn.MAXIFS(G$4:G78,B$4:B78,B79))</f>
        <v/>
      </c>
      <c r="P79" s="28" t="str">
        <f t="shared" si="11"/>
        <v/>
      </c>
    </row>
    <row r="80" spans="1:16" x14ac:dyDescent="0.45">
      <c r="A80" s="17"/>
      <c r="B80" s="18"/>
      <c r="C80" s="18"/>
      <c r="D80" s="18"/>
      <c r="E80" s="32"/>
      <c r="F80" s="19"/>
      <c r="G80" s="19"/>
      <c r="H80" s="32"/>
      <c r="I80" s="18"/>
      <c r="J80" s="18"/>
      <c r="K80" s="21" t="str">
        <f t="shared" si="8"/>
        <v/>
      </c>
      <c r="L80" s="28" t="str">
        <f t="shared" si="9"/>
        <v/>
      </c>
      <c r="M80" s="33" t="str">
        <f t="shared" si="10"/>
        <v/>
      </c>
      <c r="N80" s="16" t="str">
        <f>IF($A80="","",IF(I80&lt;&gt;"Đủ","Thiếu ảnh",IF(M80="","Chưa có số GPS",IF(ABS(M80)&gt;'THAM SỐ'!$B$30,"LỆCH DẦU","Đạt"))))</f>
        <v/>
      </c>
      <c r="O80" s="21" t="str">
        <f>IF(OR($A80="",G80="",COUNTIFS(B$4:B79,B80)=0),"",G80-_xlfn.MAXIFS(G$4:G79,B$4:B79,B80))</f>
        <v/>
      </c>
      <c r="P80" s="28" t="str">
        <f t="shared" si="11"/>
        <v/>
      </c>
    </row>
    <row r="81" spans="1:16" x14ac:dyDescent="0.45">
      <c r="A81" s="17"/>
      <c r="B81" s="18"/>
      <c r="C81" s="18"/>
      <c r="D81" s="18"/>
      <c r="E81" s="32"/>
      <c r="F81" s="19"/>
      <c r="G81" s="19"/>
      <c r="H81" s="32"/>
      <c r="I81" s="18"/>
      <c r="J81" s="18"/>
      <c r="K81" s="21" t="str">
        <f t="shared" si="8"/>
        <v/>
      </c>
      <c r="L81" s="28" t="str">
        <f t="shared" si="9"/>
        <v/>
      </c>
      <c r="M81" s="33" t="str">
        <f t="shared" si="10"/>
        <v/>
      </c>
      <c r="N81" s="16" t="str">
        <f>IF($A81="","",IF(I81&lt;&gt;"Đủ","Thiếu ảnh",IF(M81="","Chưa có số GPS",IF(ABS(M81)&gt;'THAM SỐ'!$B$30,"LỆCH DẦU","Đạt"))))</f>
        <v/>
      </c>
      <c r="O81" s="21" t="str">
        <f>IF(OR($A81="",G81="",COUNTIFS(B$4:B80,B81)=0),"",G81-_xlfn.MAXIFS(G$4:G80,B$4:B80,B81))</f>
        <v/>
      </c>
      <c r="P81" s="28" t="str">
        <f t="shared" si="11"/>
        <v/>
      </c>
    </row>
    <row r="82" spans="1:16" x14ac:dyDescent="0.45">
      <c r="A82" s="17"/>
      <c r="B82" s="18"/>
      <c r="C82" s="18"/>
      <c r="D82" s="18"/>
      <c r="E82" s="32"/>
      <c r="F82" s="19"/>
      <c r="G82" s="19"/>
      <c r="H82" s="32"/>
      <c r="I82" s="18"/>
      <c r="J82" s="18"/>
      <c r="K82" s="21" t="str">
        <f t="shared" si="8"/>
        <v/>
      </c>
      <c r="L82" s="28" t="str">
        <f t="shared" si="9"/>
        <v/>
      </c>
      <c r="M82" s="33" t="str">
        <f t="shared" si="10"/>
        <v/>
      </c>
      <c r="N82" s="16" t="str">
        <f>IF($A82="","",IF(I82&lt;&gt;"Đủ","Thiếu ảnh",IF(M82="","Chưa có số GPS",IF(ABS(M82)&gt;'THAM SỐ'!$B$30,"LỆCH DẦU","Đạt"))))</f>
        <v/>
      </c>
      <c r="O82" s="21" t="str">
        <f>IF(OR($A82="",G82="",COUNTIFS(B$4:B81,B82)=0),"",G82-_xlfn.MAXIFS(G$4:G81,B$4:B81,B82))</f>
        <v/>
      </c>
      <c r="P82" s="28" t="str">
        <f t="shared" si="11"/>
        <v/>
      </c>
    </row>
    <row r="83" spans="1:16" x14ac:dyDescent="0.45">
      <c r="A83" s="17"/>
      <c r="B83" s="18"/>
      <c r="C83" s="18"/>
      <c r="D83" s="18"/>
      <c r="E83" s="32"/>
      <c r="F83" s="19"/>
      <c r="G83" s="19"/>
      <c r="H83" s="32"/>
      <c r="I83" s="18"/>
      <c r="J83" s="18"/>
      <c r="K83" s="21" t="str">
        <f t="shared" si="8"/>
        <v/>
      </c>
      <c r="L83" s="28" t="str">
        <f t="shared" si="9"/>
        <v/>
      </c>
      <c r="M83" s="33" t="str">
        <f t="shared" si="10"/>
        <v/>
      </c>
      <c r="N83" s="16" t="str">
        <f>IF($A83="","",IF(I83&lt;&gt;"Đủ","Thiếu ảnh",IF(M83="","Chưa có số GPS",IF(ABS(M83)&gt;'THAM SỐ'!$B$30,"LỆCH DẦU","Đạt"))))</f>
        <v/>
      </c>
      <c r="O83" s="21" t="str">
        <f>IF(OR($A83="",G83="",COUNTIFS(B$4:B82,B83)=0),"",G83-_xlfn.MAXIFS(G$4:G82,B$4:B82,B83))</f>
        <v/>
      </c>
      <c r="P83" s="28" t="str">
        <f t="shared" si="11"/>
        <v/>
      </c>
    </row>
    <row r="84" spans="1:16" x14ac:dyDescent="0.45">
      <c r="A84" s="17"/>
      <c r="B84" s="18"/>
      <c r="C84" s="18"/>
      <c r="D84" s="18"/>
      <c r="E84" s="32"/>
      <c r="F84" s="19"/>
      <c r="G84" s="19"/>
      <c r="H84" s="32"/>
      <c r="I84" s="18"/>
      <c r="J84" s="18"/>
      <c r="K84" s="21" t="str">
        <f t="shared" si="8"/>
        <v/>
      </c>
      <c r="L84" s="28" t="str">
        <f t="shared" si="9"/>
        <v/>
      </c>
      <c r="M84" s="33" t="str">
        <f t="shared" si="10"/>
        <v/>
      </c>
      <c r="N84" s="16" t="str">
        <f>IF($A84="","",IF(I84&lt;&gt;"Đủ","Thiếu ảnh",IF(M84="","Chưa có số GPS",IF(ABS(M84)&gt;'THAM SỐ'!$B$30,"LỆCH DẦU","Đạt"))))</f>
        <v/>
      </c>
      <c r="O84" s="21" t="str">
        <f>IF(OR($A84="",G84="",COUNTIFS(B$4:B83,B84)=0),"",G84-_xlfn.MAXIFS(G$4:G83,B$4:B83,B84))</f>
        <v/>
      </c>
      <c r="P84" s="28" t="str">
        <f t="shared" si="11"/>
        <v/>
      </c>
    </row>
    <row r="85" spans="1:16" x14ac:dyDescent="0.45">
      <c r="A85" s="17"/>
      <c r="B85" s="18"/>
      <c r="C85" s="18"/>
      <c r="D85" s="18"/>
      <c r="E85" s="32"/>
      <c r="F85" s="19"/>
      <c r="G85" s="19"/>
      <c r="H85" s="32"/>
      <c r="I85" s="18"/>
      <c r="J85" s="18"/>
      <c r="K85" s="21" t="str">
        <f t="shared" si="8"/>
        <v/>
      </c>
      <c r="L85" s="28" t="str">
        <f t="shared" si="9"/>
        <v/>
      </c>
      <c r="M85" s="33" t="str">
        <f t="shared" si="10"/>
        <v/>
      </c>
      <c r="N85" s="16" t="str">
        <f>IF($A85="","",IF(I85&lt;&gt;"Đủ","Thiếu ảnh",IF(M85="","Chưa có số GPS",IF(ABS(M85)&gt;'THAM SỐ'!$B$30,"LỆCH DẦU","Đạt"))))</f>
        <v/>
      </c>
      <c r="O85" s="21" t="str">
        <f>IF(OR($A85="",G85="",COUNTIFS(B$4:B84,B85)=0),"",G85-_xlfn.MAXIFS(G$4:G84,B$4:B84,B85))</f>
        <v/>
      </c>
      <c r="P85" s="28" t="str">
        <f t="shared" si="11"/>
        <v/>
      </c>
    </row>
    <row r="86" spans="1:16" x14ac:dyDescent="0.45">
      <c r="A86" s="17"/>
      <c r="B86" s="18"/>
      <c r="C86" s="18"/>
      <c r="D86" s="18"/>
      <c r="E86" s="32"/>
      <c r="F86" s="19"/>
      <c r="G86" s="19"/>
      <c r="H86" s="32"/>
      <c r="I86" s="18"/>
      <c r="J86" s="18"/>
      <c r="K86" s="21" t="str">
        <f t="shared" si="8"/>
        <v/>
      </c>
      <c r="L86" s="28" t="str">
        <f t="shared" si="9"/>
        <v/>
      </c>
      <c r="M86" s="33" t="str">
        <f t="shared" si="10"/>
        <v/>
      </c>
      <c r="N86" s="16" t="str">
        <f>IF($A86="","",IF(I86&lt;&gt;"Đủ","Thiếu ảnh",IF(M86="","Chưa có số GPS",IF(ABS(M86)&gt;'THAM SỐ'!$B$30,"LỆCH DẦU","Đạt"))))</f>
        <v/>
      </c>
      <c r="O86" s="21" t="str">
        <f>IF(OR($A86="",G86="",COUNTIFS(B$4:B85,B86)=0),"",G86-_xlfn.MAXIFS(G$4:G85,B$4:B85,B86))</f>
        <v/>
      </c>
      <c r="P86" s="28" t="str">
        <f t="shared" si="11"/>
        <v/>
      </c>
    </row>
    <row r="87" spans="1:16" x14ac:dyDescent="0.45">
      <c r="A87" s="17"/>
      <c r="B87" s="18"/>
      <c r="C87" s="18"/>
      <c r="D87" s="18"/>
      <c r="E87" s="32"/>
      <c r="F87" s="19"/>
      <c r="G87" s="19"/>
      <c r="H87" s="32"/>
      <c r="I87" s="18"/>
      <c r="J87" s="18"/>
      <c r="K87" s="21" t="str">
        <f t="shared" si="8"/>
        <v/>
      </c>
      <c r="L87" s="28" t="str">
        <f t="shared" si="9"/>
        <v/>
      </c>
      <c r="M87" s="33" t="str">
        <f t="shared" si="10"/>
        <v/>
      </c>
      <c r="N87" s="16" t="str">
        <f>IF($A87="","",IF(I87&lt;&gt;"Đủ","Thiếu ảnh",IF(M87="","Chưa có số GPS",IF(ABS(M87)&gt;'THAM SỐ'!$B$30,"LỆCH DẦU","Đạt"))))</f>
        <v/>
      </c>
      <c r="O87" s="21" t="str">
        <f>IF(OR($A87="",G87="",COUNTIFS(B$4:B86,B87)=0),"",G87-_xlfn.MAXIFS(G$4:G86,B$4:B86,B87))</f>
        <v/>
      </c>
      <c r="P87" s="28" t="str">
        <f t="shared" si="11"/>
        <v/>
      </c>
    </row>
    <row r="88" spans="1:16" x14ac:dyDescent="0.45">
      <c r="A88" s="17"/>
      <c r="B88" s="18"/>
      <c r="C88" s="18"/>
      <c r="D88" s="18"/>
      <c r="E88" s="32"/>
      <c r="F88" s="19"/>
      <c r="G88" s="19"/>
      <c r="H88" s="32"/>
      <c r="I88" s="18"/>
      <c r="J88" s="18"/>
      <c r="K88" s="21" t="str">
        <f t="shared" si="8"/>
        <v/>
      </c>
      <c r="L88" s="28" t="str">
        <f t="shared" si="9"/>
        <v/>
      </c>
      <c r="M88" s="33" t="str">
        <f t="shared" si="10"/>
        <v/>
      </c>
      <c r="N88" s="16" t="str">
        <f>IF($A88="","",IF(I88&lt;&gt;"Đủ","Thiếu ảnh",IF(M88="","Chưa có số GPS",IF(ABS(M88)&gt;'THAM SỐ'!$B$30,"LỆCH DẦU","Đạt"))))</f>
        <v/>
      </c>
      <c r="O88" s="21" t="str">
        <f>IF(OR($A88="",G88="",COUNTIFS(B$4:B87,B88)=0),"",G88-_xlfn.MAXIFS(G$4:G87,B$4:B87,B88))</f>
        <v/>
      </c>
      <c r="P88" s="28" t="str">
        <f t="shared" si="11"/>
        <v/>
      </c>
    </row>
    <row r="89" spans="1:16" x14ac:dyDescent="0.45">
      <c r="A89" s="17"/>
      <c r="B89" s="18"/>
      <c r="C89" s="18"/>
      <c r="D89" s="18"/>
      <c r="E89" s="32"/>
      <c r="F89" s="19"/>
      <c r="G89" s="19"/>
      <c r="H89" s="32"/>
      <c r="I89" s="18"/>
      <c r="J89" s="18"/>
      <c r="K89" s="21" t="str">
        <f t="shared" si="8"/>
        <v/>
      </c>
      <c r="L89" s="28" t="str">
        <f t="shared" si="9"/>
        <v/>
      </c>
      <c r="M89" s="33" t="str">
        <f t="shared" si="10"/>
        <v/>
      </c>
      <c r="N89" s="16" t="str">
        <f>IF($A89="","",IF(I89&lt;&gt;"Đủ","Thiếu ảnh",IF(M89="","Chưa có số GPS",IF(ABS(M89)&gt;'THAM SỐ'!$B$30,"LỆCH DẦU","Đạt"))))</f>
        <v/>
      </c>
      <c r="O89" s="21" t="str">
        <f>IF(OR($A89="",G89="",COUNTIFS(B$4:B88,B89)=0),"",G89-_xlfn.MAXIFS(G$4:G88,B$4:B88,B89))</f>
        <v/>
      </c>
      <c r="P89" s="28" t="str">
        <f t="shared" si="11"/>
        <v/>
      </c>
    </row>
    <row r="90" spans="1:16" x14ac:dyDescent="0.45">
      <c r="A90" s="17"/>
      <c r="B90" s="18"/>
      <c r="C90" s="18"/>
      <c r="D90" s="18"/>
      <c r="E90" s="32"/>
      <c r="F90" s="19"/>
      <c r="G90" s="19"/>
      <c r="H90" s="32"/>
      <c r="I90" s="18"/>
      <c r="J90" s="18"/>
      <c r="K90" s="21" t="str">
        <f t="shared" si="8"/>
        <v/>
      </c>
      <c r="L90" s="28" t="str">
        <f t="shared" si="9"/>
        <v/>
      </c>
      <c r="M90" s="33" t="str">
        <f t="shared" si="10"/>
        <v/>
      </c>
      <c r="N90" s="16" t="str">
        <f>IF($A90="","",IF(I90&lt;&gt;"Đủ","Thiếu ảnh",IF(M90="","Chưa có số GPS",IF(ABS(M90)&gt;'THAM SỐ'!$B$30,"LỆCH DẦU","Đạt"))))</f>
        <v/>
      </c>
      <c r="O90" s="21" t="str">
        <f>IF(OR($A90="",G90="",COUNTIFS(B$4:B89,B90)=0),"",G90-_xlfn.MAXIFS(G$4:G89,B$4:B89,B90))</f>
        <v/>
      </c>
      <c r="P90" s="28" t="str">
        <f t="shared" si="11"/>
        <v/>
      </c>
    </row>
    <row r="91" spans="1:16" x14ac:dyDescent="0.45">
      <c r="A91" s="17"/>
      <c r="B91" s="18"/>
      <c r="C91" s="18"/>
      <c r="D91" s="18"/>
      <c r="E91" s="32"/>
      <c r="F91" s="19"/>
      <c r="G91" s="19"/>
      <c r="H91" s="32"/>
      <c r="I91" s="18"/>
      <c r="J91" s="18"/>
      <c r="K91" s="21" t="str">
        <f t="shared" si="8"/>
        <v/>
      </c>
      <c r="L91" s="28" t="str">
        <f t="shared" si="9"/>
        <v/>
      </c>
      <c r="M91" s="33" t="str">
        <f t="shared" si="10"/>
        <v/>
      </c>
      <c r="N91" s="16" t="str">
        <f>IF($A91="","",IF(I91&lt;&gt;"Đủ","Thiếu ảnh",IF(M91="","Chưa có số GPS",IF(ABS(M91)&gt;'THAM SỐ'!$B$30,"LỆCH DẦU","Đạt"))))</f>
        <v/>
      </c>
      <c r="O91" s="21" t="str">
        <f>IF(OR($A91="",G91="",COUNTIFS(B$4:B90,B91)=0),"",G91-_xlfn.MAXIFS(G$4:G90,B$4:B90,B91))</f>
        <v/>
      </c>
      <c r="P91" s="28" t="str">
        <f t="shared" si="11"/>
        <v/>
      </c>
    </row>
    <row r="92" spans="1:16" x14ac:dyDescent="0.45">
      <c r="A92" s="17"/>
      <c r="B92" s="18"/>
      <c r="C92" s="18"/>
      <c r="D92" s="18"/>
      <c r="E92" s="32"/>
      <c r="F92" s="19"/>
      <c r="G92" s="19"/>
      <c r="H92" s="32"/>
      <c r="I92" s="18"/>
      <c r="J92" s="18"/>
      <c r="K92" s="21" t="str">
        <f t="shared" si="8"/>
        <v/>
      </c>
      <c r="L92" s="28" t="str">
        <f t="shared" si="9"/>
        <v/>
      </c>
      <c r="M92" s="33" t="str">
        <f t="shared" si="10"/>
        <v/>
      </c>
      <c r="N92" s="16" t="str">
        <f>IF($A92="","",IF(I92&lt;&gt;"Đủ","Thiếu ảnh",IF(M92="","Chưa có số GPS",IF(ABS(M92)&gt;'THAM SỐ'!$B$30,"LỆCH DẦU","Đạt"))))</f>
        <v/>
      </c>
      <c r="O92" s="21" t="str">
        <f>IF(OR($A92="",G92="",COUNTIFS(B$4:B91,B92)=0),"",G92-_xlfn.MAXIFS(G$4:G91,B$4:B91,B92))</f>
        <v/>
      </c>
      <c r="P92" s="28" t="str">
        <f t="shared" si="11"/>
        <v/>
      </c>
    </row>
    <row r="93" spans="1:16" x14ac:dyDescent="0.45">
      <c r="A93" s="17"/>
      <c r="B93" s="18"/>
      <c r="C93" s="18"/>
      <c r="D93" s="18"/>
      <c r="E93" s="32"/>
      <c r="F93" s="19"/>
      <c r="G93" s="19"/>
      <c r="H93" s="32"/>
      <c r="I93" s="18"/>
      <c r="J93" s="18"/>
      <c r="K93" s="21" t="str">
        <f t="shared" si="8"/>
        <v/>
      </c>
      <c r="L93" s="28" t="str">
        <f t="shared" si="9"/>
        <v/>
      </c>
      <c r="M93" s="33" t="str">
        <f t="shared" si="10"/>
        <v/>
      </c>
      <c r="N93" s="16" t="str">
        <f>IF($A93="","",IF(I93&lt;&gt;"Đủ","Thiếu ảnh",IF(M93="","Chưa có số GPS",IF(ABS(M93)&gt;'THAM SỐ'!$B$30,"LỆCH DẦU","Đạt"))))</f>
        <v/>
      </c>
      <c r="O93" s="21" t="str">
        <f>IF(OR($A93="",G93="",COUNTIFS(B$4:B92,B93)=0),"",G93-_xlfn.MAXIFS(G$4:G92,B$4:B92,B93))</f>
        <v/>
      </c>
      <c r="P93" s="28" t="str">
        <f t="shared" si="11"/>
        <v/>
      </c>
    </row>
    <row r="94" spans="1:16" x14ac:dyDescent="0.45">
      <c r="A94" s="17"/>
      <c r="B94" s="18"/>
      <c r="C94" s="18"/>
      <c r="D94" s="18"/>
      <c r="E94" s="32"/>
      <c r="F94" s="19"/>
      <c r="G94" s="19"/>
      <c r="H94" s="32"/>
      <c r="I94" s="18"/>
      <c r="J94" s="18"/>
      <c r="K94" s="21" t="str">
        <f t="shared" si="8"/>
        <v/>
      </c>
      <c r="L94" s="28" t="str">
        <f t="shared" si="9"/>
        <v/>
      </c>
      <c r="M94" s="33" t="str">
        <f t="shared" si="10"/>
        <v/>
      </c>
      <c r="N94" s="16" t="str">
        <f>IF($A94="","",IF(I94&lt;&gt;"Đủ","Thiếu ảnh",IF(M94="","Chưa có số GPS",IF(ABS(M94)&gt;'THAM SỐ'!$B$30,"LỆCH DẦU","Đạt"))))</f>
        <v/>
      </c>
      <c r="O94" s="21" t="str">
        <f>IF(OR($A94="",G94="",COUNTIFS(B$4:B93,B94)=0),"",G94-_xlfn.MAXIFS(G$4:G93,B$4:B93,B94))</f>
        <v/>
      </c>
      <c r="P94" s="28" t="str">
        <f t="shared" si="11"/>
        <v/>
      </c>
    </row>
    <row r="95" spans="1:16" x14ac:dyDescent="0.45">
      <c r="A95" s="17"/>
      <c r="B95" s="18"/>
      <c r="C95" s="18"/>
      <c r="D95" s="18"/>
      <c r="E95" s="32"/>
      <c r="F95" s="19"/>
      <c r="G95" s="19"/>
      <c r="H95" s="32"/>
      <c r="I95" s="18"/>
      <c r="J95" s="18"/>
      <c r="K95" s="21" t="str">
        <f t="shared" si="8"/>
        <v/>
      </c>
      <c r="L95" s="28" t="str">
        <f t="shared" si="9"/>
        <v/>
      </c>
      <c r="M95" s="33" t="str">
        <f t="shared" si="10"/>
        <v/>
      </c>
      <c r="N95" s="16" t="str">
        <f>IF($A95="","",IF(I95&lt;&gt;"Đủ","Thiếu ảnh",IF(M95="","Chưa có số GPS",IF(ABS(M95)&gt;'THAM SỐ'!$B$30,"LỆCH DẦU","Đạt"))))</f>
        <v/>
      </c>
      <c r="O95" s="21" t="str">
        <f>IF(OR($A95="",G95="",COUNTIFS(B$4:B94,B95)=0),"",G95-_xlfn.MAXIFS(G$4:G94,B$4:B94,B95))</f>
        <v/>
      </c>
      <c r="P95" s="28" t="str">
        <f t="shared" si="11"/>
        <v/>
      </c>
    </row>
    <row r="96" spans="1:16" x14ac:dyDescent="0.45">
      <c r="A96" s="17"/>
      <c r="B96" s="18"/>
      <c r="C96" s="18"/>
      <c r="D96" s="18"/>
      <c r="E96" s="32"/>
      <c r="F96" s="19"/>
      <c r="G96" s="19"/>
      <c r="H96" s="32"/>
      <c r="I96" s="18"/>
      <c r="J96" s="18"/>
      <c r="K96" s="21" t="str">
        <f t="shared" si="8"/>
        <v/>
      </c>
      <c r="L96" s="28" t="str">
        <f t="shared" si="9"/>
        <v/>
      </c>
      <c r="M96" s="33" t="str">
        <f t="shared" si="10"/>
        <v/>
      </c>
      <c r="N96" s="16" t="str">
        <f>IF($A96="","",IF(I96&lt;&gt;"Đủ","Thiếu ảnh",IF(M96="","Chưa có số GPS",IF(ABS(M96)&gt;'THAM SỐ'!$B$30,"LỆCH DẦU","Đạt"))))</f>
        <v/>
      </c>
      <c r="O96" s="21" t="str">
        <f>IF(OR($A96="",G96="",COUNTIFS(B$4:B95,B96)=0),"",G96-_xlfn.MAXIFS(G$4:G95,B$4:B95,B96))</f>
        <v/>
      </c>
      <c r="P96" s="28" t="str">
        <f t="shared" si="11"/>
        <v/>
      </c>
    </row>
    <row r="97" spans="1:16" x14ac:dyDescent="0.45">
      <c r="A97" s="17"/>
      <c r="B97" s="18"/>
      <c r="C97" s="18"/>
      <c r="D97" s="18"/>
      <c r="E97" s="32"/>
      <c r="F97" s="19"/>
      <c r="G97" s="19"/>
      <c r="H97" s="32"/>
      <c r="I97" s="18"/>
      <c r="J97" s="18"/>
      <c r="K97" s="21" t="str">
        <f t="shared" si="8"/>
        <v/>
      </c>
      <c r="L97" s="28" t="str">
        <f t="shared" si="9"/>
        <v/>
      </c>
      <c r="M97" s="33" t="str">
        <f t="shared" si="10"/>
        <v/>
      </c>
      <c r="N97" s="16" t="str">
        <f>IF($A97="","",IF(I97&lt;&gt;"Đủ","Thiếu ảnh",IF(M97="","Chưa có số GPS",IF(ABS(M97)&gt;'THAM SỐ'!$B$30,"LỆCH DẦU","Đạt"))))</f>
        <v/>
      </c>
      <c r="O97" s="21" t="str">
        <f>IF(OR($A97="",G97="",COUNTIFS(B$4:B96,B97)=0),"",G97-_xlfn.MAXIFS(G$4:G96,B$4:B96,B97))</f>
        <v/>
      </c>
      <c r="P97" s="28" t="str">
        <f t="shared" si="11"/>
        <v/>
      </c>
    </row>
    <row r="98" spans="1:16" x14ac:dyDescent="0.45">
      <c r="A98" s="17"/>
      <c r="B98" s="18"/>
      <c r="C98" s="18"/>
      <c r="D98" s="18"/>
      <c r="E98" s="32"/>
      <c r="F98" s="19"/>
      <c r="G98" s="19"/>
      <c r="H98" s="32"/>
      <c r="I98" s="18"/>
      <c r="J98" s="18"/>
      <c r="K98" s="21" t="str">
        <f t="shared" si="8"/>
        <v/>
      </c>
      <c r="L98" s="28" t="str">
        <f t="shared" si="9"/>
        <v/>
      </c>
      <c r="M98" s="33" t="str">
        <f t="shared" si="10"/>
        <v/>
      </c>
      <c r="N98" s="16" t="str">
        <f>IF($A98="","",IF(I98&lt;&gt;"Đủ","Thiếu ảnh",IF(M98="","Chưa có số GPS",IF(ABS(M98)&gt;'THAM SỐ'!$B$30,"LỆCH DẦU","Đạt"))))</f>
        <v/>
      </c>
      <c r="O98" s="21" t="str">
        <f>IF(OR($A98="",G98="",COUNTIFS(B$4:B97,B98)=0),"",G98-_xlfn.MAXIFS(G$4:G97,B$4:B97,B98))</f>
        <v/>
      </c>
      <c r="P98" s="28" t="str">
        <f t="shared" si="11"/>
        <v/>
      </c>
    </row>
    <row r="99" spans="1:16" x14ac:dyDescent="0.45">
      <c r="A99" s="17"/>
      <c r="B99" s="18"/>
      <c r="C99" s="18"/>
      <c r="D99" s="18"/>
      <c r="E99" s="32"/>
      <c r="F99" s="19"/>
      <c r="G99" s="19"/>
      <c r="H99" s="32"/>
      <c r="I99" s="18"/>
      <c r="J99" s="18"/>
      <c r="K99" s="21" t="str">
        <f t="shared" si="8"/>
        <v/>
      </c>
      <c r="L99" s="28" t="str">
        <f t="shared" si="9"/>
        <v/>
      </c>
      <c r="M99" s="33" t="str">
        <f t="shared" si="10"/>
        <v/>
      </c>
      <c r="N99" s="16" t="str">
        <f>IF($A99="","",IF(I99&lt;&gt;"Đủ","Thiếu ảnh",IF(M99="","Chưa có số GPS",IF(ABS(M99)&gt;'THAM SỐ'!$B$30,"LỆCH DẦU","Đạt"))))</f>
        <v/>
      </c>
      <c r="O99" s="21" t="str">
        <f>IF(OR($A99="",G99="",COUNTIFS(B$4:B98,B99)=0),"",G99-_xlfn.MAXIFS(G$4:G98,B$4:B98,B99))</f>
        <v/>
      </c>
      <c r="P99" s="28" t="str">
        <f t="shared" si="11"/>
        <v/>
      </c>
    </row>
    <row r="100" spans="1:16" x14ac:dyDescent="0.45">
      <c r="A100" s="17"/>
      <c r="B100" s="18"/>
      <c r="C100" s="18"/>
      <c r="D100" s="18"/>
      <c r="E100" s="32"/>
      <c r="F100" s="19"/>
      <c r="G100" s="19"/>
      <c r="H100" s="32"/>
      <c r="I100" s="18"/>
      <c r="J100" s="18"/>
      <c r="K100" s="21" t="str">
        <f t="shared" si="8"/>
        <v/>
      </c>
      <c r="L100" s="28" t="str">
        <f t="shared" si="9"/>
        <v/>
      </c>
      <c r="M100" s="33" t="str">
        <f t="shared" si="10"/>
        <v/>
      </c>
      <c r="N100" s="16" t="str">
        <f>IF($A100="","",IF(I100&lt;&gt;"Đủ","Thiếu ảnh",IF(M100="","Chưa có số GPS",IF(ABS(M100)&gt;'THAM SỐ'!$B$30,"LỆCH DẦU","Đạt"))))</f>
        <v/>
      </c>
      <c r="O100" s="21" t="str">
        <f>IF(OR($A100="",G100="",COUNTIFS(B$4:B99,B100)=0),"",G100-_xlfn.MAXIFS(G$4:G99,B$4:B99,B100))</f>
        <v/>
      </c>
      <c r="P100" s="28" t="str">
        <f t="shared" si="11"/>
        <v/>
      </c>
    </row>
    <row r="101" spans="1:16" x14ac:dyDescent="0.45">
      <c r="A101" s="17"/>
      <c r="B101" s="18"/>
      <c r="C101" s="18"/>
      <c r="D101" s="18"/>
      <c r="E101" s="32"/>
      <c r="F101" s="19"/>
      <c r="G101" s="19"/>
      <c r="H101" s="32"/>
      <c r="I101" s="18"/>
      <c r="J101" s="18"/>
      <c r="K101" s="21" t="str">
        <f t="shared" ref="K101:K132" si="12">IF(OR($A101="",E101="",F101=""),"",E101*F101)</f>
        <v/>
      </c>
      <c r="L101" s="28" t="str">
        <f t="shared" ref="L101:L132" si="13">IF(OR($A101="",E101="",H101=""),"",E101-H101)</f>
        <v/>
      </c>
      <c r="M101" s="33" t="str">
        <f t="shared" ref="M101:M132" si="14">IF(OR(L101="",N(E101)=0),"",L101/E101)</f>
        <v/>
      </c>
      <c r="N101" s="16" t="str">
        <f>IF($A101="","",IF(I101&lt;&gt;"Đủ","Thiếu ảnh",IF(M101="","Chưa có số GPS",IF(ABS(M101)&gt;'THAM SỐ'!$B$30,"LỆCH DẦU","Đạt"))))</f>
        <v/>
      </c>
      <c r="O101" s="21" t="str">
        <f>IF(OR($A101="",G101="",COUNTIFS(B$4:B100,B101)=0),"",G101-_xlfn.MAXIFS(G$4:G100,B$4:B100,B101))</f>
        <v/>
      </c>
      <c r="P101" s="28" t="str">
        <f t="shared" ref="P101:P132" si="15">IF(OR(O101="",N(O101)&lt;=0,E101=""),"",E101/O101*100)</f>
        <v/>
      </c>
    </row>
    <row r="102" spans="1:16" x14ac:dyDescent="0.45">
      <c r="A102" s="17"/>
      <c r="B102" s="18"/>
      <c r="C102" s="18"/>
      <c r="D102" s="18"/>
      <c r="E102" s="32"/>
      <c r="F102" s="19"/>
      <c r="G102" s="19"/>
      <c r="H102" s="32"/>
      <c r="I102" s="18"/>
      <c r="J102" s="18"/>
      <c r="K102" s="21" t="str">
        <f t="shared" si="12"/>
        <v/>
      </c>
      <c r="L102" s="28" t="str">
        <f t="shared" si="13"/>
        <v/>
      </c>
      <c r="M102" s="33" t="str">
        <f t="shared" si="14"/>
        <v/>
      </c>
      <c r="N102" s="16" t="str">
        <f>IF($A102="","",IF(I102&lt;&gt;"Đủ","Thiếu ảnh",IF(M102="","Chưa có số GPS",IF(ABS(M102)&gt;'THAM SỐ'!$B$30,"LỆCH DẦU","Đạt"))))</f>
        <v/>
      </c>
      <c r="O102" s="21" t="str">
        <f>IF(OR($A102="",G102="",COUNTIFS(B$4:B101,B102)=0),"",G102-_xlfn.MAXIFS(G$4:G101,B$4:B101,B102))</f>
        <v/>
      </c>
      <c r="P102" s="28" t="str">
        <f t="shared" si="15"/>
        <v/>
      </c>
    </row>
    <row r="103" spans="1:16" x14ac:dyDescent="0.45">
      <c r="A103" s="17"/>
      <c r="B103" s="18"/>
      <c r="C103" s="18"/>
      <c r="D103" s="18"/>
      <c r="E103" s="32"/>
      <c r="F103" s="19"/>
      <c r="G103" s="19"/>
      <c r="H103" s="32"/>
      <c r="I103" s="18"/>
      <c r="J103" s="18"/>
      <c r="K103" s="21" t="str">
        <f t="shared" si="12"/>
        <v/>
      </c>
      <c r="L103" s="28" t="str">
        <f t="shared" si="13"/>
        <v/>
      </c>
      <c r="M103" s="33" t="str">
        <f t="shared" si="14"/>
        <v/>
      </c>
      <c r="N103" s="16" t="str">
        <f>IF($A103="","",IF(I103&lt;&gt;"Đủ","Thiếu ảnh",IF(M103="","Chưa có số GPS",IF(ABS(M103)&gt;'THAM SỐ'!$B$30,"LỆCH DẦU","Đạt"))))</f>
        <v/>
      </c>
      <c r="O103" s="21" t="str">
        <f>IF(OR($A103="",G103="",COUNTIFS(B$4:B102,B103)=0),"",G103-_xlfn.MAXIFS(G$4:G102,B$4:B102,B103))</f>
        <v/>
      </c>
      <c r="P103" s="28" t="str">
        <f t="shared" si="15"/>
        <v/>
      </c>
    </row>
    <row r="104" spans="1:16" x14ac:dyDescent="0.45">
      <c r="A104" s="17"/>
      <c r="B104" s="18"/>
      <c r="C104" s="18"/>
      <c r="D104" s="18"/>
      <c r="E104" s="32"/>
      <c r="F104" s="19"/>
      <c r="G104" s="19"/>
      <c r="H104" s="32"/>
      <c r="I104" s="18"/>
      <c r="J104" s="18"/>
      <c r="K104" s="21" t="str">
        <f t="shared" si="12"/>
        <v/>
      </c>
      <c r="L104" s="28" t="str">
        <f t="shared" si="13"/>
        <v/>
      </c>
      <c r="M104" s="33" t="str">
        <f t="shared" si="14"/>
        <v/>
      </c>
      <c r="N104" s="16" t="str">
        <f>IF($A104="","",IF(I104&lt;&gt;"Đủ","Thiếu ảnh",IF(M104="","Chưa có số GPS",IF(ABS(M104)&gt;'THAM SỐ'!$B$30,"LỆCH DẦU","Đạt"))))</f>
        <v/>
      </c>
      <c r="O104" s="21" t="str">
        <f>IF(OR($A104="",G104="",COUNTIFS(B$4:B103,B104)=0),"",G104-_xlfn.MAXIFS(G$4:G103,B$4:B103,B104))</f>
        <v/>
      </c>
      <c r="P104" s="28" t="str">
        <f t="shared" si="15"/>
        <v/>
      </c>
    </row>
    <row r="105" spans="1:16" x14ac:dyDescent="0.45">
      <c r="A105" s="17"/>
      <c r="B105" s="18"/>
      <c r="C105" s="18"/>
      <c r="D105" s="18"/>
      <c r="E105" s="32"/>
      <c r="F105" s="19"/>
      <c r="G105" s="19"/>
      <c r="H105" s="32"/>
      <c r="I105" s="18"/>
      <c r="J105" s="18"/>
      <c r="K105" s="21" t="str">
        <f t="shared" si="12"/>
        <v/>
      </c>
      <c r="L105" s="28" t="str">
        <f t="shared" si="13"/>
        <v/>
      </c>
      <c r="M105" s="33" t="str">
        <f t="shared" si="14"/>
        <v/>
      </c>
      <c r="N105" s="16" t="str">
        <f>IF($A105="","",IF(I105&lt;&gt;"Đủ","Thiếu ảnh",IF(M105="","Chưa có số GPS",IF(ABS(M105)&gt;'THAM SỐ'!$B$30,"LỆCH DẦU","Đạt"))))</f>
        <v/>
      </c>
      <c r="O105" s="21" t="str">
        <f>IF(OR($A105="",G105="",COUNTIFS(B$4:B104,B105)=0),"",G105-_xlfn.MAXIFS(G$4:G104,B$4:B104,B105))</f>
        <v/>
      </c>
      <c r="P105" s="28" t="str">
        <f t="shared" si="15"/>
        <v/>
      </c>
    </row>
    <row r="106" spans="1:16" x14ac:dyDescent="0.45">
      <c r="A106" s="17"/>
      <c r="B106" s="18"/>
      <c r="C106" s="18"/>
      <c r="D106" s="18"/>
      <c r="E106" s="32"/>
      <c r="F106" s="19"/>
      <c r="G106" s="19"/>
      <c r="H106" s="32"/>
      <c r="I106" s="18"/>
      <c r="J106" s="18"/>
      <c r="K106" s="21" t="str">
        <f t="shared" si="12"/>
        <v/>
      </c>
      <c r="L106" s="28" t="str">
        <f t="shared" si="13"/>
        <v/>
      </c>
      <c r="M106" s="33" t="str">
        <f t="shared" si="14"/>
        <v/>
      </c>
      <c r="N106" s="16" t="str">
        <f>IF($A106="","",IF(I106&lt;&gt;"Đủ","Thiếu ảnh",IF(M106="","Chưa có số GPS",IF(ABS(M106)&gt;'THAM SỐ'!$B$30,"LỆCH DẦU","Đạt"))))</f>
        <v/>
      </c>
      <c r="O106" s="21" t="str">
        <f>IF(OR($A106="",G106="",COUNTIFS(B$4:B105,B106)=0),"",G106-_xlfn.MAXIFS(G$4:G105,B$4:B105,B106))</f>
        <v/>
      </c>
      <c r="P106" s="28" t="str">
        <f t="shared" si="15"/>
        <v/>
      </c>
    </row>
    <row r="107" spans="1:16" x14ac:dyDescent="0.45">
      <c r="A107" s="17"/>
      <c r="B107" s="18"/>
      <c r="C107" s="18"/>
      <c r="D107" s="18"/>
      <c r="E107" s="32"/>
      <c r="F107" s="19"/>
      <c r="G107" s="19"/>
      <c r="H107" s="32"/>
      <c r="I107" s="18"/>
      <c r="J107" s="18"/>
      <c r="K107" s="21" t="str">
        <f t="shared" si="12"/>
        <v/>
      </c>
      <c r="L107" s="28" t="str">
        <f t="shared" si="13"/>
        <v/>
      </c>
      <c r="M107" s="33" t="str">
        <f t="shared" si="14"/>
        <v/>
      </c>
      <c r="N107" s="16" t="str">
        <f>IF($A107="","",IF(I107&lt;&gt;"Đủ","Thiếu ảnh",IF(M107="","Chưa có số GPS",IF(ABS(M107)&gt;'THAM SỐ'!$B$30,"LỆCH DẦU","Đạt"))))</f>
        <v/>
      </c>
      <c r="O107" s="21" t="str">
        <f>IF(OR($A107="",G107="",COUNTIFS(B$4:B106,B107)=0),"",G107-_xlfn.MAXIFS(G$4:G106,B$4:B106,B107))</f>
        <v/>
      </c>
      <c r="P107" s="28" t="str">
        <f t="shared" si="15"/>
        <v/>
      </c>
    </row>
    <row r="108" spans="1:16" x14ac:dyDescent="0.45">
      <c r="A108" s="17"/>
      <c r="B108" s="18"/>
      <c r="C108" s="18"/>
      <c r="D108" s="18"/>
      <c r="E108" s="32"/>
      <c r="F108" s="19"/>
      <c r="G108" s="19"/>
      <c r="H108" s="32"/>
      <c r="I108" s="18"/>
      <c r="J108" s="18"/>
      <c r="K108" s="21" t="str">
        <f t="shared" si="12"/>
        <v/>
      </c>
      <c r="L108" s="28" t="str">
        <f t="shared" si="13"/>
        <v/>
      </c>
      <c r="M108" s="33" t="str">
        <f t="shared" si="14"/>
        <v/>
      </c>
      <c r="N108" s="16" t="str">
        <f>IF($A108="","",IF(I108&lt;&gt;"Đủ","Thiếu ảnh",IF(M108="","Chưa có số GPS",IF(ABS(M108)&gt;'THAM SỐ'!$B$30,"LỆCH DẦU","Đạt"))))</f>
        <v/>
      </c>
      <c r="O108" s="21" t="str">
        <f>IF(OR($A108="",G108="",COUNTIFS(B$4:B107,B108)=0),"",G108-_xlfn.MAXIFS(G$4:G107,B$4:B107,B108))</f>
        <v/>
      </c>
      <c r="P108" s="28" t="str">
        <f t="shared" si="15"/>
        <v/>
      </c>
    </row>
    <row r="109" spans="1:16" x14ac:dyDescent="0.45">
      <c r="A109" s="17"/>
      <c r="B109" s="18"/>
      <c r="C109" s="18"/>
      <c r="D109" s="18"/>
      <c r="E109" s="32"/>
      <c r="F109" s="19"/>
      <c r="G109" s="19"/>
      <c r="H109" s="32"/>
      <c r="I109" s="18"/>
      <c r="J109" s="18"/>
      <c r="K109" s="21" t="str">
        <f t="shared" si="12"/>
        <v/>
      </c>
      <c r="L109" s="28" t="str">
        <f t="shared" si="13"/>
        <v/>
      </c>
      <c r="M109" s="33" t="str">
        <f t="shared" si="14"/>
        <v/>
      </c>
      <c r="N109" s="16" t="str">
        <f>IF($A109="","",IF(I109&lt;&gt;"Đủ","Thiếu ảnh",IF(M109="","Chưa có số GPS",IF(ABS(M109)&gt;'THAM SỐ'!$B$30,"LỆCH DẦU","Đạt"))))</f>
        <v/>
      </c>
      <c r="O109" s="21" t="str">
        <f>IF(OR($A109="",G109="",COUNTIFS(B$4:B108,B109)=0),"",G109-_xlfn.MAXIFS(G$4:G108,B$4:B108,B109))</f>
        <v/>
      </c>
      <c r="P109" s="28" t="str">
        <f t="shared" si="15"/>
        <v/>
      </c>
    </row>
    <row r="110" spans="1:16" x14ac:dyDescent="0.45">
      <c r="A110" s="17"/>
      <c r="B110" s="18"/>
      <c r="C110" s="18"/>
      <c r="D110" s="18"/>
      <c r="E110" s="32"/>
      <c r="F110" s="19"/>
      <c r="G110" s="19"/>
      <c r="H110" s="32"/>
      <c r="I110" s="18"/>
      <c r="J110" s="18"/>
      <c r="K110" s="21" t="str">
        <f t="shared" si="12"/>
        <v/>
      </c>
      <c r="L110" s="28" t="str">
        <f t="shared" si="13"/>
        <v/>
      </c>
      <c r="M110" s="33" t="str">
        <f t="shared" si="14"/>
        <v/>
      </c>
      <c r="N110" s="16" t="str">
        <f>IF($A110="","",IF(I110&lt;&gt;"Đủ","Thiếu ảnh",IF(M110="","Chưa có số GPS",IF(ABS(M110)&gt;'THAM SỐ'!$B$30,"LỆCH DẦU","Đạt"))))</f>
        <v/>
      </c>
      <c r="O110" s="21" t="str">
        <f>IF(OR($A110="",G110="",COUNTIFS(B$4:B109,B110)=0),"",G110-_xlfn.MAXIFS(G$4:G109,B$4:B109,B110))</f>
        <v/>
      </c>
      <c r="P110" s="28" t="str">
        <f t="shared" si="15"/>
        <v/>
      </c>
    </row>
    <row r="111" spans="1:16" x14ac:dyDescent="0.45">
      <c r="A111" s="17"/>
      <c r="B111" s="18"/>
      <c r="C111" s="18"/>
      <c r="D111" s="18"/>
      <c r="E111" s="32"/>
      <c r="F111" s="19"/>
      <c r="G111" s="19"/>
      <c r="H111" s="32"/>
      <c r="I111" s="18"/>
      <c r="J111" s="18"/>
      <c r="K111" s="21" t="str">
        <f t="shared" si="12"/>
        <v/>
      </c>
      <c r="L111" s="28" t="str">
        <f t="shared" si="13"/>
        <v/>
      </c>
      <c r="M111" s="33" t="str">
        <f t="shared" si="14"/>
        <v/>
      </c>
      <c r="N111" s="16" t="str">
        <f>IF($A111="","",IF(I111&lt;&gt;"Đủ","Thiếu ảnh",IF(M111="","Chưa có số GPS",IF(ABS(M111)&gt;'THAM SỐ'!$B$30,"LỆCH DẦU","Đạt"))))</f>
        <v/>
      </c>
      <c r="O111" s="21" t="str">
        <f>IF(OR($A111="",G111="",COUNTIFS(B$4:B110,B111)=0),"",G111-_xlfn.MAXIFS(G$4:G110,B$4:B110,B111))</f>
        <v/>
      </c>
      <c r="P111" s="28" t="str">
        <f t="shared" si="15"/>
        <v/>
      </c>
    </row>
    <row r="112" spans="1:16" x14ac:dyDescent="0.45">
      <c r="A112" s="17"/>
      <c r="B112" s="18"/>
      <c r="C112" s="18"/>
      <c r="D112" s="18"/>
      <c r="E112" s="32"/>
      <c r="F112" s="19"/>
      <c r="G112" s="19"/>
      <c r="H112" s="32"/>
      <c r="I112" s="18"/>
      <c r="J112" s="18"/>
      <c r="K112" s="21" t="str">
        <f t="shared" si="12"/>
        <v/>
      </c>
      <c r="L112" s="28" t="str">
        <f t="shared" si="13"/>
        <v/>
      </c>
      <c r="M112" s="33" t="str">
        <f t="shared" si="14"/>
        <v/>
      </c>
      <c r="N112" s="16" t="str">
        <f>IF($A112="","",IF(I112&lt;&gt;"Đủ","Thiếu ảnh",IF(M112="","Chưa có số GPS",IF(ABS(M112)&gt;'THAM SỐ'!$B$30,"LỆCH DẦU","Đạt"))))</f>
        <v/>
      </c>
      <c r="O112" s="21" t="str">
        <f>IF(OR($A112="",G112="",COUNTIFS(B$4:B111,B112)=0),"",G112-_xlfn.MAXIFS(G$4:G111,B$4:B111,B112))</f>
        <v/>
      </c>
      <c r="P112" s="28" t="str">
        <f t="shared" si="15"/>
        <v/>
      </c>
    </row>
    <row r="113" spans="1:16" x14ac:dyDescent="0.45">
      <c r="A113" s="17"/>
      <c r="B113" s="18"/>
      <c r="C113" s="18"/>
      <c r="D113" s="18"/>
      <c r="E113" s="32"/>
      <c r="F113" s="19"/>
      <c r="G113" s="19"/>
      <c r="H113" s="32"/>
      <c r="I113" s="18"/>
      <c r="J113" s="18"/>
      <c r="K113" s="21" t="str">
        <f t="shared" si="12"/>
        <v/>
      </c>
      <c r="L113" s="28" t="str">
        <f t="shared" si="13"/>
        <v/>
      </c>
      <c r="M113" s="33" t="str">
        <f t="shared" si="14"/>
        <v/>
      </c>
      <c r="N113" s="16" t="str">
        <f>IF($A113="","",IF(I113&lt;&gt;"Đủ","Thiếu ảnh",IF(M113="","Chưa có số GPS",IF(ABS(M113)&gt;'THAM SỐ'!$B$30,"LỆCH DẦU","Đạt"))))</f>
        <v/>
      </c>
      <c r="O113" s="21" t="str">
        <f>IF(OR($A113="",G113="",COUNTIFS(B$4:B112,B113)=0),"",G113-_xlfn.MAXIFS(G$4:G112,B$4:B112,B113))</f>
        <v/>
      </c>
      <c r="P113" s="28" t="str">
        <f t="shared" si="15"/>
        <v/>
      </c>
    </row>
    <row r="114" spans="1:16" x14ac:dyDescent="0.45">
      <c r="A114" s="17"/>
      <c r="B114" s="18"/>
      <c r="C114" s="18"/>
      <c r="D114" s="18"/>
      <c r="E114" s="32"/>
      <c r="F114" s="19"/>
      <c r="G114" s="19"/>
      <c r="H114" s="32"/>
      <c r="I114" s="18"/>
      <c r="J114" s="18"/>
      <c r="K114" s="21" t="str">
        <f t="shared" si="12"/>
        <v/>
      </c>
      <c r="L114" s="28" t="str">
        <f t="shared" si="13"/>
        <v/>
      </c>
      <c r="M114" s="33" t="str">
        <f t="shared" si="14"/>
        <v/>
      </c>
      <c r="N114" s="16" t="str">
        <f>IF($A114="","",IF(I114&lt;&gt;"Đủ","Thiếu ảnh",IF(M114="","Chưa có số GPS",IF(ABS(M114)&gt;'THAM SỐ'!$B$30,"LỆCH DẦU","Đạt"))))</f>
        <v/>
      </c>
      <c r="O114" s="21" t="str">
        <f>IF(OR($A114="",G114="",COUNTIFS(B$4:B113,B114)=0),"",G114-_xlfn.MAXIFS(G$4:G113,B$4:B113,B114))</f>
        <v/>
      </c>
      <c r="P114" s="28" t="str">
        <f t="shared" si="15"/>
        <v/>
      </c>
    </row>
    <row r="115" spans="1:16" x14ac:dyDescent="0.45">
      <c r="A115" s="17"/>
      <c r="B115" s="18"/>
      <c r="C115" s="18"/>
      <c r="D115" s="18"/>
      <c r="E115" s="32"/>
      <c r="F115" s="19"/>
      <c r="G115" s="19"/>
      <c r="H115" s="32"/>
      <c r="I115" s="18"/>
      <c r="J115" s="18"/>
      <c r="K115" s="21" t="str">
        <f t="shared" si="12"/>
        <v/>
      </c>
      <c r="L115" s="28" t="str">
        <f t="shared" si="13"/>
        <v/>
      </c>
      <c r="M115" s="33" t="str">
        <f t="shared" si="14"/>
        <v/>
      </c>
      <c r="N115" s="16" t="str">
        <f>IF($A115="","",IF(I115&lt;&gt;"Đủ","Thiếu ảnh",IF(M115="","Chưa có số GPS",IF(ABS(M115)&gt;'THAM SỐ'!$B$30,"LỆCH DẦU","Đạt"))))</f>
        <v/>
      </c>
      <c r="O115" s="21" t="str">
        <f>IF(OR($A115="",G115="",COUNTIFS(B$4:B114,B115)=0),"",G115-_xlfn.MAXIFS(G$4:G114,B$4:B114,B115))</f>
        <v/>
      </c>
      <c r="P115" s="28" t="str">
        <f t="shared" si="15"/>
        <v/>
      </c>
    </row>
    <row r="116" spans="1:16" x14ac:dyDescent="0.45">
      <c r="A116" s="17"/>
      <c r="B116" s="18"/>
      <c r="C116" s="18"/>
      <c r="D116" s="18"/>
      <c r="E116" s="32"/>
      <c r="F116" s="19"/>
      <c r="G116" s="19"/>
      <c r="H116" s="32"/>
      <c r="I116" s="18"/>
      <c r="J116" s="18"/>
      <c r="K116" s="21" t="str">
        <f t="shared" si="12"/>
        <v/>
      </c>
      <c r="L116" s="28" t="str">
        <f t="shared" si="13"/>
        <v/>
      </c>
      <c r="M116" s="33" t="str">
        <f t="shared" si="14"/>
        <v/>
      </c>
      <c r="N116" s="16" t="str">
        <f>IF($A116="","",IF(I116&lt;&gt;"Đủ","Thiếu ảnh",IF(M116="","Chưa có số GPS",IF(ABS(M116)&gt;'THAM SỐ'!$B$30,"LỆCH DẦU","Đạt"))))</f>
        <v/>
      </c>
      <c r="O116" s="21" t="str">
        <f>IF(OR($A116="",G116="",COUNTIFS(B$4:B115,B116)=0),"",G116-_xlfn.MAXIFS(G$4:G115,B$4:B115,B116))</f>
        <v/>
      </c>
      <c r="P116" s="28" t="str">
        <f t="shared" si="15"/>
        <v/>
      </c>
    </row>
    <row r="117" spans="1:16" x14ac:dyDescent="0.45">
      <c r="A117" s="17"/>
      <c r="B117" s="18"/>
      <c r="C117" s="18"/>
      <c r="D117" s="18"/>
      <c r="E117" s="32"/>
      <c r="F117" s="19"/>
      <c r="G117" s="19"/>
      <c r="H117" s="32"/>
      <c r="I117" s="18"/>
      <c r="J117" s="18"/>
      <c r="K117" s="21" t="str">
        <f t="shared" si="12"/>
        <v/>
      </c>
      <c r="L117" s="28" t="str">
        <f t="shared" si="13"/>
        <v/>
      </c>
      <c r="M117" s="33" t="str">
        <f t="shared" si="14"/>
        <v/>
      </c>
      <c r="N117" s="16" t="str">
        <f>IF($A117="","",IF(I117&lt;&gt;"Đủ","Thiếu ảnh",IF(M117="","Chưa có số GPS",IF(ABS(M117)&gt;'THAM SỐ'!$B$30,"LỆCH DẦU","Đạt"))))</f>
        <v/>
      </c>
      <c r="O117" s="21" t="str">
        <f>IF(OR($A117="",G117="",COUNTIFS(B$4:B116,B117)=0),"",G117-_xlfn.MAXIFS(G$4:G116,B$4:B116,B117))</f>
        <v/>
      </c>
      <c r="P117" s="28" t="str">
        <f t="shared" si="15"/>
        <v/>
      </c>
    </row>
    <row r="118" spans="1:16" x14ac:dyDescent="0.45">
      <c r="A118" s="17"/>
      <c r="B118" s="18"/>
      <c r="C118" s="18"/>
      <c r="D118" s="18"/>
      <c r="E118" s="32"/>
      <c r="F118" s="19"/>
      <c r="G118" s="19"/>
      <c r="H118" s="32"/>
      <c r="I118" s="18"/>
      <c r="J118" s="18"/>
      <c r="K118" s="21" t="str">
        <f t="shared" si="12"/>
        <v/>
      </c>
      <c r="L118" s="28" t="str">
        <f t="shared" si="13"/>
        <v/>
      </c>
      <c r="M118" s="33" t="str">
        <f t="shared" si="14"/>
        <v/>
      </c>
      <c r="N118" s="16" t="str">
        <f>IF($A118="","",IF(I118&lt;&gt;"Đủ","Thiếu ảnh",IF(M118="","Chưa có số GPS",IF(ABS(M118)&gt;'THAM SỐ'!$B$30,"LỆCH DẦU","Đạt"))))</f>
        <v/>
      </c>
      <c r="O118" s="21" t="str">
        <f>IF(OR($A118="",G118="",COUNTIFS(B$4:B117,B118)=0),"",G118-_xlfn.MAXIFS(G$4:G117,B$4:B117,B118))</f>
        <v/>
      </c>
      <c r="P118" s="28" t="str">
        <f t="shared" si="15"/>
        <v/>
      </c>
    </row>
    <row r="119" spans="1:16" x14ac:dyDescent="0.45">
      <c r="A119" s="17"/>
      <c r="B119" s="18"/>
      <c r="C119" s="18"/>
      <c r="D119" s="18"/>
      <c r="E119" s="32"/>
      <c r="F119" s="19"/>
      <c r="G119" s="19"/>
      <c r="H119" s="32"/>
      <c r="I119" s="18"/>
      <c r="J119" s="18"/>
      <c r="K119" s="21" t="str">
        <f t="shared" si="12"/>
        <v/>
      </c>
      <c r="L119" s="28" t="str">
        <f t="shared" si="13"/>
        <v/>
      </c>
      <c r="M119" s="33" t="str">
        <f t="shared" si="14"/>
        <v/>
      </c>
      <c r="N119" s="16" t="str">
        <f>IF($A119="","",IF(I119&lt;&gt;"Đủ","Thiếu ảnh",IF(M119="","Chưa có số GPS",IF(ABS(M119)&gt;'THAM SỐ'!$B$30,"LỆCH DẦU","Đạt"))))</f>
        <v/>
      </c>
      <c r="O119" s="21" t="str">
        <f>IF(OR($A119="",G119="",COUNTIFS(B$4:B118,B119)=0),"",G119-_xlfn.MAXIFS(G$4:G118,B$4:B118,B119))</f>
        <v/>
      </c>
      <c r="P119" s="28" t="str">
        <f t="shared" si="15"/>
        <v/>
      </c>
    </row>
    <row r="120" spans="1:16" x14ac:dyDescent="0.45">
      <c r="A120" s="17"/>
      <c r="B120" s="18"/>
      <c r="C120" s="18"/>
      <c r="D120" s="18"/>
      <c r="E120" s="32"/>
      <c r="F120" s="19"/>
      <c r="G120" s="19"/>
      <c r="H120" s="32"/>
      <c r="I120" s="18"/>
      <c r="J120" s="18"/>
      <c r="K120" s="21" t="str">
        <f t="shared" si="12"/>
        <v/>
      </c>
      <c r="L120" s="28" t="str">
        <f t="shared" si="13"/>
        <v/>
      </c>
      <c r="M120" s="33" t="str">
        <f t="shared" si="14"/>
        <v/>
      </c>
      <c r="N120" s="16" t="str">
        <f>IF($A120="","",IF(I120&lt;&gt;"Đủ","Thiếu ảnh",IF(M120="","Chưa có số GPS",IF(ABS(M120)&gt;'THAM SỐ'!$B$30,"LỆCH DẦU","Đạt"))))</f>
        <v/>
      </c>
      <c r="O120" s="21" t="str">
        <f>IF(OR($A120="",G120="",COUNTIFS(B$4:B119,B120)=0),"",G120-_xlfn.MAXIFS(G$4:G119,B$4:B119,B120))</f>
        <v/>
      </c>
      <c r="P120" s="28" t="str">
        <f t="shared" si="15"/>
        <v/>
      </c>
    </row>
    <row r="121" spans="1:16" x14ac:dyDescent="0.45">
      <c r="A121" s="17"/>
      <c r="B121" s="18"/>
      <c r="C121" s="18"/>
      <c r="D121" s="18"/>
      <c r="E121" s="32"/>
      <c r="F121" s="19"/>
      <c r="G121" s="19"/>
      <c r="H121" s="32"/>
      <c r="I121" s="18"/>
      <c r="J121" s="18"/>
      <c r="K121" s="21" t="str">
        <f t="shared" si="12"/>
        <v/>
      </c>
      <c r="L121" s="28" t="str">
        <f t="shared" si="13"/>
        <v/>
      </c>
      <c r="M121" s="33" t="str">
        <f t="shared" si="14"/>
        <v/>
      </c>
      <c r="N121" s="16" t="str">
        <f>IF($A121="","",IF(I121&lt;&gt;"Đủ","Thiếu ảnh",IF(M121="","Chưa có số GPS",IF(ABS(M121)&gt;'THAM SỐ'!$B$30,"LỆCH DẦU","Đạt"))))</f>
        <v/>
      </c>
      <c r="O121" s="21" t="str">
        <f>IF(OR($A121="",G121="",COUNTIFS(B$4:B120,B121)=0),"",G121-_xlfn.MAXIFS(G$4:G120,B$4:B120,B121))</f>
        <v/>
      </c>
      <c r="P121" s="28" t="str">
        <f t="shared" si="15"/>
        <v/>
      </c>
    </row>
    <row r="122" spans="1:16" x14ac:dyDescent="0.45">
      <c r="A122" s="17"/>
      <c r="B122" s="18"/>
      <c r="C122" s="18"/>
      <c r="D122" s="18"/>
      <c r="E122" s="32"/>
      <c r="F122" s="19"/>
      <c r="G122" s="19"/>
      <c r="H122" s="32"/>
      <c r="I122" s="18"/>
      <c r="J122" s="18"/>
      <c r="K122" s="21" t="str">
        <f t="shared" si="12"/>
        <v/>
      </c>
      <c r="L122" s="28" t="str">
        <f t="shared" si="13"/>
        <v/>
      </c>
      <c r="M122" s="33" t="str">
        <f t="shared" si="14"/>
        <v/>
      </c>
      <c r="N122" s="16" t="str">
        <f>IF($A122="","",IF(I122&lt;&gt;"Đủ","Thiếu ảnh",IF(M122="","Chưa có số GPS",IF(ABS(M122)&gt;'THAM SỐ'!$B$30,"LỆCH DẦU","Đạt"))))</f>
        <v/>
      </c>
      <c r="O122" s="21" t="str">
        <f>IF(OR($A122="",G122="",COUNTIFS(B$4:B121,B122)=0),"",G122-_xlfn.MAXIFS(G$4:G121,B$4:B121,B122))</f>
        <v/>
      </c>
      <c r="P122" s="28" t="str">
        <f t="shared" si="15"/>
        <v/>
      </c>
    </row>
    <row r="123" spans="1:16" x14ac:dyDescent="0.45">
      <c r="A123" s="17"/>
      <c r="B123" s="18"/>
      <c r="C123" s="18"/>
      <c r="D123" s="18"/>
      <c r="E123" s="32"/>
      <c r="F123" s="19"/>
      <c r="G123" s="19"/>
      <c r="H123" s="32"/>
      <c r="I123" s="18"/>
      <c r="J123" s="18"/>
      <c r="K123" s="21" t="str">
        <f t="shared" si="12"/>
        <v/>
      </c>
      <c r="L123" s="28" t="str">
        <f t="shared" si="13"/>
        <v/>
      </c>
      <c r="M123" s="33" t="str">
        <f t="shared" si="14"/>
        <v/>
      </c>
      <c r="N123" s="16" t="str">
        <f>IF($A123="","",IF(I123&lt;&gt;"Đủ","Thiếu ảnh",IF(M123="","Chưa có số GPS",IF(ABS(M123)&gt;'THAM SỐ'!$B$30,"LỆCH DẦU","Đạt"))))</f>
        <v/>
      </c>
      <c r="O123" s="21" t="str">
        <f>IF(OR($A123="",G123="",COUNTIFS(B$4:B122,B123)=0),"",G123-_xlfn.MAXIFS(G$4:G122,B$4:B122,B123))</f>
        <v/>
      </c>
      <c r="P123" s="28" t="str">
        <f t="shared" si="15"/>
        <v/>
      </c>
    </row>
    <row r="124" spans="1:16" x14ac:dyDescent="0.45">
      <c r="A124" s="17"/>
      <c r="B124" s="18"/>
      <c r="C124" s="18"/>
      <c r="D124" s="18"/>
      <c r="E124" s="32"/>
      <c r="F124" s="19"/>
      <c r="G124" s="19"/>
      <c r="H124" s="32"/>
      <c r="I124" s="18"/>
      <c r="J124" s="18"/>
      <c r="K124" s="21" t="str">
        <f t="shared" si="12"/>
        <v/>
      </c>
      <c r="L124" s="28" t="str">
        <f t="shared" si="13"/>
        <v/>
      </c>
      <c r="M124" s="33" t="str">
        <f t="shared" si="14"/>
        <v/>
      </c>
      <c r="N124" s="16" t="str">
        <f>IF($A124="","",IF(I124&lt;&gt;"Đủ","Thiếu ảnh",IF(M124="","Chưa có số GPS",IF(ABS(M124)&gt;'THAM SỐ'!$B$30,"LỆCH DẦU","Đạt"))))</f>
        <v/>
      </c>
      <c r="O124" s="21" t="str">
        <f>IF(OR($A124="",G124="",COUNTIFS(B$4:B123,B124)=0),"",G124-_xlfn.MAXIFS(G$4:G123,B$4:B123,B124))</f>
        <v/>
      </c>
      <c r="P124" s="28" t="str">
        <f t="shared" si="15"/>
        <v/>
      </c>
    </row>
    <row r="125" spans="1:16" x14ac:dyDescent="0.45">
      <c r="A125" s="17"/>
      <c r="B125" s="18"/>
      <c r="C125" s="18"/>
      <c r="D125" s="18"/>
      <c r="E125" s="32"/>
      <c r="F125" s="19"/>
      <c r="G125" s="19"/>
      <c r="H125" s="32"/>
      <c r="I125" s="18"/>
      <c r="J125" s="18"/>
      <c r="K125" s="21" t="str">
        <f t="shared" si="12"/>
        <v/>
      </c>
      <c r="L125" s="28" t="str">
        <f t="shared" si="13"/>
        <v/>
      </c>
      <c r="M125" s="33" t="str">
        <f t="shared" si="14"/>
        <v/>
      </c>
      <c r="N125" s="16" t="str">
        <f>IF($A125="","",IF(I125&lt;&gt;"Đủ","Thiếu ảnh",IF(M125="","Chưa có số GPS",IF(ABS(M125)&gt;'THAM SỐ'!$B$30,"LỆCH DẦU","Đạt"))))</f>
        <v/>
      </c>
      <c r="O125" s="21" t="str">
        <f>IF(OR($A125="",G125="",COUNTIFS(B$4:B124,B125)=0),"",G125-_xlfn.MAXIFS(G$4:G124,B$4:B124,B125))</f>
        <v/>
      </c>
      <c r="P125" s="28" t="str">
        <f t="shared" si="15"/>
        <v/>
      </c>
    </row>
    <row r="126" spans="1:16" x14ac:dyDescent="0.45">
      <c r="A126" s="17"/>
      <c r="B126" s="18"/>
      <c r="C126" s="18"/>
      <c r="D126" s="18"/>
      <c r="E126" s="32"/>
      <c r="F126" s="19"/>
      <c r="G126" s="19"/>
      <c r="H126" s="32"/>
      <c r="I126" s="18"/>
      <c r="J126" s="18"/>
      <c r="K126" s="21" t="str">
        <f t="shared" si="12"/>
        <v/>
      </c>
      <c r="L126" s="28" t="str">
        <f t="shared" si="13"/>
        <v/>
      </c>
      <c r="M126" s="33" t="str">
        <f t="shared" si="14"/>
        <v/>
      </c>
      <c r="N126" s="16" t="str">
        <f>IF($A126="","",IF(I126&lt;&gt;"Đủ","Thiếu ảnh",IF(M126="","Chưa có số GPS",IF(ABS(M126)&gt;'THAM SỐ'!$B$30,"LỆCH DẦU","Đạt"))))</f>
        <v/>
      </c>
      <c r="O126" s="21" t="str">
        <f>IF(OR($A126="",G126="",COUNTIFS(B$4:B125,B126)=0),"",G126-_xlfn.MAXIFS(G$4:G125,B$4:B125,B126))</f>
        <v/>
      </c>
      <c r="P126" s="28" t="str">
        <f t="shared" si="15"/>
        <v/>
      </c>
    </row>
    <row r="127" spans="1:16" x14ac:dyDescent="0.45">
      <c r="A127" s="17"/>
      <c r="B127" s="18"/>
      <c r="C127" s="18"/>
      <c r="D127" s="18"/>
      <c r="E127" s="32"/>
      <c r="F127" s="19"/>
      <c r="G127" s="19"/>
      <c r="H127" s="32"/>
      <c r="I127" s="18"/>
      <c r="J127" s="18"/>
      <c r="K127" s="21" t="str">
        <f t="shared" si="12"/>
        <v/>
      </c>
      <c r="L127" s="28" t="str">
        <f t="shared" si="13"/>
        <v/>
      </c>
      <c r="M127" s="33" t="str">
        <f t="shared" si="14"/>
        <v/>
      </c>
      <c r="N127" s="16" t="str">
        <f>IF($A127="","",IF(I127&lt;&gt;"Đủ","Thiếu ảnh",IF(M127="","Chưa có số GPS",IF(ABS(M127)&gt;'THAM SỐ'!$B$30,"LỆCH DẦU","Đạt"))))</f>
        <v/>
      </c>
      <c r="O127" s="21" t="str">
        <f>IF(OR($A127="",G127="",COUNTIFS(B$4:B126,B127)=0),"",G127-_xlfn.MAXIFS(G$4:G126,B$4:B126,B127))</f>
        <v/>
      </c>
      <c r="P127" s="28" t="str">
        <f t="shared" si="15"/>
        <v/>
      </c>
    </row>
    <row r="128" spans="1:16" x14ac:dyDescent="0.45">
      <c r="A128" s="17"/>
      <c r="B128" s="18"/>
      <c r="C128" s="18"/>
      <c r="D128" s="18"/>
      <c r="E128" s="32"/>
      <c r="F128" s="19"/>
      <c r="G128" s="19"/>
      <c r="H128" s="32"/>
      <c r="I128" s="18"/>
      <c r="J128" s="18"/>
      <c r="K128" s="21" t="str">
        <f t="shared" si="12"/>
        <v/>
      </c>
      <c r="L128" s="28" t="str">
        <f t="shared" si="13"/>
        <v/>
      </c>
      <c r="M128" s="33" t="str">
        <f t="shared" si="14"/>
        <v/>
      </c>
      <c r="N128" s="16" t="str">
        <f>IF($A128="","",IF(I128&lt;&gt;"Đủ","Thiếu ảnh",IF(M128="","Chưa có số GPS",IF(ABS(M128)&gt;'THAM SỐ'!$B$30,"LỆCH DẦU","Đạt"))))</f>
        <v/>
      </c>
      <c r="O128" s="21" t="str">
        <f>IF(OR($A128="",G128="",COUNTIFS(B$4:B127,B128)=0),"",G128-_xlfn.MAXIFS(G$4:G127,B$4:B127,B128))</f>
        <v/>
      </c>
      <c r="P128" s="28" t="str">
        <f t="shared" si="15"/>
        <v/>
      </c>
    </row>
    <row r="129" spans="1:16" x14ac:dyDescent="0.45">
      <c r="A129" s="17"/>
      <c r="B129" s="18"/>
      <c r="C129" s="18"/>
      <c r="D129" s="18"/>
      <c r="E129" s="32"/>
      <c r="F129" s="19"/>
      <c r="G129" s="19"/>
      <c r="H129" s="32"/>
      <c r="I129" s="18"/>
      <c r="J129" s="18"/>
      <c r="K129" s="21" t="str">
        <f t="shared" si="12"/>
        <v/>
      </c>
      <c r="L129" s="28" t="str">
        <f t="shared" si="13"/>
        <v/>
      </c>
      <c r="M129" s="33" t="str">
        <f t="shared" si="14"/>
        <v/>
      </c>
      <c r="N129" s="16" t="str">
        <f>IF($A129="","",IF(I129&lt;&gt;"Đủ","Thiếu ảnh",IF(M129="","Chưa có số GPS",IF(ABS(M129)&gt;'THAM SỐ'!$B$30,"LỆCH DẦU","Đạt"))))</f>
        <v/>
      </c>
      <c r="O129" s="21" t="str">
        <f>IF(OR($A129="",G129="",COUNTIFS(B$4:B128,B129)=0),"",G129-_xlfn.MAXIFS(G$4:G128,B$4:B128,B129))</f>
        <v/>
      </c>
      <c r="P129" s="28" t="str">
        <f t="shared" si="15"/>
        <v/>
      </c>
    </row>
    <row r="130" spans="1:16" x14ac:dyDescent="0.45">
      <c r="A130" s="17"/>
      <c r="B130" s="18"/>
      <c r="C130" s="18"/>
      <c r="D130" s="18"/>
      <c r="E130" s="32"/>
      <c r="F130" s="19"/>
      <c r="G130" s="19"/>
      <c r="H130" s="32"/>
      <c r="I130" s="18"/>
      <c r="J130" s="18"/>
      <c r="K130" s="21" t="str">
        <f t="shared" si="12"/>
        <v/>
      </c>
      <c r="L130" s="28" t="str">
        <f t="shared" si="13"/>
        <v/>
      </c>
      <c r="M130" s="33" t="str">
        <f t="shared" si="14"/>
        <v/>
      </c>
      <c r="N130" s="16" t="str">
        <f>IF($A130="","",IF(I130&lt;&gt;"Đủ","Thiếu ảnh",IF(M130="","Chưa có số GPS",IF(ABS(M130)&gt;'THAM SỐ'!$B$30,"LỆCH DẦU","Đạt"))))</f>
        <v/>
      </c>
      <c r="O130" s="21" t="str">
        <f>IF(OR($A130="",G130="",COUNTIFS(B$4:B129,B130)=0),"",G130-_xlfn.MAXIFS(G$4:G129,B$4:B129,B130))</f>
        <v/>
      </c>
      <c r="P130" s="28" t="str">
        <f t="shared" si="15"/>
        <v/>
      </c>
    </row>
    <row r="131" spans="1:16" x14ac:dyDescent="0.45">
      <c r="A131" s="17"/>
      <c r="B131" s="18"/>
      <c r="C131" s="18"/>
      <c r="D131" s="18"/>
      <c r="E131" s="32"/>
      <c r="F131" s="19"/>
      <c r="G131" s="19"/>
      <c r="H131" s="32"/>
      <c r="I131" s="18"/>
      <c r="J131" s="18"/>
      <c r="K131" s="21" t="str">
        <f t="shared" si="12"/>
        <v/>
      </c>
      <c r="L131" s="28" t="str">
        <f t="shared" si="13"/>
        <v/>
      </c>
      <c r="M131" s="33" t="str">
        <f t="shared" si="14"/>
        <v/>
      </c>
      <c r="N131" s="16" t="str">
        <f>IF($A131="","",IF(I131&lt;&gt;"Đủ","Thiếu ảnh",IF(M131="","Chưa có số GPS",IF(ABS(M131)&gt;'THAM SỐ'!$B$30,"LỆCH DẦU","Đạt"))))</f>
        <v/>
      </c>
      <c r="O131" s="21" t="str">
        <f>IF(OR($A131="",G131="",COUNTIFS(B$4:B130,B131)=0),"",G131-_xlfn.MAXIFS(G$4:G130,B$4:B130,B131))</f>
        <v/>
      </c>
      <c r="P131" s="28" t="str">
        <f t="shared" si="15"/>
        <v/>
      </c>
    </row>
    <row r="132" spans="1:16" x14ac:dyDescent="0.45">
      <c r="A132" s="17"/>
      <c r="B132" s="18"/>
      <c r="C132" s="18"/>
      <c r="D132" s="18"/>
      <c r="E132" s="32"/>
      <c r="F132" s="19"/>
      <c r="G132" s="19"/>
      <c r="H132" s="32"/>
      <c r="I132" s="18"/>
      <c r="J132" s="18"/>
      <c r="K132" s="21" t="str">
        <f t="shared" si="12"/>
        <v/>
      </c>
      <c r="L132" s="28" t="str">
        <f t="shared" si="13"/>
        <v/>
      </c>
      <c r="M132" s="33" t="str">
        <f t="shared" si="14"/>
        <v/>
      </c>
      <c r="N132" s="16" t="str">
        <f>IF($A132="","",IF(I132&lt;&gt;"Đủ","Thiếu ảnh",IF(M132="","Chưa có số GPS",IF(ABS(M132)&gt;'THAM SỐ'!$B$30,"LỆCH DẦU","Đạt"))))</f>
        <v/>
      </c>
      <c r="O132" s="21" t="str">
        <f>IF(OR($A132="",G132="",COUNTIFS(B$4:B131,B132)=0),"",G132-_xlfn.MAXIFS(G$4:G131,B$4:B131,B132))</f>
        <v/>
      </c>
      <c r="P132" s="28" t="str">
        <f t="shared" si="15"/>
        <v/>
      </c>
    </row>
    <row r="133" spans="1:16" x14ac:dyDescent="0.45">
      <c r="A133" s="17"/>
      <c r="B133" s="18"/>
      <c r="C133" s="18"/>
      <c r="D133" s="18"/>
      <c r="E133" s="32"/>
      <c r="F133" s="19"/>
      <c r="G133" s="19"/>
      <c r="H133" s="32"/>
      <c r="I133" s="18"/>
      <c r="J133" s="18"/>
      <c r="K133" s="21" t="str">
        <f t="shared" ref="K133:K164" si="16">IF(OR($A133="",E133="",F133=""),"",E133*F133)</f>
        <v/>
      </c>
      <c r="L133" s="28" t="str">
        <f t="shared" ref="L133:L164" si="17">IF(OR($A133="",E133="",H133=""),"",E133-H133)</f>
        <v/>
      </c>
      <c r="M133" s="33" t="str">
        <f t="shared" ref="M133:M164" si="18">IF(OR(L133="",N(E133)=0),"",L133/E133)</f>
        <v/>
      </c>
      <c r="N133" s="16" t="str">
        <f>IF($A133="","",IF(I133&lt;&gt;"Đủ","Thiếu ảnh",IF(M133="","Chưa có số GPS",IF(ABS(M133)&gt;'THAM SỐ'!$B$30,"LỆCH DẦU","Đạt"))))</f>
        <v/>
      </c>
      <c r="O133" s="21" t="str">
        <f>IF(OR($A133="",G133="",COUNTIFS(B$4:B132,B133)=0),"",G133-_xlfn.MAXIFS(G$4:G132,B$4:B132,B133))</f>
        <v/>
      </c>
      <c r="P133" s="28" t="str">
        <f t="shared" ref="P133:P164" si="19">IF(OR(O133="",N(O133)&lt;=0,E133=""),"",E133/O133*100)</f>
        <v/>
      </c>
    </row>
    <row r="134" spans="1:16" x14ac:dyDescent="0.45">
      <c r="A134" s="17"/>
      <c r="B134" s="18"/>
      <c r="C134" s="18"/>
      <c r="D134" s="18"/>
      <c r="E134" s="32"/>
      <c r="F134" s="19"/>
      <c r="G134" s="19"/>
      <c r="H134" s="32"/>
      <c r="I134" s="18"/>
      <c r="J134" s="18"/>
      <c r="K134" s="21" t="str">
        <f t="shared" si="16"/>
        <v/>
      </c>
      <c r="L134" s="28" t="str">
        <f t="shared" si="17"/>
        <v/>
      </c>
      <c r="M134" s="33" t="str">
        <f t="shared" si="18"/>
        <v/>
      </c>
      <c r="N134" s="16" t="str">
        <f>IF($A134="","",IF(I134&lt;&gt;"Đủ","Thiếu ảnh",IF(M134="","Chưa có số GPS",IF(ABS(M134)&gt;'THAM SỐ'!$B$30,"LỆCH DẦU","Đạt"))))</f>
        <v/>
      </c>
      <c r="O134" s="21" t="str">
        <f>IF(OR($A134="",G134="",COUNTIFS(B$4:B133,B134)=0),"",G134-_xlfn.MAXIFS(G$4:G133,B$4:B133,B134))</f>
        <v/>
      </c>
      <c r="P134" s="28" t="str">
        <f t="shared" si="19"/>
        <v/>
      </c>
    </row>
    <row r="135" spans="1:16" x14ac:dyDescent="0.45">
      <c r="A135" s="17"/>
      <c r="B135" s="18"/>
      <c r="C135" s="18"/>
      <c r="D135" s="18"/>
      <c r="E135" s="32"/>
      <c r="F135" s="19"/>
      <c r="G135" s="19"/>
      <c r="H135" s="32"/>
      <c r="I135" s="18"/>
      <c r="J135" s="18"/>
      <c r="K135" s="21" t="str">
        <f t="shared" si="16"/>
        <v/>
      </c>
      <c r="L135" s="28" t="str">
        <f t="shared" si="17"/>
        <v/>
      </c>
      <c r="M135" s="33" t="str">
        <f t="shared" si="18"/>
        <v/>
      </c>
      <c r="N135" s="16" t="str">
        <f>IF($A135="","",IF(I135&lt;&gt;"Đủ","Thiếu ảnh",IF(M135="","Chưa có số GPS",IF(ABS(M135)&gt;'THAM SỐ'!$B$30,"LỆCH DẦU","Đạt"))))</f>
        <v/>
      </c>
      <c r="O135" s="21" t="str">
        <f>IF(OR($A135="",G135="",COUNTIFS(B$4:B134,B135)=0),"",G135-_xlfn.MAXIFS(G$4:G134,B$4:B134,B135))</f>
        <v/>
      </c>
      <c r="P135" s="28" t="str">
        <f t="shared" si="19"/>
        <v/>
      </c>
    </row>
    <row r="136" spans="1:16" x14ac:dyDescent="0.45">
      <c r="A136" s="17"/>
      <c r="B136" s="18"/>
      <c r="C136" s="18"/>
      <c r="D136" s="18"/>
      <c r="E136" s="32"/>
      <c r="F136" s="19"/>
      <c r="G136" s="19"/>
      <c r="H136" s="32"/>
      <c r="I136" s="18"/>
      <c r="J136" s="18"/>
      <c r="K136" s="21" t="str">
        <f t="shared" si="16"/>
        <v/>
      </c>
      <c r="L136" s="28" t="str">
        <f t="shared" si="17"/>
        <v/>
      </c>
      <c r="M136" s="33" t="str">
        <f t="shared" si="18"/>
        <v/>
      </c>
      <c r="N136" s="16" t="str">
        <f>IF($A136="","",IF(I136&lt;&gt;"Đủ","Thiếu ảnh",IF(M136="","Chưa có số GPS",IF(ABS(M136)&gt;'THAM SỐ'!$B$30,"LỆCH DẦU","Đạt"))))</f>
        <v/>
      </c>
      <c r="O136" s="21" t="str">
        <f>IF(OR($A136="",G136="",COUNTIFS(B$4:B135,B136)=0),"",G136-_xlfn.MAXIFS(G$4:G135,B$4:B135,B136))</f>
        <v/>
      </c>
      <c r="P136" s="28" t="str">
        <f t="shared" si="19"/>
        <v/>
      </c>
    </row>
    <row r="137" spans="1:16" x14ac:dyDescent="0.45">
      <c r="A137" s="17"/>
      <c r="B137" s="18"/>
      <c r="C137" s="18"/>
      <c r="D137" s="18"/>
      <c r="E137" s="32"/>
      <c r="F137" s="19"/>
      <c r="G137" s="19"/>
      <c r="H137" s="32"/>
      <c r="I137" s="18"/>
      <c r="J137" s="18"/>
      <c r="K137" s="21" t="str">
        <f t="shared" si="16"/>
        <v/>
      </c>
      <c r="L137" s="28" t="str">
        <f t="shared" si="17"/>
        <v/>
      </c>
      <c r="M137" s="33" t="str">
        <f t="shared" si="18"/>
        <v/>
      </c>
      <c r="N137" s="16" t="str">
        <f>IF($A137="","",IF(I137&lt;&gt;"Đủ","Thiếu ảnh",IF(M137="","Chưa có số GPS",IF(ABS(M137)&gt;'THAM SỐ'!$B$30,"LỆCH DẦU","Đạt"))))</f>
        <v/>
      </c>
      <c r="O137" s="21" t="str">
        <f>IF(OR($A137="",G137="",COUNTIFS(B$4:B136,B137)=0),"",G137-_xlfn.MAXIFS(G$4:G136,B$4:B136,B137))</f>
        <v/>
      </c>
      <c r="P137" s="28" t="str">
        <f t="shared" si="19"/>
        <v/>
      </c>
    </row>
    <row r="138" spans="1:16" x14ac:dyDescent="0.45">
      <c r="A138" s="17"/>
      <c r="B138" s="18"/>
      <c r="C138" s="18"/>
      <c r="D138" s="18"/>
      <c r="E138" s="32"/>
      <c r="F138" s="19"/>
      <c r="G138" s="19"/>
      <c r="H138" s="32"/>
      <c r="I138" s="18"/>
      <c r="J138" s="18"/>
      <c r="K138" s="21" t="str">
        <f t="shared" si="16"/>
        <v/>
      </c>
      <c r="L138" s="28" t="str">
        <f t="shared" si="17"/>
        <v/>
      </c>
      <c r="M138" s="33" t="str">
        <f t="shared" si="18"/>
        <v/>
      </c>
      <c r="N138" s="16" t="str">
        <f>IF($A138="","",IF(I138&lt;&gt;"Đủ","Thiếu ảnh",IF(M138="","Chưa có số GPS",IF(ABS(M138)&gt;'THAM SỐ'!$B$30,"LỆCH DẦU","Đạt"))))</f>
        <v/>
      </c>
      <c r="O138" s="21" t="str">
        <f>IF(OR($A138="",G138="",COUNTIFS(B$4:B137,B138)=0),"",G138-_xlfn.MAXIFS(G$4:G137,B$4:B137,B138))</f>
        <v/>
      </c>
      <c r="P138" s="28" t="str">
        <f t="shared" si="19"/>
        <v/>
      </c>
    </row>
    <row r="139" spans="1:16" x14ac:dyDescent="0.45">
      <c r="A139" s="17"/>
      <c r="B139" s="18"/>
      <c r="C139" s="18"/>
      <c r="D139" s="18"/>
      <c r="E139" s="32"/>
      <c r="F139" s="19"/>
      <c r="G139" s="19"/>
      <c r="H139" s="32"/>
      <c r="I139" s="18"/>
      <c r="J139" s="18"/>
      <c r="K139" s="21" t="str">
        <f t="shared" si="16"/>
        <v/>
      </c>
      <c r="L139" s="28" t="str">
        <f t="shared" si="17"/>
        <v/>
      </c>
      <c r="M139" s="33" t="str">
        <f t="shared" si="18"/>
        <v/>
      </c>
      <c r="N139" s="16" t="str">
        <f>IF($A139="","",IF(I139&lt;&gt;"Đủ","Thiếu ảnh",IF(M139="","Chưa có số GPS",IF(ABS(M139)&gt;'THAM SỐ'!$B$30,"LỆCH DẦU","Đạt"))))</f>
        <v/>
      </c>
      <c r="O139" s="21" t="str">
        <f>IF(OR($A139="",G139="",COUNTIFS(B$4:B138,B139)=0),"",G139-_xlfn.MAXIFS(G$4:G138,B$4:B138,B139))</f>
        <v/>
      </c>
      <c r="P139" s="28" t="str">
        <f t="shared" si="19"/>
        <v/>
      </c>
    </row>
    <row r="140" spans="1:16" x14ac:dyDescent="0.45">
      <c r="A140" s="17"/>
      <c r="B140" s="18"/>
      <c r="C140" s="18"/>
      <c r="D140" s="18"/>
      <c r="E140" s="32"/>
      <c r="F140" s="19"/>
      <c r="G140" s="19"/>
      <c r="H140" s="32"/>
      <c r="I140" s="18"/>
      <c r="J140" s="18"/>
      <c r="K140" s="21" t="str">
        <f t="shared" si="16"/>
        <v/>
      </c>
      <c r="L140" s="28" t="str">
        <f t="shared" si="17"/>
        <v/>
      </c>
      <c r="M140" s="33" t="str">
        <f t="shared" si="18"/>
        <v/>
      </c>
      <c r="N140" s="16" t="str">
        <f>IF($A140="","",IF(I140&lt;&gt;"Đủ","Thiếu ảnh",IF(M140="","Chưa có số GPS",IF(ABS(M140)&gt;'THAM SỐ'!$B$30,"LỆCH DẦU","Đạt"))))</f>
        <v/>
      </c>
      <c r="O140" s="21" t="str">
        <f>IF(OR($A140="",G140="",COUNTIFS(B$4:B139,B140)=0),"",G140-_xlfn.MAXIFS(G$4:G139,B$4:B139,B140))</f>
        <v/>
      </c>
      <c r="P140" s="28" t="str">
        <f t="shared" si="19"/>
        <v/>
      </c>
    </row>
    <row r="141" spans="1:16" x14ac:dyDescent="0.45">
      <c r="A141" s="17"/>
      <c r="B141" s="18"/>
      <c r="C141" s="18"/>
      <c r="D141" s="18"/>
      <c r="E141" s="32"/>
      <c r="F141" s="19"/>
      <c r="G141" s="19"/>
      <c r="H141" s="32"/>
      <c r="I141" s="18"/>
      <c r="J141" s="18"/>
      <c r="K141" s="21" t="str">
        <f t="shared" si="16"/>
        <v/>
      </c>
      <c r="L141" s="28" t="str">
        <f t="shared" si="17"/>
        <v/>
      </c>
      <c r="M141" s="33" t="str">
        <f t="shared" si="18"/>
        <v/>
      </c>
      <c r="N141" s="16" t="str">
        <f>IF($A141="","",IF(I141&lt;&gt;"Đủ","Thiếu ảnh",IF(M141="","Chưa có số GPS",IF(ABS(M141)&gt;'THAM SỐ'!$B$30,"LỆCH DẦU","Đạt"))))</f>
        <v/>
      </c>
      <c r="O141" s="21" t="str">
        <f>IF(OR($A141="",G141="",COUNTIFS(B$4:B140,B141)=0),"",G141-_xlfn.MAXIFS(G$4:G140,B$4:B140,B141))</f>
        <v/>
      </c>
      <c r="P141" s="28" t="str">
        <f t="shared" si="19"/>
        <v/>
      </c>
    </row>
    <row r="142" spans="1:16" x14ac:dyDescent="0.45">
      <c r="A142" s="17"/>
      <c r="B142" s="18"/>
      <c r="C142" s="18"/>
      <c r="D142" s="18"/>
      <c r="E142" s="32"/>
      <c r="F142" s="19"/>
      <c r="G142" s="19"/>
      <c r="H142" s="32"/>
      <c r="I142" s="18"/>
      <c r="J142" s="18"/>
      <c r="K142" s="21" t="str">
        <f t="shared" si="16"/>
        <v/>
      </c>
      <c r="L142" s="28" t="str">
        <f t="shared" si="17"/>
        <v/>
      </c>
      <c r="M142" s="33" t="str">
        <f t="shared" si="18"/>
        <v/>
      </c>
      <c r="N142" s="16" t="str">
        <f>IF($A142="","",IF(I142&lt;&gt;"Đủ","Thiếu ảnh",IF(M142="","Chưa có số GPS",IF(ABS(M142)&gt;'THAM SỐ'!$B$30,"LỆCH DẦU","Đạt"))))</f>
        <v/>
      </c>
      <c r="O142" s="21" t="str">
        <f>IF(OR($A142="",G142="",COUNTIFS(B$4:B141,B142)=0),"",G142-_xlfn.MAXIFS(G$4:G141,B$4:B141,B142))</f>
        <v/>
      </c>
      <c r="P142" s="28" t="str">
        <f t="shared" si="19"/>
        <v/>
      </c>
    </row>
    <row r="143" spans="1:16" x14ac:dyDescent="0.45">
      <c r="A143" s="17"/>
      <c r="B143" s="18"/>
      <c r="C143" s="18"/>
      <c r="D143" s="18"/>
      <c r="E143" s="32"/>
      <c r="F143" s="19"/>
      <c r="G143" s="19"/>
      <c r="H143" s="32"/>
      <c r="I143" s="18"/>
      <c r="J143" s="18"/>
      <c r="K143" s="21" t="str">
        <f t="shared" si="16"/>
        <v/>
      </c>
      <c r="L143" s="28" t="str">
        <f t="shared" si="17"/>
        <v/>
      </c>
      <c r="M143" s="33" t="str">
        <f t="shared" si="18"/>
        <v/>
      </c>
      <c r="N143" s="16" t="str">
        <f>IF($A143="","",IF(I143&lt;&gt;"Đủ","Thiếu ảnh",IF(M143="","Chưa có số GPS",IF(ABS(M143)&gt;'THAM SỐ'!$B$30,"LỆCH DẦU","Đạt"))))</f>
        <v/>
      </c>
      <c r="O143" s="21" t="str">
        <f>IF(OR($A143="",G143="",COUNTIFS(B$4:B142,B143)=0),"",G143-_xlfn.MAXIFS(G$4:G142,B$4:B142,B143))</f>
        <v/>
      </c>
      <c r="P143" s="28" t="str">
        <f t="shared" si="19"/>
        <v/>
      </c>
    </row>
    <row r="144" spans="1:16" x14ac:dyDescent="0.45">
      <c r="A144" s="17"/>
      <c r="B144" s="18"/>
      <c r="C144" s="18"/>
      <c r="D144" s="18"/>
      <c r="E144" s="32"/>
      <c r="F144" s="19"/>
      <c r="G144" s="19"/>
      <c r="H144" s="32"/>
      <c r="I144" s="18"/>
      <c r="J144" s="18"/>
      <c r="K144" s="21" t="str">
        <f t="shared" si="16"/>
        <v/>
      </c>
      <c r="L144" s="28" t="str">
        <f t="shared" si="17"/>
        <v/>
      </c>
      <c r="M144" s="33" t="str">
        <f t="shared" si="18"/>
        <v/>
      </c>
      <c r="N144" s="16" t="str">
        <f>IF($A144="","",IF(I144&lt;&gt;"Đủ","Thiếu ảnh",IF(M144="","Chưa có số GPS",IF(ABS(M144)&gt;'THAM SỐ'!$B$30,"LỆCH DẦU","Đạt"))))</f>
        <v/>
      </c>
      <c r="O144" s="21" t="str">
        <f>IF(OR($A144="",G144="",COUNTIFS(B$4:B143,B144)=0),"",G144-_xlfn.MAXIFS(G$4:G143,B$4:B143,B144))</f>
        <v/>
      </c>
      <c r="P144" s="28" t="str">
        <f t="shared" si="19"/>
        <v/>
      </c>
    </row>
    <row r="145" spans="1:16" x14ac:dyDescent="0.45">
      <c r="A145" s="17"/>
      <c r="B145" s="18"/>
      <c r="C145" s="18"/>
      <c r="D145" s="18"/>
      <c r="E145" s="32"/>
      <c r="F145" s="19"/>
      <c r="G145" s="19"/>
      <c r="H145" s="32"/>
      <c r="I145" s="18"/>
      <c r="J145" s="18"/>
      <c r="K145" s="21" t="str">
        <f t="shared" si="16"/>
        <v/>
      </c>
      <c r="L145" s="28" t="str">
        <f t="shared" si="17"/>
        <v/>
      </c>
      <c r="M145" s="33" t="str">
        <f t="shared" si="18"/>
        <v/>
      </c>
      <c r="N145" s="16" t="str">
        <f>IF($A145="","",IF(I145&lt;&gt;"Đủ","Thiếu ảnh",IF(M145="","Chưa có số GPS",IF(ABS(M145)&gt;'THAM SỐ'!$B$30,"LỆCH DẦU","Đạt"))))</f>
        <v/>
      </c>
      <c r="O145" s="21" t="str">
        <f>IF(OR($A145="",G145="",COUNTIFS(B$4:B144,B145)=0),"",G145-_xlfn.MAXIFS(G$4:G144,B$4:B144,B145))</f>
        <v/>
      </c>
      <c r="P145" s="28" t="str">
        <f t="shared" si="19"/>
        <v/>
      </c>
    </row>
    <row r="146" spans="1:16" x14ac:dyDescent="0.45">
      <c r="A146" s="17"/>
      <c r="B146" s="18"/>
      <c r="C146" s="18"/>
      <c r="D146" s="18"/>
      <c r="E146" s="32"/>
      <c r="F146" s="19"/>
      <c r="G146" s="19"/>
      <c r="H146" s="32"/>
      <c r="I146" s="18"/>
      <c r="J146" s="18"/>
      <c r="K146" s="21" t="str">
        <f t="shared" si="16"/>
        <v/>
      </c>
      <c r="L146" s="28" t="str">
        <f t="shared" si="17"/>
        <v/>
      </c>
      <c r="M146" s="33" t="str">
        <f t="shared" si="18"/>
        <v/>
      </c>
      <c r="N146" s="16" t="str">
        <f>IF($A146="","",IF(I146&lt;&gt;"Đủ","Thiếu ảnh",IF(M146="","Chưa có số GPS",IF(ABS(M146)&gt;'THAM SỐ'!$B$30,"LỆCH DẦU","Đạt"))))</f>
        <v/>
      </c>
      <c r="O146" s="21" t="str">
        <f>IF(OR($A146="",G146="",COUNTIFS(B$4:B145,B146)=0),"",G146-_xlfn.MAXIFS(G$4:G145,B$4:B145,B146))</f>
        <v/>
      </c>
      <c r="P146" s="28" t="str">
        <f t="shared" si="19"/>
        <v/>
      </c>
    </row>
    <row r="147" spans="1:16" x14ac:dyDescent="0.45">
      <c r="A147" s="17"/>
      <c r="B147" s="18"/>
      <c r="C147" s="18"/>
      <c r="D147" s="18"/>
      <c r="E147" s="32"/>
      <c r="F147" s="19"/>
      <c r="G147" s="19"/>
      <c r="H147" s="32"/>
      <c r="I147" s="18"/>
      <c r="J147" s="18"/>
      <c r="K147" s="21" t="str">
        <f t="shared" si="16"/>
        <v/>
      </c>
      <c r="L147" s="28" t="str">
        <f t="shared" si="17"/>
        <v/>
      </c>
      <c r="M147" s="33" t="str">
        <f t="shared" si="18"/>
        <v/>
      </c>
      <c r="N147" s="16" t="str">
        <f>IF($A147="","",IF(I147&lt;&gt;"Đủ","Thiếu ảnh",IF(M147="","Chưa có số GPS",IF(ABS(M147)&gt;'THAM SỐ'!$B$30,"LỆCH DẦU","Đạt"))))</f>
        <v/>
      </c>
      <c r="O147" s="21" t="str">
        <f>IF(OR($A147="",G147="",COUNTIFS(B$4:B146,B147)=0),"",G147-_xlfn.MAXIFS(G$4:G146,B$4:B146,B147))</f>
        <v/>
      </c>
      <c r="P147" s="28" t="str">
        <f t="shared" si="19"/>
        <v/>
      </c>
    </row>
    <row r="148" spans="1:16" x14ac:dyDescent="0.45">
      <c r="A148" s="17"/>
      <c r="B148" s="18"/>
      <c r="C148" s="18"/>
      <c r="D148" s="18"/>
      <c r="E148" s="32"/>
      <c r="F148" s="19"/>
      <c r="G148" s="19"/>
      <c r="H148" s="32"/>
      <c r="I148" s="18"/>
      <c r="J148" s="18"/>
      <c r="K148" s="21" t="str">
        <f t="shared" si="16"/>
        <v/>
      </c>
      <c r="L148" s="28" t="str">
        <f t="shared" si="17"/>
        <v/>
      </c>
      <c r="M148" s="33" t="str">
        <f t="shared" si="18"/>
        <v/>
      </c>
      <c r="N148" s="16" t="str">
        <f>IF($A148="","",IF(I148&lt;&gt;"Đủ","Thiếu ảnh",IF(M148="","Chưa có số GPS",IF(ABS(M148)&gt;'THAM SỐ'!$B$30,"LỆCH DẦU","Đạt"))))</f>
        <v/>
      </c>
      <c r="O148" s="21" t="str">
        <f>IF(OR($A148="",G148="",COUNTIFS(B$4:B147,B148)=0),"",G148-_xlfn.MAXIFS(G$4:G147,B$4:B147,B148))</f>
        <v/>
      </c>
      <c r="P148" s="28" t="str">
        <f t="shared" si="19"/>
        <v/>
      </c>
    </row>
    <row r="149" spans="1:16" x14ac:dyDescent="0.45">
      <c r="A149" s="17"/>
      <c r="B149" s="18"/>
      <c r="C149" s="18"/>
      <c r="D149" s="18"/>
      <c r="E149" s="32"/>
      <c r="F149" s="19"/>
      <c r="G149" s="19"/>
      <c r="H149" s="32"/>
      <c r="I149" s="18"/>
      <c r="J149" s="18"/>
      <c r="K149" s="21" t="str">
        <f t="shared" si="16"/>
        <v/>
      </c>
      <c r="L149" s="28" t="str">
        <f t="shared" si="17"/>
        <v/>
      </c>
      <c r="M149" s="33" t="str">
        <f t="shared" si="18"/>
        <v/>
      </c>
      <c r="N149" s="16" t="str">
        <f>IF($A149="","",IF(I149&lt;&gt;"Đủ","Thiếu ảnh",IF(M149="","Chưa có số GPS",IF(ABS(M149)&gt;'THAM SỐ'!$B$30,"LỆCH DẦU","Đạt"))))</f>
        <v/>
      </c>
      <c r="O149" s="21" t="str">
        <f>IF(OR($A149="",G149="",COUNTIFS(B$4:B148,B149)=0),"",G149-_xlfn.MAXIFS(G$4:G148,B$4:B148,B149))</f>
        <v/>
      </c>
      <c r="P149" s="28" t="str">
        <f t="shared" si="19"/>
        <v/>
      </c>
    </row>
    <row r="150" spans="1:16" x14ac:dyDescent="0.45">
      <c r="A150" s="17"/>
      <c r="B150" s="18"/>
      <c r="C150" s="18"/>
      <c r="D150" s="18"/>
      <c r="E150" s="32"/>
      <c r="F150" s="19"/>
      <c r="G150" s="19"/>
      <c r="H150" s="32"/>
      <c r="I150" s="18"/>
      <c r="J150" s="18"/>
      <c r="K150" s="21" t="str">
        <f t="shared" si="16"/>
        <v/>
      </c>
      <c r="L150" s="28" t="str">
        <f t="shared" si="17"/>
        <v/>
      </c>
      <c r="M150" s="33" t="str">
        <f t="shared" si="18"/>
        <v/>
      </c>
      <c r="N150" s="16" t="str">
        <f>IF($A150="","",IF(I150&lt;&gt;"Đủ","Thiếu ảnh",IF(M150="","Chưa có số GPS",IF(ABS(M150)&gt;'THAM SỐ'!$B$30,"LỆCH DẦU","Đạt"))))</f>
        <v/>
      </c>
      <c r="O150" s="21" t="str">
        <f>IF(OR($A150="",G150="",COUNTIFS(B$4:B149,B150)=0),"",G150-_xlfn.MAXIFS(G$4:G149,B$4:B149,B150))</f>
        <v/>
      </c>
      <c r="P150" s="28" t="str">
        <f t="shared" si="19"/>
        <v/>
      </c>
    </row>
    <row r="151" spans="1:16" x14ac:dyDescent="0.45">
      <c r="A151" s="17"/>
      <c r="B151" s="18"/>
      <c r="C151" s="18"/>
      <c r="D151" s="18"/>
      <c r="E151" s="32"/>
      <c r="F151" s="19"/>
      <c r="G151" s="19"/>
      <c r="H151" s="32"/>
      <c r="I151" s="18"/>
      <c r="J151" s="18"/>
      <c r="K151" s="21" t="str">
        <f t="shared" si="16"/>
        <v/>
      </c>
      <c r="L151" s="28" t="str">
        <f t="shared" si="17"/>
        <v/>
      </c>
      <c r="M151" s="33" t="str">
        <f t="shared" si="18"/>
        <v/>
      </c>
      <c r="N151" s="16" t="str">
        <f>IF($A151="","",IF(I151&lt;&gt;"Đủ","Thiếu ảnh",IF(M151="","Chưa có số GPS",IF(ABS(M151)&gt;'THAM SỐ'!$B$30,"LỆCH DẦU","Đạt"))))</f>
        <v/>
      </c>
      <c r="O151" s="21" t="str">
        <f>IF(OR($A151="",G151="",COUNTIFS(B$4:B150,B151)=0),"",G151-_xlfn.MAXIFS(G$4:G150,B$4:B150,B151))</f>
        <v/>
      </c>
      <c r="P151" s="28" t="str">
        <f t="shared" si="19"/>
        <v/>
      </c>
    </row>
    <row r="152" spans="1:16" x14ac:dyDescent="0.45">
      <c r="A152" s="17"/>
      <c r="B152" s="18"/>
      <c r="C152" s="18"/>
      <c r="D152" s="18"/>
      <c r="E152" s="32"/>
      <c r="F152" s="19"/>
      <c r="G152" s="19"/>
      <c r="H152" s="32"/>
      <c r="I152" s="18"/>
      <c r="J152" s="18"/>
      <c r="K152" s="21" t="str">
        <f t="shared" si="16"/>
        <v/>
      </c>
      <c r="L152" s="28" t="str">
        <f t="shared" si="17"/>
        <v/>
      </c>
      <c r="M152" s="33" t="str">
        <f t="shared" si="18"/>
        <v/>
      </c>
      <c r="N152" s="16" t="str">
        <f>IF($A152="","",IF(I152&lt;&gt;"Đủ","Thiếu ảnh",IF(M152="","Chưa có số GPS",IF(ABS(M152)&gt;'THAM SỐ'!$B$30,"LỆCH DẦU","Đạt"))))</f>
        <v/>
      </c>
      <c r="O152" s="21" t="str">
        <f>IF(OR($A152="",G152="",COUNTIFS(B$4:B151,B152)=0),"",G152-_xlfn.MAXIFS(G$4:G151,B$4:B151,B152))</f>
        <v/>
      </c>
      <c r="P152" s="28" t="str">
        <f t="shared" si="19"/>
        <v/>
      </c>
    </row>
    <row r="153" spans="1:16" x14ac:dyDescent="0.45">
      <c r="A153" s="17"/>
      <c r="B153" s="18"/>
      <c r="C153" s="18"/>
      <c r="D153" s="18"/>
      <c r="E153" s="32"/>
      <c r="F153" s="19"/>
      <c r="G153" s="19"/>
      <c r="H153" s="32"/>
      <c r="I153" s="18"/>
      <c r="J153" s="18"/>
      <c r="K153" s="21" t="str">
        <f t="shared" si="16"/>
        <v/>
      </c>
      <c r="L153" s="28" t="str">
        <f t="shared" si="17"/>
        <v/>
      </c>
      <c r="M153" s="33" t="str">
        <f t="shared" si="18"/>
        <v/>
      </c>
      <c r="N153" s="16" t="str">
        <f>IF($A153="","",IF(I153&lt;&gt;"Đủ","Thiếu ảnh",IF(M153="","Chưa có số GPS",IF(ABS(M153)&gt;'THAM SỐ'!$B$30,"LỆCH DẦU","Đạt"))))</f>
        <v/>
      </c>
      <c r="O153" s="21" t="str">
        <f>IF(OR($A153="",G153="",COUNTIFS(B$4:B152,B153)=0),"",G153-_xlfn.MAXIFS(G$4:G152,B$4:B152,B153))</f>
        <v/>
      </c>
      <c r="P153" s="28" t="str">
        <f t="shared" si="19"/>
        <v/>
      </c>
    </row>
    <row r="154" spans="1:16" x14ac:dyDescent="0.45">
      <c r="A154" s="17"/>
      <c r="B154" s="18"/>
      <c r="C154" s="18"/>
      <c r="D154" s="18"/>
      <c r="E154" s="32"/>
      <c r="F154" s="19"/>
      <c r="G154" s="19"/>
      <c r="H154" s="32"/>
      <c r="I154" s="18"/>
      <c r="J154" s="18"/>
      <c r="K154" s="21" t="str">
        <f t="shared" si="16"/>
        <v/>
      </c>
      <c r="L154" s="28" t="str">
        <f t="shared" si="17"/>
        <v/>
      </c>
      <c r="M154" s="33" t="str">
        <f t="shared" si="18"/>
        <v/>
      </c>
      <c r="N154" s="16" t="str">
        <f>IF($A154="","",IF(I154&lt;&gt;"Đủ","Thiếu ảnh",IF(M154="","Chưa có số GPS",IF(ABS(M154)&gt;'THAM SỐ'!$B$30,"LỆCH DẦU","Đạt"))))</f>
        <v/>
      </c>
      <c r="O154" s="21" t="str">
        <f>IF(OR($A154="",G154="",COUNTIFS(B$4:B153,B154)=0),"",G154-_xlfn.MAXIFS(G$4:G153,B$4:B153,B154))</f>
        <v/>
      </c>
      <c r="P154" s="28" t="str">
        <f t="shared" si="19"/>
        <v/>
      </c>
    </row>
    <row r="155" spans="1:16" x14ac:dyDescent="0.45">
      <c r="A155" s="17"/>
      <c r="B155" s="18"/>
      <c r="C155" s="18"/>
      <c r="D155" s="18"/>
      <c r="E155" s="32"/>
      <c r="F155" s="19"/>
      <c r="G155" s="19"/>
      <c r="H155" s="32"/>
      <c r="I155" s="18"/>
      <c r="J155" s="18"/>
      <c r="K155" s="21" t="str">
        <f t="shared" si="16"/>
        <v/>
      </c>
      <c r="L155" s="28" t="str">
        <f t="shared" si="17"/>
        <v/>
      </c>
      <c r="M155" s="33" t="str">
        <f t="shared" si="18"/>
        <v/>
      </c>
      <c r="N155" s="16" t="str">
        <f>IF($A155="","",IF(I155&lt;&gt;"Đủ","Thiếu ảnh",IF(M155="","Chưa có số GPS",IF(ABS(M155)&gt;'THAM SỐ'!$B$30,"LỆCH DẦU","Đạt"))))</f>
        <v/>
      </c>
      <c r="O155" s="21" t="str">
        <f>IF(OR($A155="",G155="",COUNTIFS(B$4:B154,B155)=0),"",G155-_xlfn.MAXIFS(G$4:G154,B$4:B154,B155))</f>
        <v/>
      </c>
      <c r="P155" s="28" t="str">
        <f t="shared" si="19"/>
        <v/>
      </c>
    </row>
    <row r="156" spans="1:16" x14ac:dyDescent="0.45">
      <c r="A156" s="17"/>
      <c r="B156" s="18"/>
      <c r="C156" s="18"/>
      <c r="D156" s="18"/>
      <c r="E156" s="32"/>
      <c r="F156" s="19"/>
      <c r="G156" s="19"/>
      <c r="H156" s="32"/>
      <c r="I156" s="18"/>
      <c r="J156" s="18"/>
      <c r="K156" s="21" t="str">
        <f t="shared" si="16"/>
        <v/>
      </c>
      <c r="L156" s="28" t="str">
        <f t="shared" si="17"/>
        <v/>
      </c>
      <c r="M156" s="33" t="str">
        <f t="shared" si="18"/>
        <v/>
      </c>
      <c r="N156" s="16" t="str">
        <f>IF($A156="","",IF(I156&lt;&gt;"Đủ","Thiếu ảnh",IF(M156="","Chưa có số GPS",IF(ABS(M156)&gt;'THAM SỐ'!$B$30,"LỆCH DẦU","Đạt"))))</f>
        <v/>
      </c>
      <c r="O156" s="21" t="str">
        <f>IF(OR($A156="",G156="",COUNTIFS(B$4:B155,B156)=0),"",G156-_xlfn.MAXIFS(G$4:G155,B$4:B155,B156))</f>
        <v/>
      </c>
      <c r="P156" s="28" t="str">
        <f t="shared" si="19"/>
        <v/>
      </c>
    </row>
    <row r="157" spans="1:16" x14ac:dyDescent="0.45">
      <c r="A157" s="17"/>
      <c r="B157" s="18"/>
      <c r="C157" s="18"/>
      <c r="D157" s="18"/>
      <c r="E157" s="32"/>
      <c r="F157" s="19"/>
      <c r="G157" s="19"/>
      <c r="H157" s="32"/>
      <c r="I157" s="18"/>
      <c r="J157" s="18"/>
      <c r="K157" s="21" t="str">
        <f t="shared" si="16"/>
        <v/>
      </c>
      <c r="L157" s="28" t="str">
        <f t="shared" si="17"/>
        <v/>
      </c>
      <c r="M157" s="33" t="str">
        <f t="shared" si="18"/>
        <v/>
      </c>
      <c r="N157" s="16" t="str">
        <f>IF($A157="","",IF(I157&lt;&gt;"Đủ","Thiếu ảnh",IF(M157="","Chưa có số GPS",IF(ABS(M157)&gt;'THAM SỐ'!$B$30,"LỆCH DẦU","Đạt"))))</f>
        <v/>
      </c>
      <c r="O157" s="21" t="str">
        <f>IF(OR($A157="",G157="",COUNTIFS(B$4:B156,B157)=0),"",G157-_xlfn.MAXIFS(G$4:G156,B$4:B156,B157))</f>
        <v/>
      </c>
      <c r="P157" s="28" t="str">
        <f t="shared" si="19"/>
        <v/>
      </c>
    </row>
    <row r="158" spans="1:16" x14ac:dyDescent="0.45">
      <c r="A158" s="17"/>
      <c r="B158" s="18"/>
      <c r="C158" s="18"/>
      <c r="D158" s="18"/>
      <c r="E158" s="32"/>
      <c r="F158" s="19"/>
      <c r="G158" s="19"/>
      <c r="H158" s="32"/>
      <c r="I158" s="18"/>
      <c r="J158" s="18"/>
      <c r="K158" s="21" t="str">
        <f t="shared" si="16"/>
        <v/>
      </c>
      <c r="L158" s="28" t="str">
        <f t="shared" si="17"/>
        <v/>
      </c>
      <c r="M158" s="33" t="str">
        <f t="shared" si="18"/>
        <v/>
      </c>
      <c r="N158" s="16" t="str">
        <f>IF($A158="","",IF(I158&lt;&gt;"Đủ","Thiếu ảnh",IF(M158="","Chưa có số GPS",IF(ABS(M158)&gt;'THAM SỐ'!$B$30,"LỆCH DẦU","Đạt"))))</f>
        <v/>
      </c>
      <c r="O158" s="21" t="str">
        <f>IF(OR($A158="",G158="",COUNTIFS(B$4:B157,B158)=0),"",G158-_xlfn.MAXIFS(G$4:G157,B$4:B157,B158))</f>
        <v/>
      </c>
      <c r="P158" s="28" t="str">
        <f t="shared" si="19"/>
        <v/>
      </c>
    </row>
    <row r="159" spans="1:16" x14ac:dyDescent="0.45">
      <c r="A159" s="17"/>
      <c r="B159" s="18"/>
      <c r="C159" s="18"/>
      <c r="D159" s="18"/>
      <c r="E159" s="32"/>
      <c r="F159" s="19"/>
      <c r="G159" s="19"/>
      <c r="H159" s="32"/>
      <c r="I159" s="18"/>
      <c r="J159" s="18"/>
      <c r="K159" s="21" t="str">
        <f t="shared" si="16"/>
        <v/>
      </c>
      <c r="L159" s="28" t="str">
        <f t="shared" si="17"/>
        <v/>
      </c>
      <c r="M159" s="33" t="str">
        <f t="shared" si="18"/>
        <v/>
      </c>
      <c r="N159" s="16" t="str">
        <f>IF($A159="","",IF(I159&lt;&gt;"Đủ","Thiếu ảnh",IF(M159="","Chưa có số GPS",IF(ABS(M159)&gt;'THAM SỐ'!$B$30,"LỆCH DẦU","Đạt"))))</f>
        <v/>
      </c>
      <c r="O159" s="21" t="str">
        <f>IF(OR($A159="",G159="",COUNTIFS(B$4:B158,B159)=0),"",G159-_xlfn.MAXIFS(G$4:G158,B$4:B158,B159))</f>
        <v/>
      </c>
      <c r="P159" s="28" t="str">
        <f t="shared" si="19"/>
        <v/>
      </c>
    </row>
    <row r="160" spans="1:16" x14ac:dyDescent="0.45">
      <c r="A160" s="17"/>
      <c r="B160" s="18"/>
      <c r="C160" s="18"/>
      <c r="D160" s="18"/>
      <c r="E160" s="32"/>
      <c r="F160" s="19"/>
      <c r="G160" s="19"/>
      <c r="H160" s="32"/>
      <c r="I160" s="18"/>
      <c r="J160" s="18"/>
      <c r="K160" s="21" t="str">
        <f t="shared" si="16"/>
        <v/>
      </c>
      <c r="L160" s="28" t="str">
        <f t="shared" si="17"/>
        <v/>
      </c>
      <c r="M160" s="33" t="str">
        <f t="shared" si="18"/>
        <v/>
      </c>
      <c r="N160" s="16" t="str">
        <f>IF($A160="","",IF(I160&lt;&gt;"Đủ","Thiếu ảnh",IF(M160="","Chưa có số GPS",IF(ABS(M160)&gt;'THAM SỐ'!$B$30,"LỆCH DẦU","Đạt"))))</f>
        <v/>
      </c>
      <c r="O160" s="21" t="str">
        <f>IF(OR($A160="",G160="",COUNTIFS(B$4:B159,B160)=0),"",G160-_xlfn.MAXIFS(G$4:G159,B$4:B159,B160))</f>
        <v/>
      </c>
      <c r="P160" s="28" t="str">
        <f t="shared" si="19"/>
        <v/>
      </c>
    </row>
    <row r="161" spans="1:16" x14ac:dyDescent="0.45">
      <c r="A161" s="17"/>
      <c r="B161" s="18"/>
      <c r="C161" s="18"/>
      <c r="D161" s="18"/>
      <c r="E161" s="32"/>
      <c r="F161" s="19"/>
      <c r="G161" s="19"/>
      <c r="H161" s="32"/>
      <c r="I161" s="18"/>
      <c r="J161" s="18"/>
      <c r="K161" s="21" t="str">
        <f t="shared" si="16"/>
        <v/>
      </c>
      <c r="L161" s="28" t="str">
        <f t="shared" si="17"/>
        <v/>
      </c>
      <c r="M161" s="33" t="str">
        <f t="shared" si="18"/>
        <v/>
      </c>
      <c r="N161" s="16" t="str">
        <f>IF($A161="","",IF(I161&lt;&gt;"Đủ","Thiếu ảnh",IF(M161="","Chưa có số GPS",IF(ABS(M161)&gt;'THAM SỐ'!$B$30,"LỆCH DẦU","Đạt"))))</f>
        <v/>
      </c>
      <c r="O161" s="21" t="str">
        <f>IF(OR($A161="",G161="",COUNTIFS(B$4:B160,B161)=0),"",G161-_xlfn.MAXIFS(G$4:G160,B$4:B160,B161))</f>
        <v/>
      </c>
      <c r="P161" s="28" t="str">
        <f t="shared" si="19"/>
        <v/>
      </c>
    </row>
    <row r="162" spans="1:16" x14ac:dyDescent="0.45">
      <c r="A162" s="17"/>
      <c r="B162" s="18"/>
      <c r="C162" s="18"/>
      <c r="D162" s="18"/>
      <c r="E162" s="32"/>
      <c r="F162" s="19"/>
      <c r="G162" s="19"/>
      <c r="H162" s="32"/>
      <c r="I162" s="18"/>
      <c r="J162" s="18"/>
      <c r="K162" s="21" t="str">
        <f t="shared" si="16"/>
        <v/>
      </c>
      <c r="L162" s="28" t="str">
        <f t="shared" si="17"/>
        <v/>
      </c>
      <c r="M162" s="33" t="str">
        <f t="shared" si="18"/>
        <v/>
      </c>
      <c r="N162" s="16" t="str">
        <f>IF($A162="","",IF(I162&lt;&gt;"Đủ","Thiếu ảnh",IF(M162="","Chưa có số GPS",IF(ABS(M162)&gt;'THAM SỐ'!$B$30,"LỆCH DẦU","Đạt"))))</f>
        <v/>
      </c>
      <c r="O162" s="21" t="str">
        <f>IF(OR($A162="",G162="",COUNTIFS(B$4:B161,B162)=0),"",G162-_xlfn.MAXIFS(G$4:G161,B$4:B161,B162))</f>
        <v/>
      </c>
      <c r="P162" s="28" t="str">
        <f t="shared" si="19"/>
        <v/>
      </c>
    </row>
    <row r="163" spans="1:16" x14ac:dyDescent="0.45">
      <c r="A163" s="17"/>
      <c r="B163" s="18"/>
      <c r="C163" s="18"/>
      <c r="D163" s="18"/>
      <c r="E163" s="32"/>
      <c r="F163" s="19"/>
      <c r="G163" s="19"/>
      <c r="H163" s="32"/>
      <c r="I163" s="18"/>
      <c r="J163" s="18"/>
      <c r="K163" s="21" t="str">
        <f t="shared" si="16"/>
        <v/>
      </c>
      <c r="L163" s="28" t="str">
        <f t="shared" si="17"/>
        <v/>
      </c>
      <c r="M163" s="33" t="str">
        <f t="shared" si="18"/>
        <v/>
      </c>
      <c r="N163" s="16" t="str">
        <f>IF($A163="","",IF(I163&lt;&gt;"Đủ","Thiếu ảnh",IF(M163="","Chưa có số GPS",IF(ABS(M163)&gt;'THAM SỐ'!$B$30,"LỆCH DẦU","Đạt"))))</f>
        <v/>
      </c>
      <c r="O163" s="21" t="str">
        <f>IF(OR($A163="",G163="",COUNTIFS(B$4:B162,B163)=0),"",G163-_xlfn.MAXIFS(G$4:G162,B$4:B162,B163))</f>
        <v/>
      </c>
      <c r="P163" s="28" t="str">
        <f t="shared" si="19"/>
        <v/>
      </c>
    </row>
    <row r="164" spans="1:16" x14ac:dyDescent="0.45">
      <c r="A164" s="17"/>
      <c r="B164" s="18"/>
      <c r="C164" s="18"/>
      <c r="D164" s="18"/>
      <c r="E164" s="32"/>
      <c r="F164" s="19"/>
      <c r="G164" s="19"/>
      <c r="H164" s="32"/>
      <c r="I164" s="18"/>
      <c r="J164" s="18"/>
      <c r="K164" s="21" t="str">
        <f t="shared" si="16"/>
        <v/>
      </c>
      <c r="L164" s="28" t="str">
        <f t="shared" si="17"/>
        <v/>
      </c>
      <c r="M164" s="33" t="str">
        <f t="shared" si="18"/>
        <v/>
      </c>
      <c r="N164" s="16" t="str">
        <f>IF($A164="","",IF(I164&lt;&gt;"Đủ","Thiếu ảnh",IF(M164="","Chưa có số GPS",IF(ABS(M164)&gt;'THAM SỐ'!$B$30,"LỆCH DẦU","Đạt"))))</f>
        <v/>
      </c>
      <c r="O164" s="21" t="str">
        <f>IF(OR($A164="",G164="",COUNTIFS(B$4:B163,B164)=0),"",G164-_xlfn.MAXIFS(G$4:G163,B$4:B163,B164))</f>
        <v/>
      </c>
      <c r="P164" s="28" t="str">
        <f t="shared" si="19"/>
        <v/>
      </c>
    </row>
    <row r="165" spans="1:16" x14ac:dyDescent="0.45">
      <c r="A165" s="17"/>
      <c r="B165" s="18"/>
      <c r="C165" s="18"/>
      <c r="D165" s="18"/>
      <c r="E165" s="32"/>
      <c r="F165" s="19"/>
      <c r="G165" s="19"/>
      <c r="H165" s="32"/>
      <c r="I165" s="18"/>
      <c r="J165" s="18"/>
      <c r="K165" s="21" t="str">
        <f t="shared" ref="K165:K196" si="20">IF(OR($A165="",E165="",F165=""),"",E165*F165)</f>
        <v/>
      </c>
      <c r="L165" s="28" t="str">
        <f t="shared" ref="L165:L196" si="21">IF(OR($A165="",E165="",H165=""),"",E165-H165)</f>
        <v/>
      </c>
      <c r="M165" s="33" t="str">
        <f t="shared" ref="M165:M196" si="22">IF(OR(L165="",N(E165)=0),"",L165/E165)</f>
        <v/>
      </c>
      <c r="N165" s="16" t="str">
        <f>IF($A165="","",IF(I165&lt;&gt;"Đủ","Thiếu ảnh",IF(M165="","Chưa có số GPS",IF(ABS(M165)&gt;'THAM SỐ'!$B$30,"LỆCH DẦU","Đạt"))))</f>
        <v/>
      </c>
      <c r="O165" s="21" t="str">
        <f>IF(OR($A165="",G165="",COUNTIFS(B$4:B164,B165)=0),"",G165-_xlfn.MAXIFS(G$4:G164,B$4:B164,B165))</f>
        <v/>
      </c>
      <c r="P165" s="28" t="str">
        <f t="shared" ref="P165:P196" si="23">IF(OR(O165="",N(O165)&lt;=0,E165=""),"",E165/O165*100)</f>
        <v/>
      </c>
    </row>
    <row r="166" spans="1:16" x14ac:dyDescent="0.45">
      <c r="A166" s="17"/>
      <c r="B166" s="18"/>
      <c r="C166" s="18"/>
      <c r="D166" s="18"/>
      <c r="E166" s="32"/>
      <c r="F166" s="19"/>
      <c r="G166" s="19"/>
      <c r="H166" s="32"/>
      <c r="I166" s="18"/>
      <c r="J166" s="18"/>
      <c r="K166" s="21" t="str">
        <f t="shared" si="20"/>
        <v/>
      </c>
      <c r="L166" s="28" t="str">
        <f t="shared" si="21"/>
        <v/>
      </c>
      <c r="M166" s="33" t="str">
        <f t="shared" si="22"/>
        <v/>
      </c>
      <c r="N166" s="16" t="str">
        <f>IF($A166="","",IF(I166&lt;&gt;"Đủ","Thiếu ảnh",IF(M166="","Chưa có số GPS",IF(ABS(M166)&gt;'THAM SỐ'!$B$30,"LỆCH DẦU","Đạt"))))</f>
        <v/>
      </c>
      <c r="O166" s="21" t="str">
        <f>IF(OR($A166="",G166="",COUNTIFS(B$4:B165,B166)=0),"",G166-_xlfn.MAXIFS(G$4:G165,B$4:B165,B166))</f>
        <v/>
      </c>
      <c r="P166" s="28" t="str">
        <f t="shared" si="23"/>
        <v/>
      </c>
    </row>
    <row r="167" spans="1:16" x14ac:dyDescent="0.45">
      <c r="A167" s="17"/>
      <c r="B167" s="18"/>
      <c r="C167" s="18"/>
      <c r="D167" s="18"/>
      <c r="E167" s="32"/>
      <c r="F167" s="19"/>
      <c r="G167" s="19"/>
      <c r="H167" s="32"/>
      <c r="I167" s="18"/>
      <c r="J167" s="18"/>
      <c r="K167" s="21" t="str">
        <f t="shared" si="20"/>
        <v/>
      </c>
      <c r="L167" s="28" t="str">
        <f t="shared" si="21"/>
        <v/>
      </c>
      <c r="M167" s="33" t="str">
        <f t="shared" si="22"/>
        <v/>
      </c>
      <c r="N167" s="16" t="str">
        <f>IF($A167="","",IF(I167&lt;&gt;"Đủ","Thiếu ảnh",IF(M167="","Chưa có số GPS",IF(ABS(M167)&gt;'THAM SỐ'!$B$30,"LỆCH DẦU","Đạt"))))</f>
        <v/>
      </c>
      <c r="O167" s="21" t="str">
        <f>IF(OR($A167="",G167="",COUNTIFS(B$4:B166,B167)=0),"",G167-_xlfn.MAXIFS(G$4:G166,B$4:B166,B167))</f>
        <v/>
      </c>
      <c r="P167" s="28" t="str">
        <f t="shared" si="23"/>
        <v/>
      </c>
    </row>
    <row r="168" spans="1:16" x14ac:dyDescent="0.45">
      <c r="A168" s="17"/>
      <c r="B168" s="18"/>
      <c r="C168" s="18"/>
      <c r="D168" s="18"/>
      <c r="E168" s="32"/>
      <c r="F168" s="19"/>
      <c r="G168" s="19"/>
      <c r="H168" s="32"/>
      <c r="I168" s="18"/>
      <c r="J168" s="18"/>
      <c r="K168" s="21" t="str">
        <f t="shared" si="20"/>
        <v/>
      </c>
      <c r="L168" s="28" t="str">
        <f t="shared" si="21"/>
        <v/>
      </c>
      <c r="M168" s="33" t="str">
        <f t="shared" si="22"/>
        <v/>
      </c>
      <c r="N168" s="16" t="str">
        <f>IF($A168="","",IF(I168&lt;&gt;"Đủ","Thiếu ảnh",IF(M168="","Chưa có số GPS",IF(ABS(M168)&gt;'THAM SỐ'!$B$30,"LỆCH DẦU","Đạt"))))</f>
        <v/>
      </c>
      <c r="O168" s="21" t="str">
        <f>IF(OR($A168="",G168="",COUNTIFS(B$4:B167,B168)=0),"",G168-_xlfn.MAXIFS(G$4:G167,B$4:B167,B168))</f>
        <v/>
      </c>
      <c r="P168" s="28" t="str">
        <f t="shared" si="23"/>
        <v/>
      </c>
    </row>
    <row r="169" spans="1:16" x14ac:dyDescent="0.45">
      <c r="A169" s="17"/>
      <c r="B169" s="18"/>
      <c r="C169" s="18"/>
      <c r="D169" s="18"/>
      <c r="E169" s="32"/>
      <c r="F169" s="19"/>
      <c r="G169" s="19"/>
      <c r="H169" s="32"/>
      <c r="I169" s="18"/>
      <c r="J169" s="18"/>
      <c r="K169" s="21" t="str">
        <f t="shared" si="20"/>
        <v/>
      </c>
      <c r="L169" s="28" t="str">
        <f t="shared" si="21"/>
        <v/>
      </c>
      <c r="M169" s="33" t="str">
        <f t="shared" si="22"/>
        <v/>
      </c>
      <c r="N169" s="16" t="str">
        <f>IF($A169="","",IF(I169&lt;&gt;"Đủ","Thiếu ảnh",IF(M169="","Chưa có số GPS",IF(ABS(M169)&gt;'THAM SỐ'!$B$30,"LỆCH DẦU","Đạt"))))</f>
        <v/>
      </c>
      <c r="O169" s="21" t="str">
        <f>IF(OR($A169="",G169="",COUNTIFS(B$4:B168,B169)=0),"",G169-_xlfn.MAXIFS(G$4:G168,B$4:B168,B169))</f>
        <v/>
      </c>
      <c r="P169" s="28" t="str">
        <f t="shared" si="23"/>
        <v/>
      </c>
    </row>
    <row r="170" spans="1:16" x14ac:dyDescent="0.45">
      <c r="A170" s="17"/>
      <c r="B170" s="18"/>
      <c r="C170" s="18"/>
      <c r="D170" s="18"/>
      <c r="E170" s="32"/>
      <c r="F170" s="19"/>
      <c r="G170" s="19"/>
      <c r="H170" s="32"/>
      <c r="I170" s="18"/>
      <c r="J170" s="18"/>
      <c r="K170" s="21" t="str">
        <f t="shared" si="20"/>
        <v/>
      </c>
      <c r="L170" s="28" t="str">
        <f t="shared" si="21"/>
        <v/>
      </c>
      <c r="M170" s="33" t="str">
        <f t="shared" si="22"/>
        <v/>
      </c>
      <c r="N170" s="16" t="str">
        <f>IF($A170="","",IF(I170&lt;&gt;"Đủ","Thiếu ảnh",IF(M170="","Chưa có số GPS",IF(ABS(M170)&gt;'THAM SỐ'!$B$30,"LỆCH DẦU","Đạt"))))</f>
        <v/>
      </c>
      <c r="O170" s="21" t="str">
        <f>IF(OR($A170="",G170="",COUNTIFS(B$4:B169,B170)=0),"",G170-_xlfn.MAXIFS(G$4:G169,B$4:B169,B170))</f>
        <v/>
      </c>
      <c r="P170" s="28" t="str">
        <f t="shared" si="23"/>
        <v/>
      </c>
    </row>
    <row r="171" spans="1:16" x14ac:dyDescent="0.45">
      <c r="A171" s="17"/>
      <c r="B171" s="18"/>
      <c r="C171" s="18"/>
      <c r="D171" s="18"/>
      <c r="E171" s="32"/>
      <c r="F171" s="19"/>
      <c r="G171" s="19"/>
      <c r="H171" s="32"/>
      <c r="I171" s="18"/>
      <c r="J171" s="18"/>
      <c r="K171" s="21" t="str">
        <f t="shared" si="20"/>
        <v/>
      </c>
      <c r="L171" s="28" t="str">
        <f t="shared" si="21"/>
        <v/>
      </c>
      <c r="M171" s="33" t="str">
        <f t="shared" si="22"/>
        <v/>
      </c>
      <c r="N171" s="16" t="str">
        <f>IF($A171="","",IF(I171&lt;&gt;"Đủ","Thiếu ảnh",IF(M171="","Chưa có số GPS",IF(ABS(M171)&gt;'THAM SỐ'!$B$30,"LỆCH DẦU","Đạt"))))</f>
        <v/>
      </c>
      <c r="O171" s="21" t="str">
        <f>IF(OR($A171="",G171="",COUNTIFS(B$4:B170,B171)=0),"",G171-_xlfn.MAXIFS(G$4:G170,B$4:B170,B171))</f>
        <v/>
      </c>
      <c r="P171" s="28" t="str">
        <f t="shared" si="23"/>
        <v/>
      </c>
    </row>
    <row r="172" spans="1:16" x14ac:dyDescent="0.45">
      <c r="A172" s="17"/>
      <c r="B172" s="18"/>
      <c r="C172" s="18"/>
      <c r="D172" s="18"/>
      <c r="E172" s="32"/>
      <c r="F172" s="19"/>
      <c r="G172" s="19"/>
      <c r="H172" s="32"/>
      <c r="I172" s="18"/>
      <c r="J172" s="18"/>
      <c r="K172" s="21" t="str">
        <f t="shared" si="20"/>
        <v/>
      </c>
      <c r="L172" s="28" t="str">
        <f t="shared" si="21"/>
        <v/>
      </c>
      <c r="M172" s="33" t="str">
        <f t="shared" si="22"/>
        <v/>
      </c>
      <c r="N172" s="16" t="str">
        <f>IF($A172="","",IF(I172&lt;&gt;"Đủ","Thiếu ảnh",IF(M172="","Chưa có số GPS",IF(ABS(M172)&gt;'THAM SỐ'!$B$30,"LỆCH DẦU","Đạt"))))</f>
        <v/>
      </c>
      <c r="O172" s="21" t="str">
        <f>IF(OR($A172="",G172="",COUNTIFS(B$4:B171,B172)=0),"",G172-_xlfn.MAXIFS(G$4:G171,B$4:B171,B172))</f>
        <v/>
      </c>
      <c r="P172" s="28" t="str">
        <f t="shared" si="23"/>
        <v/>
      </c>
    </row>
    <row r="173" spans="1:16" x14ac:dyDescent="0.45">
      <c r="A173" s="17"/>
      <c r="B173" s="18"/>
      <c r="C173" s="18"/>
      <c r="D173" s="18"/>
      <c r="E173" s="32"/>
      <c r="F173" s="19"/>
      <c r="G173" s="19"/>
      <c r="H173" s="32"/>
      <c r="I173" s="18"/>
      <c r="J173" s="18"/>
      <c r="K173" s="21" t="str">
        <f t="shared" si="20"/>
        <v/>
      </c>
      <c r="L173" s="28" t="str">
        <f t="shared" si="21"/>
        <v/>
      </c>
      <c r="M173" s="33" t="str">
        <f t="shared" si="22"/>
        <v/>
      </c>
      <c r="N173" s="16" t="str">
        <f>IF($A173="","",IF(I173&lt;&gt;"Đủ","Thiếu ảnh",IF(M173="","Chưa có số GPS",IF(ABS(M173)&gt;'THAM SỐ'!$B$30,"LỆCH DẦU","Đạt"))))</f>
        <v/>
      </c>
      <c r="O173" s="21" t="str">
        <f>IF(OR($A173="",G173="",COUNTIFS(B$4:B172,B173)=0),"",G173-_xlfn.MAXIFS(G$4:G172,B$4:B172,B173))</f>
        <v/>
      </c>
      <c r="P173" s="28" t="str">
        <f t="shared" si="23"/>
        <v/>
      </c>
    </row>
    <row r="174" spans="1:16" x14ac:dyDescent="0.45">
      <c r="A174" s="17"/>
      <c r="B174" s="18"/>
      <c r="C174" s="18"/>
      <c r="D174" s="18"/>
      <c r="E174" s="32"/>
      <c r="F174" s="19"/>
      <c r="G174" s="19"/>
      <c r="H174" s="32"/>
      <c r="I174" s="18"/>
      <c r="J174" s="18"/>
      <c r="K174" s="21" t="str">
        <f t="shared" si="20"/>
        <v/>
      </c>
      <c r="L174" s="28" t="str">
        <f t="shared" si="21"/>
        <v/>
      </c>
      <c r="M174" s="33" t="str">
        <f t="shared" si="22"/>
        <v/>
      </c>
      <c r="N174" s="16" t="str">
        <f>IF($A174="","",IF(I174&lt;&gt;"Đủ","Thiếu ảnh",IF(M174="","Chưa có số GPS",IF(ABS(M174)&gt;'THAM SỐ'!$B$30,"LỆCH DẦU","Đạt"))))</f>
        <v/>
      </c>
      <c r="O174" s="21" t="str">
        <f>IF(OR($A174="",G174="",COUNTIFS(B$4:B173,B174)=0),"",G174-_xlfn.MAXIFS(G$4:G173,B$4:B173,B174))</f>
        <v/>
      </c>
      <c r="P174" s="28" t="str">
        <f t="shared" si="23"/>
        <v/>
      </c>
    </row>
    <row r="175" spans="1:16" x14ac:dyDescent="0.45">
      <c r="A175" s="17"/>
      <c r="B175" s="18"/>
      <c r="C175" s="18"/>
      <c r="D175" s="18"/>
      <c r="E175" s="32"/>
      <c r="F175" s="19"/>
      <c r="G175" s="19"/>
      <c r="H175" s="32"/>
      <c r="I175" s="18"/>
      <c r="J175" s="18"/>
      <c r="K175" s="21" t="str">
        <f t="shared" si="20"/>
        <v/>
      </c>
      <c r="L175" s="28" t="str">
        <f t="shared" si="21"/>
        <v/>
      </c>
      <c r="M175" s="33" t="str">
        <f t="shared" si="22"/>
        <v/>
      </c>
      <c r="N175" s="16" t="str">
        <f>IF($A175="","",IF(I175&lt;&gt;"Đủ","Thiếu ảnh",IF(M175="","Chưa có số GPS",IF(ABS(M175)&gt;'THAM SỐ'!$B$30,"LỆCH DẦU","Đạt"))))</f>
        <v/>
      </c>
      <c r="O175" s="21" t="str">
        <f>IF(OR($A175="",G175="",COUNTIFS(B$4:B174,B175)=0),"",G175-_xlfn.MAXIFS(G$4:G174,B$4:B174,B175))</f>
        <v/>
      </c>
      <c r="P175" s="28" t="str">
        <f t="shared" si="23"/>
        <v/>
      </c>
    </row>
    <row r="176" spans="1:16" x14ac:dyDescent="0.45">
      <c r="A176" s="17"/>
      <c r="B176" s="18"/>
      <c r="C176" s="18"/>
      <c r="D176" s="18"/>
      <c r="E176" s="32"/>
      <c r="F176" s="19"/>
      <c r="G176" s="19"/>
      <c r="H176" s="32"/>
      <c r="I176" s="18"/>
      <c r="J176" s="18"/>
      <c r="K176" s="21" t="str">
        <f t="shared" si="20"/>
        <v/>
      </c>
      <c r="L176" s="28" t="str">
        <f t="shared" si="21"/>
        <v/>
      </c>
      <c r="M176" s="33" t="str">
        <f t="shared" si="22"/>
        <v/>
      </c>
      <c r="N176" s="16" t="str">
        <f>IF($A176="","",IF(I176&lt;&gt;"Đủ","Thiếu ảnh",IF(M176="","Chưa có số GPS",IF(ABS(M176)&gt;'THAM SỐ'!$B$30,"LỆCH DẦU","Đạt"))))</f>
        <v/>
      </c>
      <c r="O176" s="21" t="str">
        <f>IF(OR($A176="",G176="",COUNTIFS(B$4:B175,B176)=0),"",G176-_xlfn.MAXIFS(G$4:G175,B$4:B175,B176))</f>
        <v/>
      </c>
      <c r="P176" s="28" t="str">
        <f t="shared" si="23"/>
        <v/>
      </c>
    </row>
    <row r="177" spans="1:16" x14ac:dyDescent="0.45">
      <c r="A177" s="17"/>
      <c r="B177" s="18"/>
      <c r="C177" s="18"/>
      <c r="D177" s="18"/>
      <c r="E177" s="32"/>
      <c r="F177" s="19"/>
      <c r="G177" s="19"/>
      <c r="H177" s="32"/>
      <c r="I177" s="18"/>
      <c r="J177" s="18"/>
      <c r="K177" s="21" t="str">
        <f t="shared" si="20"/>
        <v/>
      </c>
      <c r="L177" s="28" t="str">
        <f t="shared" si="21"/>
        <v/>
      </c>
      <c r="M177" s="33" t="str">
        <f t="shared" si="22"/>
        <v/>
      </c>
      <c r="N177" s="16" t="str">
        <f>IF($A177="","",IF(I177&lt;&gt;"Đủ","Thiếu ảnh",IF(M177="","Chưa có số GPS",IF(ABS(M177)&gt;'THAM SỐ'!$B$30,"LỆCH DẦU","Đạt"))))</f>
        <v/>
      </c>
      <c r="O177" s="21" t="str">
        <f>IF(OR($A177="",G177="",COUNTIFS(B$4:B176,B177)=0),"",G177-_xlfn.MAXIFS(G$4:G176,B$4:B176,B177))</f>
        <v/>
      </c>
      <c r="P177" s="28" t="str">
        <f t="shared" si="23"/>
        <v/>
      </c>
    </row>
    <row r="178" spans="1:16" x14ac:dyDescent="0.45">
      <c r="A178" s="17"/>
      <c r="B178" s="18"/>
      <c r="C178" s="18"/>
      <c r="D178" s="18"/>
      <c r="E178" s="32"/>
      <c r="F178" s="19"/>
      <c r="G178" s="19"/>
      <c r="H178" s="32"/>
      <c r="I178" s="18"/>
      <c r="J178" s="18"/>
      <c r="K178" s="21" t="str">
        <f t="shared" si="20"/>
        <v/>
      </c>
      <c r="L178" s="28" t="str">
        <f t="shared" si="21"/>
        <v/>
      </c>
      <c r="M178" s="33" t="str">
        <f t="shared" si="22"/>
        <v/>
      </c>
      <c r="N178" s="16" t="str">
        <f>IF($A178="","",IF(I178&lt;&gt;"Đủ","Thiếu ảnh",IF(M178="","Chưa có số GPS",IF(ABS(M178)&gt;'THAM SỐ'!$B$30,"LỆCH DẦU","Đạt"))))</f>
        <v/>
      </c>
      <c r="O178" s="21" t="str">
        <f>IF(OR($A178="",G178="",COUNTIFS(B$4:B177,B178)=0),"",G178-_xlfn.MAXIFS(G$4:G177,B$4:B177,B178))</f>
        <v/>
      </c>
      <c r="P178" s="28" t="str">
        <f t="shared" si="23"/>
        <v/>
      </c>
    </row>
    <row r="179" spans="1:16" x14ac:dyDescent="0.45">
      <c r="A179" s="17"/>
      <c r="B179" s="18"/>
      <c r="C179" s="18"/>
      <c r="D179" s="18"/>
      <c r="E179" s="32"/>
      <c r="F179" s="19"/>
      <c r="G179" s="19"/>
      <c r="H179" s="32"/>
      <c r="I179" s="18"/>
      <c r="J179" s="18"/>
      <c r="K179" s="21" t="str">
        <f t="shared" si="20"/>
        <v/>
      </c>
      <c r="L179" s="28" t="str">
        <f t="shared" si="21"/>
        <v/>
      </c>
      <c r="M179" s="33" t="str">
        <f t="shared" si="22"/>
        <v/>
      </c>
      <c r="N179" s="16" t="str">
        <f>IF($A179="","",IF(I179&lt;&gt;"Đủ","Thiếu ảnh",IF(M179="","Chưa có số GPS",IF(ABS(M179)&gt;'THAM SỐ'!$B$30,"LỆCH DẦU","Đạt"))))</f>
        <v/>
      </c>
      <c r="O179" s="21" t="str">
        <f>IF(OR($A179="",G179="",COUNTIFS(B$4:B178,B179)=0),"",G179-_xlfn.MAXIFS(G$4:G178,B$4:B178,B179))</f>
        <v/>
      </c>
      <c r="P179" s="28" t="str">
        <f t="shared" si="23"/>
        <v/>
      </c>
    </row>
    <row r="180" spans="1:16" x14ac:dyDescent="0.45">
      <c r="A180" s="17"/>
      <c r="B180" s="18"/>
      <c r="C180" s="18"/>
      <c r="D180" s="18"/>
      <c r="E180" s="32"/>
      <c r="F180" s="19"/>
      <c r="G180" s="19"/>
      <c r="H180" s="32"/>
      <c r="I180" s="18"/>
      <c r="J180" s="18"/>
      <c r="K180" s="21" t="str">
        <f t="shared" si="20"/>
        <v/>
      </c>
      <c r="L180" s="28" t="str">
        <f t="shared" si="21"/>
        <v/>
      </c>
      <c r="M180" s="33" t="str">
        <f t="shared" si="22"/>
        <v/>
      </c>
      <c r="N180" s="16" t="str">
        <f>IF($A180="","",IF(I180&lt;&gt;"Đủ","Thiếu ảnh",IF(M180="","Chưa có số GPS",IF(ABS(M180)&gt;'THAM SỐ'!$B$30,"LỆCH DẦU","Đạt"))))</f>
        <v/>
      </c>
      <c r="O180" s="21" t="str">
        <f>IF(OR($A180="",G180="",COUNTIFS(B$4:B179,B180)=0),"",G180-_xlfn.MAXIFS(G$4:G179,B$4:B179,B180))</f>
        <v/>
      </c>
      <c r="P180" s="28" t="str">
        <f t="shared" si="23"/>
        <v/>
      </c>
    </row>
    <row r="181" spans="1:16" x14ac:dyDescent="0.45">
      <c r="A181" s="17"/>
      <c r="B181" s="18"/>
      <c r="C181" s="18"/>
      <c r="D181" s="18"/>
      <c r="E181" s="32"/>
      <c r="F181" s="19"/>
      <c r="G181" s="19"/>
      <c r="H181" s="32"/>
      <c r="I181" s="18"/>
      <c r="J181" s="18"/>
      <c r="K181" s="21" t="str">
        <f t="shared" si="20"/>
        <v/>
      </c>
      <c r="L181" s="28" t="str">
        <f t="shared" si="21"/>
        <v/>
      </c>
      <c r="M181" s="33" t="str">
        <f t="shared" si="22"/>
        <v/>
      </c>
      <c r="N181" s="16" t="str">
        <f>IF($A181="","",IF(I181&lt;&gt;"Đủ","Thiếu ảnh",IF(M181="","Chưa có số GPS",IF(ABS(M181)&gt;'THAM SỐ'!$B$30,"LỆCH DẦU","Đạt"))))</f>
        <v/>
      </c>
      <c r="O181" s="21" t="str">
        <f>IF(OR($A181="",G181="",COUNTIFS(B$4:B180,B181)=0),"",G181-_xlfn.MAXIFS(G$4:G180,B$4:B180,B181))</f>
        <v/>
      </c>
      <c r="P181" s="28" t="str">
        <f t="shared" si="23"/>
        <v/>
      </c>
    </row>
    <row r="182" spans="1:16" x14ac:dyDescent="0.45">
      <c r="A182" s="17"/>
      <c r="B182" s="18"/>
      <c r="C182" s="18"/>
      <c r="D182" s="18"/>
      <c r="E182" s="32"/>
      <c r="F182" s="19"/>
      <c r="G182" s="19"/>
      <c r="H182" s="32"/>
      <c r="I182" s="18"/>
      <c r="J182" s="18"/>
      <c r="K182" s="21" t="str">
        <f t="shared" si="20"/>
        <v/>
      </c>
      <c r="L182" s="28" t="str">
        <f t="shared" si="21"/>
        <v/>
      </c>
      <c r="M182" s="33" t="str">
        <f t="shared" si="22"/>
        <v/>
      </c>
      <c r="N182" s="16" t="str">
        <f>IF($A182="","",IF(I182&lt;&gt;"Đủ","Thiếu ảnh",IF(M182="","Chưa có số GPS",IF(ABS(M182)&gt;'THAM SỐ'!$B$30,"LỆCH DẦU","Đạt"))))</f>
        <v/>
      </c>
      <c r="O182" s="21" t="str">
        <f>IF(OR($A182="",G182="",COUNTIFS(B$4:B181,B182)=0),"",G182-_xlfn.MAXIFS(G$4:G181,B$4:B181,B182))</f>
        <v/>
      </c>
      <c r="P182" s="28" t="str">
        <f t="shared" si="23"/>
        <v/>
      </c>
    </row>
    <row r="183" spans="1:16" x14ac:dyDescent="0.45">
      <c r="A183" s="17"/>
      <c r="B183" s="18"/>
      <c r="C183" s="18"/>
      <c r="D183" s="18"/>
      <c r="E183" s="32"/>
      <c r="F183" s="19"/>
      <c r="G183" s="19"/>
      <c r="H183" s="32"/>
      <c r="I183" s="18"/>
      <c r="J183" s="18"/>
      <c r="K183" s="21" t="str">
        <f t="shared" si="20"/>
        <v/>
      </c>
      <c r="L183" s="28" t="str">
        <f t="shared" si="21"/>
        <v/>
      </c>
      <c r="M183" s="33" t="str">
        <f t="shared" si="22"/>
        <v/>
      </c>
      <c r="N183" s="16" t="str">
        <f>IF($A183="","",IF(I183&lt;&gt;"Đủ","Thiếu ảnh",IF(M183="","Chưa có số GPS",IF(ABS(M183)&gt;'THAM SỐ'!$B$30,"LỆCH DẦU","Đạt"))))</f>
        <v/>
      </c>
      <c r="O183" s="21" t="str">
        <f>IF(OR($A183="",G183="",COUNTIFS(B$4:B182,B183)=0),"",G183-_xlfn.MAXIFS(G$4:G182,B$4:B182,B183))</f>
        <v/>
      </c>
      <c r="P183" s="28" t="str">
        <f t="shared" si="23"/>
        <v/>
      </c>
    </row>
    <row r="184" spans="1:16" x14ac:dyDescent="0.45">
      <c r="A184" s="17"/>
      <c r="B184" s="18"/>
      <c r="C184" s="18"/>
      <c r="D184" s="18"/>
      <c r="E184" s="32"/>
      <c r="F184" s="19"/>
      <c r="G184" s="19"/>
      <c r="H184" s="32"/>
      <c r="I184" s="18"/>
      <c r="J184" s="18"/>
      <c r="K184" s="21" t="str">
        <f t="shared" si="20"/>
        <v/>
      </c>
      <c r="L184" s="28" t="str">
        <f t="shared" si="21"/>
        <v/>
      </c>
      <c r="M184" s="33" t="str">
        <f t="shared" si="22"/>
        <v/>
      </c>
      <c r="N184" s="16" t="str">
        <f>IF($A184="","",IF(I184&lt;&gt;"Đủ","Thiếu ảnh",IF(M184="","Chưa có số GPS",IF(ABS(M184)&gt;'THAM SỐ'!$B$30,"LỆCH DẦU","Đạt"))))</f>
        <v/>
      </c>
      <c r="O184" s="21" t="str">
        <f>IF(OR($A184="",G184="",COUNTIFS(B$4:B183,B184)=0),"",G184-_xlfn.MAXIFS(G$4:G183,B$4:B183,B184))</f>
        <v/>
      </c>
      <c r="P184" s="28" t="str">
        <f t="shared" si="23"/>
        <v/>
      </c>
    </row>
    <row r="185" spans="1:16" x14ac:dyDescent="0.45">
      <c r="A185" s="17"/>
      <c r="B185" s="18"/>
      <c r="C185" s="18"/>
      <c r="D185" s="18"/>
      <c r="E185" s="32"/>
      <c r="F185" s="19"/>
      <c r="G185" s="19"/>
      <c r="H185" s="32"/>
      <c r="I185" s="18"/>
      <c r="J185" s="18"/>
      <c r="K185" s="21" t="str">
        <f t="shared" si="20"/>
        <v/>
      </c>
      <c r="L185" s="28" t="str">
        <f t="shared" si="21"/>
        <v/>
      </c>
      <c r="M185" s="33" t="str">
        <f t="shared" si="22"/>
        <v/>
      </c>
      <c r="N185" s="16" t="str">
        <f>IF($A185="","",IF(I185&lt;&gt;"Đủ","Thiếu ảnh",IF(M185="","Chưa có số GPS",IF(ABS(M185)&gt;'THAM SỐ'!$B$30,"LỆCH DẦU","Đạt"))))</f>
        <v/>
      </c>
      <c r="O185" s="21" t="str">
        <f>IF(OR($A185="",G185="",COUNTIFS(B$4:B184,B185)=0),"",G185-_xlfn.MAXIFS(G$4:G184,B$4:B184,B185))</f>
        <v/>
      </c>
      <c r="P185" s="28" t="str">
        <f t="shared" si="23"/>
        <v/>
      </c>
    </row>
    <row r="186" spans="1:16" x14ac:dyDescent="0.45">
      <c r="A186" s="17"/>
      <c r="B186" s="18"/>
      <c r="C186" s="18"/>
      <c r="D186" s="18"/>
      <c r="E186" s="32"/>
      <c r="F186" s="19"/>
      <c r="G186" s="19"/>
      <c r="H186" s="32"/>
      <c r="I186" s="18"/>
      <c r="J186" s="18"/>
      <c r="K186" s="21" t="str">
        <f t="shared" si="20"/>
        <v/>
      </c>
      <c r="L186" s="28" t="str">
        <f t="shared" si="21"/>
        <v/>
      </c>
      <c r="M186" s="33" t="str">
        <f t="shared" si="22"/>
        <v/>
      </c>
      <c r="N186" s="16" t="str">
        <f>IF($A186="","",IF(I186&lt;&gt;"Đủ","Thiếu ảnh",IF(M186="","Chưa có số GPS",IF(ABS(M186)&gt;'THAM SỐ'!$B$30,"LỆCH DẦU","Đạt"))))</f>
        <v/>
      </c>
      <c r="O186" s="21" t="str">
        <f>IF(OR($A186="",G186="",COUNTIFS(B$4:B185,B186)=0),"",G186-_xlfn.MAXIFS(G$4:G185,B$4:B185,B186))</f>
        <v/>
      </c>
      <c r="P186" s="28" t="str">
        <f t="shared" si="23"/>
        <v/>
      </c>
    </row>
    <row r="187" spans="1:16" x14ac:dyDescent="0.45">
      <c r="A187" s="17"/>
      <c r="B187" s="18"/>
      <c r="C187" s="18"/>
      <c r="D187" s="18"/>
      <c r="E187" s="32"/>
      <c r="F187" s="19"/>
      <c r="G187" s="19"/>
      <c r="H187" s="32"/>
      <c r="I187" s="18"/>
      <c r="J187" s="18"/>
      <c r="K187" s="21" t="str">
        <f t="shared" si="20"/>
        <v/>
      </c>
      <c r="L187" s="28" t="str">
        <f t="shared" si="21"/>
        <v/>
      </c>
      <c r="M187" s="33" t="str">
        <f t="shared" si="22"/>
        <v/>
      </c>
      <c r="N187" s="16" t="str">
        <f>IF($A187="","",IF(I187&lt;&gt;"Đủ","Thiếu ảnh",IF(M187="","Chưa có số GPS",IF(ABS(M187)&gt;'THAM SỐ'!$B$30,"LỆCH DẦU","Đạt"))))</f>
        <v/>
      </c>
      <c r="O187" s="21" t="str">
        <f>IF(OR($A187="",G187="",COUNTIFS(B$4:B186,B187)=0),"",G187-_xlfn.MAXIFS(G$4:G186,B$4:B186,B187))</f>
        <v/>
      </c>
      <c r="P187" s="28" t="str">
        <f t="shared" si="23"/>
        <v/>
      </c>
    </row>
    <row r="188" spans="1:16" x14ac:dyDescent="0.45">
      <c r="A188" s="17"/>
      <c r="B188" s="18"/>
      <c r="C188" s="18"/>
      <c r="D188" s="18"/>
      <c r="E188" s="32"/>
      <c r="F188" s="19"/>
      <c r="G188" s="19"/>
      <c r="H188" s="32"/>
      <c r="I188" s="18"/>
      <c r="J188" s="18"/>
      <c r="K188" s="21" t="str">
        <f t="shared" si="20"/>
        <v/>
      </c>
      <c r="L188" s="28" t="str">
        <f t="shared" si="21"/>
        <v/>
      </c>
      <c r="M188" s="33" t="str">
        <f t="shared" si="22"/>
        <v/>
      </c>
      <c r="N188" s="16" t="str">
        <f>IF($A188="","",IF(I188&lt;&gt;"Đủ","Thiếu ảnh",IF(M188="","Chưa có số GPS",IF(ABS(M188)&gt;'THAM SỐ'!$B$30,"LỆCH DẦU","Đạt"))))</f>
        <v/>
      </c>
      <c r="O188" s="21" t="str">
        <f>IF(OR($A188="",G188="",COUNTIFS(B$4:B187,B188)=0),"",G188-_xlfn.MAXIFS(G$4:G187,B$4:B187,B188))</f>
        <v/>
      </c>
      <c r="P188" s="28" t="str">
        <f t="shared" si="23"/>
        <v/>
      </c>
    </row>
    <row r="189" spans="1:16" x14ac:dyDescent="0.45">
      <c r="A189" s="17"/>
      <c r="B189" s="18"/>
      <c r="C189" s="18"/>
      <c r="D189" s="18"/>
      <c r="E189" s="32"/>
      <c r="F189" s="19"/>
      <c r="G189" s="19"/>
      <c r="H189" s="32"/>
      <c r="I189" s="18"/>
      <c r="J189" s="18"/>
      <c r="K189" s="21" t="str">
        <f t="shared" si="20"/>
        <v/>
      </c>
      <c r="L189" s="28" t="str">
        <f t="shared" si="21"/>
        <v/>
      </c>
      <c r="M189" s="33" t="str">
        <f t="shared" si="22"/>
        <v/>
      </c>
      <c r="N189" s="16" t="str">
        <f>IF($A189="","",IF(I189&lt;&gt;"Đủ","Thiếu ảnh",IF(M189="","Chưa có số GPS",IF(ABS(M189)&gt;'THAM SỐ'!$B$30,"LỆCH DẦU","Đạt"))))</f>
        <v/>
      </c>
      <c r="O189" s="21" t="str">
        <f>IF(OR($A189="",G189="",COUNTIFS(B$4:B188,B189)=0),"",G189-_xlfn.MAXIFS(G$4:G188,B$4:B188,B189))</f>
        <v/>
      </c>
      <c r="P189" s="28" t="str">
        <f t="shared" si="23"/>
        <v/>
      </c>
    </row>
    <row r="190" spans="1:16" x14ac:dyDescent="0.45">
      <c r="A190" s="17"/>
      <c r="B190" s="18"/>
      <c r="C190" s="18"/>
      <c r="D190" s="18"/>
      <c r="E190" s="32"/>
      <c r="F190" s="19"/>
      <c r="G190" s="19"/>
      <c r="H190" s="32"/>
      <c r="I190" s="18"/>
      <c r="J190" s="18"/>
      <c r="K190" s="21" t="str">
        <f t="shared" si="20"/>
        <v/>
      </c>
      <c r="L190" s="28" t="str">
        <f t="shared" si="21"/>
        <v/>
      </c>
      <c r="M190" s="33" t="str">
        <f t="shared" si="22"/>
        <v/>
      </c>
      <c r="N190" s="16" t="str">
        <f>IF($A190="","",IF(I190&lt;&gt;"Đủ","Thiếu ảnh",IF(M190="","Chưa có số GPS",IF(ABS(M190)&gt;'THAM SỐ'!$B$30,"LỆCH DẦU","Đạt"))))</f>
        <v/>
      </c>
      <c r="O190" s="21" t="str">
        <f>IF(OR($A190="",G190="",COUNTIFS(B$4:B189,B190)=0),"",G190-_xlfn.MAXIFS(G$4:G189,B$4:B189,B190))</f>
        <v/>
      </c>
      <c r="P190" s="28" t="str">
        <f t="shared" si="23"/>
        <v/>
      </c>
    </row>
    <row r="191" spans="1:16" x14ac:dyDescent="0.45">
      <c r="A191" s="17"/>
      <c r="B191" s="18"/>
      <c r="C191" s="18"/>
      <c r="D191" s="18"/>
      <c r="E191" s="32"/>
      <c r="F191" s="19"/>
      <c r="G191" s="19"/>
      <c r="H191" s="32"/>
      <c r="I191" s="18"/>
      <c r="J191" s="18"/>
      <c r="K191" s="21" t="str">
        <f t="shared" si="20"/>
        <v/>
      </c>
      <c r="L191" s="28" t="str">
        <f t="shared" si="21"/>
        <v/>
      </c>
      <c r="M191" s="33" t="str">
        <f t="shared" si="22"/>
        <v/>
      </c>
      <c r="N191" s="16" t="str">
        <f>IF($A191="","",IF(I191&lt;&gt;"Đủ","Thiếu ảnh",IF(M191="","Chưa có số GPS",IF(ABS(M191)&gt;'THAM SỐ'!$B$30,"LỆCH DẦU","Đạt"))))</f>
        <v/>
      </c>
      <c r="O191" s="21" t="str">
        <f>IF(OR($A191="",G191="",COUNTIFS(B$4:B190,B191)=0),"",G191-_xlfn.MAXIFS(G$4:G190,B$4:B190,B191))</f>
        <v/>
      </c>
      <c r="P191" s="28" t="str">
        <f t="shared" si="23"/>
        <v/>
      </c>
    </row>
    <row r="192" spans="1:16" x14ac:dyDescent="0.45">
      <c r="A192" s="17"/>
      <c r="B192" s="18"/>
      <c r="C192" s="18"/>
      <c r="D192" s="18"/>
      <c r="E192" s="32"/>
      <c r="F192" s="19"/>
      <c r="G192" s="19"/>
      <c r="H192" s="32"/>
      <c r="I192" s="18"/>
      <c r="J192" s="18"/>
      <c r="K192" s="21" t="str">
        <f t="shared" si="20"/>
        <v/>
      </c>
      <c r="L192" s="28" t="str">
        <f t="shared" si="21"/>
        <v/>
      </c>
      <c r="M192" s="33" t="str">
        <f t="shared" si="22"/>
        <v/>
      </c>
      <c r="N192" s="16" t="str">
        <f>IF($A192="","",IF(I192&lt;&gt;"Đủ","Thiếu ảnh",IF(M192="","Chưa có số GPS",IF(ABS(M192)&gt;'THAM SỐ'!$B$30,"LỆCH DẦU","Đạt"))))</f>
        <v/>
      </c>
      <c r="O192" s="21" t="str">
        <f>IF(OR($A192="",G192="",COUNTIFS(B$4:B191,B192)=0),"",G192-_xlfn.MAXIFS(G$4:G191,B$4:B191,B192))</f>
        <v/>
      </c>
      <c r="P192" s="28" t="str">
        <f t="shared" si="23"/>
        <v/>
      </c>
    </row>
    <row r="193" spans="1:16" x14ac:dyDescent="0.45">
      <c r="A193" s="17"/>
      <c r="B193" s="18"/>
      <c r="C193" s="18"/>
      <c r="D193" s="18"/>
      <c r="E193" s="32"/>
      <c r="F193" s="19"/>
      <c r="G193" s="19"/>
      <c r="H193" s="32"/>
      <c r="I193" s="18"/>
      <c r="J193" s="18"/>
      <c r="K193" s="21" t="str">
        <f t="shared" si="20"/>
        <v/>
      </c>
      <c r="L193" s="28" t="str">
        <f t="shared" si="21"/>
        <v/>
      </c>
      <c r="M193" s="33" t="str">
        <f t="shared" si="22"/>
        <v/>
      </c>
      <c r="N193" s="16" t="str">
        <f>IF($A193="","",IF(I193&lt;&gt;"Đủ","Thiếu ảnh",IF(M193="","Chưa có số GPS",IF(ABS(M193)&gt;'THAM SỐ'!$B$30,"LỆCH DẦU","Đạt"))))</f>
        <v/>
      </c>
      <c r="O193" s="21" t="str">
        <f>IF(OR($A193="",G193="",COUNTIFS(B$4:B192,B193)=0),"",G193-_xlfn.MAXIFS(G$4:G192,B$4:B192,B193))</f>
        <v/>
      </c>
      <c r="P193" s="28" t="str">
        <f t="shared" si="23"/>
        <v/>
      </c>
    </row>
    <row r="194" spans="1:16" x14ac:dyDescent="0.45">
      <c r="A194" s="17"/>
      <c r="B194" s="18"/>
      <c r="C194" s="18"/>
      <c r="D194" s="18"/>
      <c r="E194" s="32"/>
      <c r="F194" s="19"/>
      <c r="G194" s="19"/>
      <c r="H194" s="32"/>
      <c r="I194" s="18"/>
      <c r="J194" s="18"/>
      <c r="K194" s="21" t="str">
        <f t="shared" si="20"/>
        <v/>
      </c>
      <c r="L194" s="28" t="str">
        <f t="shared" si="21"/>
        <v/>
      </c>
      <c r="M194" s="33" t="str">
        <f t="shared" si="22"/>
        <v/>
      </c>
      <c r="N194" s="16" t="str">
        <f>IF($A194="","",IF(I194&lt;&gt;"Đủ","Thiếu ảnh",IF(M194="","Chưa có số GPS",IF(ABS(M194)&gt;'THAM SỐ'!$B$30,"LỆCH DẦU","Đạt"))))</f>
        <v/>
      </c>
      <c r="O194" s="21" t="str">
        <f>IF(OR($A194="",G194="",COUNTIFS(B$4:B193,B194)=0),"",G194-_xlfn.MAXIFS(G$4:G193,B$4:B193,B194))</f>
        <v/>
      </c>
      <c r="P194" s="28" t="str">
        <f t="shared" si="23"/>
        <v/>
      </c>
    </row>
    <row r="195" spans="1:16" x14ac:dyDescent="0.45">
      <c r="A195" s="17"/>
      <c r="B195" s="18"/>
      <c r="C195" s="18"/>
      <c r="D195" s="18"/>
      <c r="E195" s="32"/>
      <c r="F195" s="19"/>
      <c r="G195" s="19"/>
      <c r="H195" s="32"/>
      <c r="I195" s="18"/>
      <c r="J195" s="18"/>
      <c r="K195" s="21" t="str">
        <f t="shared" si="20"/>
        <v/>
      </c>
      <c r="L195" s="28" t="str">
        <f t="shared" si="21"/>
        <v/>
      </c>
      <c r="M195" s="33" t="str">
        <f t="shared" si="22"/>
        <v/>
      </c>
      <c r="N195" s="16" t="str">
        <f>IF($A195="","",IF(I195&lt;&gt;"Đủ","Thiếu ảnh",IF(M195="","Chưa có số GPS",IF(ABS(M195)&gt;'THAM SỐ'!$B$30,"LỆCH DẦU","Đạt"))))</f>
        <v/>
      </c>
      <c r="O195" s="21" t="str">
        <f>IF(OR($A195="",G195="",COUNTIFS(B$4:B194,B195)=0),"",G195-_xlfn.MAXIFS(G$4:G194,B$4:B194,B195))</f>
        <v/>
      </c>
      <c r="P195" s="28" t="str">
        <f t="shared" si="23"/>
        <v/>
      </c>
    </row>
    <row r="196" spans="1:16" x14ac:dyDescent="0.45">
      <c r="A196" s="17"/>
      <c r="B196" s="18"/>
      <c r="C196" s="18"/>
      <c r="D196" s="18"/>
      <c r="E196" s="32"/>
      <c r="F196" s="19"/>
      <c r="G196" s="19"/>
      <c r="H196" s="32"/>
      <c r="I196" s="18"/>
      <c r="J196" s="18"/>
      <c r="K196" s="21" t="str">
        <f t="shared" si="20"/>
        <v/>
      </c>
      <c r="L196" s="28" t="str">
        <f t="shared" si="21"/>
        <v/>
      </c>
      <c r="M196" s="33" t="str">
        <f t="shared" si="22"/>
        <v/>
      </c>
      <c r="N196" s="16" t="str">
        <f>IF($A196="","",IF(I196&lt;&gt;"Đủ","Thiếu ảnh",IF(M196="","Chưa có số GPS",IF(ABS(M196)&gt;'THAM SỐ'!$B$30,"LỆCH DẦU","Đạt"))))</f>
        <v/>
      </c>
      <c r="O196" s="21" t="str">
        <f>IF(OR($A196="",G196="",COUNTIFS(B$4:B195,B196)=0),"",G196-_xlfn.MAXIFS(G$4:G195,B$4:B195,B196))</f>
        <v/>
      </c>
      <c r="P196" s="28" t="str">
        <f t="shared" si="23"/>
        <v/>
      </c>
    </row>
    <row r="197" spans="1:16" x14ac:dyDescent="0.45">
      <c r="A197" s="17"/>
      <c r="B197" s="18"/>
      <c r="C197" s="18"/>
      <c r="D197" s="18"/>
      <c r="E197" s="32"/>
      <c r="F197" s="19"/>
      <c r="G197" s="19"/>
      <c r="H197" s="32"/>
      <c r="I197" s="18"/>
      <c r="J197" s="18"/>
      <c r="K197" s="21" t="str">
        <f t="shared" ref="K197:K204" si="24">IF(OR($A197="",E197="",F197=""),"",E197*F197)</f>
        <v/>
      </c>
      <c r="L197" s="28" t="str">
        <f t="shared" ref="L197:L204" si="25">IF(OR($A197="",E197="",H197=""),"",E197-H197)</f>
        <v/>
      </c>
      <c r="M197" s="33" t="str">
        <f t="shared" ref="M197:M228" si="26">IF(OR(L197="",N(E197)=0),"",L197/E197)</f>
        <v/>
      </c>
      <c r="N197" s="16" t="str">
        <f>IF($A197="","",IF(I197&lt;&gt;"Đủ","Thiếu ảnh",IF(M197="","Chưa có số GPS",IF(ABS(M197)&gt;'THAM SỐ'!$B$30,"LỆCH DẦU","Đạt"))))</f>
        <v/>
      </c>
      <c r="O197" s="21" t="str">
        <f>IF(OR($A197="",G197="",COUNTIFS(B$4:B196,B197)=0),"",G197-_xlfn.MAXIFS(G$4:G196,B$4:B196,B197))</f>
        <v/>
      </c>
      <c r="P197" s="28" t="str">
        <f t="shared" ref="P197:P228" si="27">IF(OR(O197="",N(O197)&lt;=0,E197=""),"",E197/O197*100)</f>
        <v/>
      </c>
    </row>
    <row r="198" spans="1:16" x14ac:dyDescent="0.45">
      <c r="A198" s="17"/>
      <c r="B198" s="18"/>
      <c r="C198" s="18"/>
      <c r="D198" s="18"/>
      <c r="E198" s="32"/>
      <c r="F198" s="19"/>
      <c r="G198" s="19"/>
      <c r="H198" s="32"/>
      <c r="I198" s="18"/>
      <c r="J198" s="18"/>
      <c r="K198" s="21" t="str">
        <f t="shared" si="24"/>
        <v/>
      </c>
      <c r="L198" s="28" t="str">
        <f t="shared" si="25"/>
        <v/>
      </c>
      <c r="M198" s="33" t="str">
        <f t="shared" si="26"/>
        <v/>
      </c>
      <c r="N198" s="16" t="str">
        <f>IF($A198="","",IF(I198&lt;&gt;"Đủ","Thiếu ảnh",IF(M198="","Chưa có số GPS",IF(ABS(M198)&gt;'THAM SỐ'!$B$30,"LỆCH DẦU","Đạt"))))</f>
        <v/>
      </c>
      <c r="O198" s="21" t="str">
        <f>IF(OR($A198="",G198="",COUNTIFS(B$4:B197,B198)=0),"",G198-_xlfn.MAXIFS(G$4:G197,B$4:B197,B198))</f>
        <v/>
      </c>
      <c r="P198" s="28" t="str">
        <f t="shared" si="27"/>
        <v/>
      </c>
    </row>
    <row r="199" spans="1:16" x14ac:dyDescent="0.45">
      <c r="A199" s="17"/>
      <c r="B199" s="18"/>
      <c r="C199" s="18"/>
      <c r="D199" s="18"/>
      <c r="E199" s="32"/>
      <c r="F199" s="19"/>
      <c r="G199" s="19"/>
      <c r="H199" s="32"/>
      <c r="I199" s="18"/>
      <c r="J199" s="18"/>
      <c r="K199" s="21" t="str">
        <f t="shared" si="24"/>
        <v/>
      </c>
      <c r="L199" s="28" t="str">
        <f t="shared" si="25"/>
        <v/>
      </c>
      <c r="M199" s="33" t="str">
        <f t="shared" si="26"/>
        <v/>
      </c>
      <c r="N199" s="16" t="str">
        <f>IF($A199="","",IF(I199&lt;&gt;"Đủ","Thiếu ảnh",IF(M199="","Chưa có số GPS",IF(ABS(M199)&gt;'THAM SỐ'!$B$30,"LỆCH DẦU","Đạt"))))</f>
        <v/>
      </c>
      <c r="O199" s="21" t="str">
        <f>IF(OR($A199="",G199="",COUNTIFS(B$4:B198,B199)=0),"",G199-_xlfn.MAXIFS(G$4:G198,B$4:B198,B199))</f>
        <v/>
      </c>
      <c r="P199" s="28" t="str">
        <f t="shared" si="27"/>
        <v/>
      </c>
    </row>
    <row r="200" spans="1:16" x14ac:dyDescent="0.45">
      <c r="A200" s="17"/>
      <c r="B200" s="18"/>
      <c r="C200" s="18"/>
      <c r="D200" s="18"/>
      <c r="E200" s="32"/>
      <c r="F200" s="19"/>
      <c r="G200" s="19"/>
      <c r="H200" s="32"/>
      <c r="I200" s="18"/>
      <c r="J200" s="18"/>
      <c r="K200" s="21" t="str">
        <f t="shared" si="24"/>
        <v/>
      </c>
      <c r="L200" s="28" t="str">
        <f t="shared" si="25"/>
        <v/>
      </c>
      <c r="M200" s="33" t="str">
        <f t="shared" si="26"/>
        <v/>
      </c>
      <c r="N200" s="16" t="str">
        <f>IF($A200="","",IF(I200&lt;&gt;"Đủ","Thiếu ảnh",IF(M200="","Chưa có số GPS",IF(ABS(M200)&gt;'THAM SỐ'!$B$30,"LỆCH DẦU","Đạt"))))</f>
        <v/>
      </c>
      <c r="O200" s="21" t="str">
        <f>IF(OR($A200="",G200="",COUNTIFS(B$4:B199,B200)=0),"",G200-_xlfn.MAXIFS(G$4:G199,B$4:B199,B200))</f>
        <v/>
      </c>
      <c r="P200" s="28" t="str">
        <f t="shared" si="27"/>
        <v/>
      </c>
    </row>
    <row r="201" spans="1:16" x14ac:dyDescent="0.45">
      <c r="A201" s="17"/>
      <c r="B201" s="18"/>
      <c r="C201" s="18"/>
      <c r="D201" s="18"/>
      <c r="E201" s="32"/>
      <c r="F201" s="19"/>
      <c r="G201" s="19"/>
      <c r="H201" s="32"/>
      <c r="I201" s="18"/>
      <c r="J201" s="18"/>
      <c r="K201" s="21" t="str">
        <f t="shared" si="24"/>
        <v/>
      </c>
      <c r="L201" s="28" t="str">
        <f t="shared" si="25"/>
        <v/>
      </c>
      <c r="M201" s="33" t="str">
        <f t="shared" si="26"/>
        <v/>
      </c>
      <c r="N201" s="16" t="str">
        <f>IF($A201="","",IF(I201&lt;&gt;"Đủ","Thiếu ảnh",IF(M201="","Chưa có số GPS",IF(ABS(M201)&gt;'THAM SỐ'!$B$30,"LỆCH DẦU","Đạt"))))</f>
        <v/>
      </c>
      <c r="O201" s="21" t="str">
        <f>IF(OR($A201="",G201="",COUNTIFS(B$4:B200,B201)=0),"",G201-_xlfn.MAXIFS(G$4:G200,B$4:B200,B201))</f>
        <v/>
      </c>
      <c r="P201" s="28" t="str">
        <f t="shared" si="27"/>
        <v/>
      </c>
    </row>
    <row r="202" spans="1:16" x14ac:dyDescent="0.45">
      <c r="A202" s="17"/>
      <c r="B202" s="18"/>
      <c r="C202" s="18"/>
      <c r="D202" s="18"/>
      <c r="E202" s="32"/>
      <c r="F202" s="19"/>
      <c r="G202" s="19"/>
      <c r="H202" s="32"/>
      <c r="I202" s="18"/>
      <c r="J202" s="18"/>
      <c r="K202" s="21" t="str">
        <f t="shared" si="24"/>
        <v/>
      </c>
      <c r="L202" s="28" t="str">
        <f t="shared" si="25"/>
        <v/>
      </c>
      <c r="M202" s="33" t="str">
        <f t="shared" si="26"/>
        <v/>
      </c>
      <c r="N202" s="16" t="str">
        <f>IF($A202="","",IF(I202&lt;&gt;"Đủ","Thiếu ảnh",IF(M202="","Chưa có số GPS",IF(ABS(M202)&gt;'THAM SỐ'!$B$30,"LỆCH DẦU","Đạt"))))</f>
        <v/>
      </c>
      <c r="O202" s="21" t="str">
        <f>IF(OR($A202="",G202="",COUNTIFS(B$4:B201,B202)=0),"",G202-_xlfn.MAXIFS(G$4:G201,B$4:B201,B202))</f>
        <v/>
      </c>
      <c r="P202" s="28" t="str">
        <f t="shared" si="27"/>
        <v/>
      </c>
    </row>
    <row r="203" spans="1:16" x14ac:dyDescent="0.45">
      <c r="A203" s="17"/>
      <c r="B203" s="18"/>
      <c r="C203" s="18"/>
      <c r="D203" s="18"/>
      <c r="E203" s="32"/>
      <c r="F203" s="19"/>
      <c r="G203" s="19"/>
      <c r="H203" s="32"/>
      <c r="I203" s="18"/>
      <c r="J203" s="18"/>
      <c r="K203" s="21" t="str">
        <f t="shared" si="24"/>
        <v/>
      </c>
      <c r="L203" s="28" t="str">
        <f t="shared" si="25"/>
        <v/>
      </c>
      <c r="M203" s="33" t="str">
        <f t="shared" si="26"/>
        <v/>
      </c>
      <c r="N203" s="16" t="str">
        <f>IF($A203="","",IF(I203&lt;&gt;"Đủ","Thiếu ảnh",IF(M203="","Chưa có số GPS",IF(ABS(M203)&gt;'THAM SỐ'!$B$30,"LỆCH DẦU","Đạt"))))</f>
        <v/>
      </c>
      <c r="O203" s="21" t="str">
        <f>IF(OR($A203="",G203="",COUNTIFS(B$4:B202,B203)=0),"",G203-_xlfn.MAXIFS(G$4:G202,B$4:B202,B203))</f>
        <v/>
      </c>
      <c r="P203" s="28" t="str">
        <f t="shared" si="27"/>
        <v/>
      </c>
    </row>
    <row r="204" spans="1:16" x14ac:dyDescent="0.45">
      <c r="A204" s="17"/>
      <c r="B204" s="18"/>
      <c r="C204" s="18"/>
      <c r="D204" s="18"/>
      <c r="E204" s="32"/>
      <c r="F204" s="19"/>
      <c r="G204" s="19"/>
      <c r="H204" s="32"/>
      <c r="I204" s="18"/>
      <c r="J204" s="18"/>
      <c r="K204" s="21" t="str">
        <f t="shared" si="24"/>
        <v/>
      </c>
      <c r="L204" s="28" t="str">
        <f t="shared" si="25"/>
        <v/>
      </c>
      <c r="M204" s="33" t="str">
        <f t="shared" si="26"/>
        <v/>
      </c>
      <c r="N204" s="16" t="str">
        <f>IF($A204="","",IF(I204&lt;&gt;"Đủ","Thiếu ảnh",IF(M204="","Chưa có số GPS",IF(ABS(M204)&gt;'THAM SỐ'!$B$30,"LỆCH DẦU","Đạt"))))</f>
        <v/>
      </c>
      <c r="O204" s="21" t="str">
        <f>IF(OR($A204="",G204="",COUNTIFS(B$4:B203,B204)=0),"",G204-_xlfn.MAXIFS(G$4:G203,B$4:B203,B204))</f>
        <v/>
      </c>
      <c r="P204" s="28" t="str">
        <f t="shared" si="27"/>
        <v/>
      </c>
    </row>
  </sheetData>
  <mergeCells count="2">
    <mergeCell ref="A3:J3"/>
    <mergeCell ref="K3:P3"/>
  </mergeCells>
  <conditionalFormatting sqref="N5:N204">
    <cfRule type="expression" dxfId="17" priority="2">
      <formula>OR($N5="LỆCH DẦU",$N5="Thiếu ảnh")</formula>
    </cfRule>
  </conditionalFormatting>
  <dataValidations count="1">
    <dataValidation type="list" allowBlank="1" sqref="I5:I204" xr:uid="{00000000-0002-0000-0400-000002000000}">
      <formula1>"Đủ,Thiếu"</formula1>
      <formula2>0</formula2>
    </dataValidation>
  </dataValidations>
  <pageMargins left="0.75" right="0.75" top="1" bottom="1" header="0.511811023622047" footer="0.511811023622047"/>
  <pageSetup paperSize="9" orientation="portrait" horizontalDpi="300" verticalDpi="300"/>
  <extLst>
    <ext xmlns:x14="http://schemas.microsoft.com/office/spreadsheetml/2009/9/main" uri="{CCE6A557-97BC-4b89-ADB6-D9C93CAAB3DF}">
      <x14:dataValidations xmlns:xm="http://schemas.microsoft.com/office/excel/2006/main" count="2">
        <x14:dataValidation type="list" allowBlank="1" xr:uid="{00000000-0002-0000-0400-000000000000}">
          <x14:formula1>
            <xm:f>'THAM SỐ'!$A$5:$A$7</xm:f>
          </x14:formula1>
          <x14:formula2>
            <xm:f>0</xm:f>
          </x14:formula2>
          <xm:sqref>B5:B204</xm:sqref>
        </x14:dataValidation>
        <x14:dataValidation type="list" allowBlank="1" xr:uid="{00000000-0002-0000-0400-000001000000}">
          <x14:formula1>
            <xm:f>'THAM SỐ'!$A$11:$A$14</xm:f>
          </x14:formula1>
          <x14:formula2>
            <xm:f>0</xm:f>
          </x14:formula2>
          <xm:sqref>C5:C204</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2E75B6"/>
  </sheetPr>
  <dimension ref="A1:M204"/>
  <sheetViews>
    <sheetView showGridLines="0" zoomScale="76" zoomScaleNormal="100" workbookViewId="0">
      <pane ySplit="4" topLeftCell="A5" activePane="bottomLeft" state="frozen"/>
      <selection pane="bottomLeft"/>
    </sheetView>
  </sheetViews>
  <sheetFormatPr defaultColWidth="8.6640625" defaultRowHeight="14.25" x14ac:dyDescent="0.45"/>
  <cols>
    <col min="1" max="2" width="11" customWidth="1"/>
    <col min="3" max="3" width="16" customWidth="1"/>
    <col min="4" max="4" width="11" customWidth="1"/>
    <col min="5" max="5" width="20" customWidth="1"/>
    <col min="6" max="6" width="36" customWidth="1"/>
    <col min="7" max="7" width="12" customWidth="1"/>
    <col min="8" max="8" width="10" customWidth="1"/>
    <col min="9" max="9" width="22" customWidth="1"/>
    <col min="10" max="10" width="30" customWidth="1"/>
    <col min="11" max="12" width="12" customWidth="1"/>
    <col min="13" max="13" width="24" customWidth="1"/>
  </cols>
  <sheetData>
    <row r="1" spans="1:13" ht="17.649999999999999" x14ac:dyDescent="0.5">
      <c r="A1" s="5" t="s">
        <v>180</v>
      </c>
    </row>
    <row r="2" spans="1:13" x14ac:dyDescent="0.45">
      <c r="A2" s="6" t="s">
        <v>181</v>
      </c>
    </row>
    <row r="4" spans="1:13" ht="30" customHeight="1" x14ac:dyDescent="0.45">
      <c r="A4" s="15" t="s">
        <v>55</v>
      </c>
      <c r="B4" s="15" t="s">
        <v>56</v>
      </c>
      <c r="C4" s="15" t="s">
        <v>57</v>
      </c>
      <c r="D4" s="15" t="s">
        <v>182</v>
      </c>
      <c r="E4" s="15" t="s">
        <v>183</v>
      </c>
      <c r="F4" s="15" t="s">
        <v>184</v>
      </c>
      <c r="G4" s="15" t="s">
        <v>185</v>
      </c>
      <c r="H4" s="15" t="s">
        <v>186</v>
      </c>
      <c r="I4" s="15" t="s">
        <v>59</v>
      </c>
      <c r="J4" s="15" t="s">
        <v>187</v>
      </c>
      <c r="K4" s="15" t="s">
        <v>188</v>
      </c>
      <c r="L4" s="15" t="s">
        <v>189</v>
      </c>
      <c r="M4" s="15" t="s">
        <v>75</v>
      </c>
    </row>
    <row r="5" spans="1:13" x14ac:dyDescent="0.45">
      <c r="A5" s="17">
        <v>46301</v>
      </c>
      <c r="B5" s="18" t="s">
        <v>85</v>
      </c>
      <c r="C5" s="18" t="s">
        <v>86</v>
      </c>
      <c r="D5" s="18" t="s">
        <v>190</v>
      </c>
      <c r="E5" s="18" t="s">
        <v>191</v>
      </c>
      <c r="F5" s="18" t="s">
        <v>192</v>
      </c>
      <c r="G5" s="19">
        <v>0</v>
      </c>
      <c r="H5" s="18" t="s">
        <v>57</v>
      </c>
      <c r="I5" s="18" t="s">
        <v>92</v>
      </c>
      <c r="J5" s="18" t="s">
        <v>193</v>
      </c>
      <c r="K5" s="18" t="s">
        <v>194</v>
      </c>
      <c r="L5" s="17">
        <v>46302</v>
      </c>
      <c r="M5" s="18" t="s">
        <v>84</v>
      </c>
    </row>
    <row r="6" spans="1:13" x14ac:dyDescent="0.45">
      <c r="A6" s="17">
        <v>46303</v>
      </c>
      <c r="B6" s="18" t="s">
        <v>76</v>
      </c>
      <c r="C6" s="18" t="s">
        <v>77</v>
      </c>
      <c r="D6" s="18" t="s">
        <v>195</v>
      </c>
      <c r="E6" s="18" t="s">
        <v>196</v>
      </c>
      <c r="F6" s="18" t="s">
        <v>197</v>
      </c>
      <c r="G6" s="19">
        <v>180000</v>
      </c>
      <c r="H6" s="18" t="s">
        <v>198</v>
      </c>
      <c r="I6" s="18" t="s">
        <v>92</v>
      </c>
      <c r="J6" s="18"/>
      <c r="K6" s="18" t="s">
        <v>194</v>
      </c>
      <c r="L6" s="17">
        <v>46303</v>
      </c>
      <c r="M6" s="18" t="s">
        <v>84</v>
      </c>
    </row>
    <row r="7" spans="1:13" x14ac:dyDescent="0.45">
      <c r="A7" s="17">
        <v>46304</v>
      </c>
      <c r="B7" s="18" t="s">
        <v>76</v>
      </c>
      <c r="C7" s="18" t="s">
        <v>77</v>
      </c>
      <c r="D7" s="18" t="s">
        <v>199</v>
      </c>
      <c r="E7" s="18" t="s">
        <v>200</v>
      </c>
      <c r="F7" s="18" t="s">
        <v>201</v>
      </c>
      <c r="G7" s="19">
        <v>2400000</v>
      </c>
      <c r="H7" s="18" t="s">
        <v>198</v>
      </c>
      <c r="I7" s="18" t="s">
        <v>78</v>
      </c>
      <c r="J7" s="18" t="s">
        <v>202</v>
      </c>
      <c r="K7" s="18" t="s">
        <v>203</v>
      </c>
      <c r="L7" s="17"/>
      <c r="M7" s="18" t="s">
        <v>84</v>
      </c>
    </row>
    <row r="8" spans="1:13" x14ac:dyDescent="0.45">
      <c r="A8" s="17"/>
      <c r="B8" s="18"/>
      <c r="C8" s="18"/>
      <c r="D8" s="18"/>
      <c r="E8" s="18"/>
      <c r="F8" s="18"/>
      <c r="G8" s="19"/>
      <c r="H8" s="18"/>
      <c r="I8" s="18"/>
      <c r="J8" s="18"/>
      <c r="K8" s="18"/>
      <c r="L8" s="17"/>
      <c r="M8" s="18"/>
    </row>
    <row r="9" spans="1:13" x14ac:dyDescent="0.45">
      <c r="A9" s="17"/>
      <c r="B9" s="18"/>
      <c r="C9" s="18"/>
      <c r="D9" s="18"/>
      <c r="E9" s="18"/>
      <c r="F9" s="18"/>
      <c r="G9" s="19"/>
      <c r="H9" s="18"/>
      <c r="I9" s="18"/>
      <c r="J9" s="18"/>
      <c r="K9" s="18"/>
      <c r="L9" s="17"/>
      <c r="M9" s="18"/>
    </row>
    <row r="10" spans="1:13" x14ac:dyDescent="0.45">
      <c r="A10" s="17"/>
      <c r="B10" s="18"/>
      <c r="C10" s="18"/>
      <c r="D10" s="18"/>
      <c r="E10" s="18"/>
      <c r="F10" s="18"/>
      <c r="G10" s="19"/>
      <c r="H10" s="18"/>
      <c r="I10" s="18"/>
      <c r="J10" s="18"/>
      <c r="K10" s="18"/>
      <c r="L10" s="17"/>
      <c r="M10" s="18"/>
    </row>
    <row r="11" spans="1:13" x14ac:dyDescent="0.45">
      <c r="A11" s="17"/>
      <c r="B11" s="18"/>
      <c r="C11" s="18"/>
      <c r="D11" s="18"/>
      <c r="E11" s="18"/>
      <c r="F11" s="18"/>
      <c r="G11" s="19"/>
      <c r="H11" s="18"/>
      <c r="I11" s="18"/>
      <c r="J11" s="18"/>
      <c r="K11" s="18"/>
      <c r="L11" s="17"/>
      <c r="M11" s="18"/>
    </row>
    <row r="12" spans="1:13" x14ac:dyDescent="0.45">
      <c r="A12" s="17"/>
      <c r="B12" s="18"/>
      <c r="C12" s="18"/>
      <c r="D12" s="18"/>
      <c r="E12" s="18"/>
      <c r="F12" s="18"/>
      <c r="G12" s="19"/>
      <c r="H12" s="18"/>
      <c r="I12" s="18"/>
      <c r="J12" s="18"/>
      <c r="K12" s="18"/>
      <c r="L12" s="17"/>
      <c r="M12" s="18"/>
    </row>
    <row r="13" spans="1:13" x14ac:dyDescent="0.45">
      <c r="A13" s="17"/>
      <c r="B13" s="18"/>
      <c r="C13" s="18"/>
      <c r="D13" s="18"/>
      <c r="E13" s="18"/>
      <c r="F13" s="18"/>
      <c r="G13" s="19"/>
      <c r="H13" s="18"/>
      <c r="I13" s="18"/>
      <c r="J13" s="18"/>
      <c r="K13" s="18"/>
      <c r="L13" s="17"/>
      <c r="M13" s="18"/>
    </row>
    <row r="14" spans="1:13" x14ac:dyDescent="0.45">
      <c r="A14" s="17"/>
      <c r="B14" s="18"/>
      <c r="C14" s="18"/>
      <c r="D14" s="18"/>
      <c r="E14" s="18"/>
      <c r="F14" s="18"/>
      <c r="G14" s="19"/>
      <c r="H14" s="18"/>
      <c r="I14" s="18"/>
      <c r="J14" s="18"/>
      <c r="K14" s="18"/>
      <c r="L14" s="17"/>
      <c r="M14" s="18"/>
    </row>
    <row r="15" spans="1:13" x14ac:dyDescent="0.45">
      <c r="A15" s="17"/>
      <c r="B15" s="18"/>
      <c r="C15" s="18"/>
      <c r="D15" s="18"/>
      <c r="E15" s="18"/>
      <c r="F15" s="18"/>
      <c r="G15" s="19"/>
      <c r="H15" s="18"/>
      <c r="I15" s="18"/>
      <c r="J15" s="18"/>
      <c r="K15" s="18"/>
      <c r="L15" s="17"/>
      <c r="M15" s="18"/>
    </row>
    <row r="16" spans="1:13" x14ac:dyDescent="0.45">
      <c r="A16" s="17"/>
      <c r="B16" s="18"/>
      <c r="C16" s="18"/>
      <c r="D16" s="18"/>
      <c r="E16" s="18"/>
      <c r="F16" s="18"/>
      <c r="G16" s="19"/>
      <c r="H16" s="18"/>
      <c r="I16" s="18"/>
      <c r="J16" s="18"/>
      <c r="K16" s="18"/>
      <c r="L16" s="17"/>
      <c r="M16" s="18"/>
    </row>
    <row r="17" spans="1:13" x14ac:dyDescent="0.45">
      <c r="A17" s="17"/>
      <c r="B17" s="18"/>
      <c r="C17" s="18"/>
      <c r="D17" s="18"/>
      <c r="E17" s="18"/>
      <c r="F17" s="18"/>
      <c r="G17" s="19"/>
      <c r="H17" s="18"/>
      <c r="I17" s="18"/>
      <c r="J17" s="18"/>
      <c r="K17" s="18"/>
      <c r="L17" s="17"/>
      <c r="M17" s="18"/>
    </row>
    <row r="18" spans="1:13" x14ac:dyDescent="0.45">
      <c r="A18" s="17"/>
      <c r="B18" s="18"/>
      <c r="C18" s="18"/>
      <c r="D18" s="18"/>
      <c r="E18" s="18"/>
      <c r="F18" s="18"/>
      <c r="G18" s="19"/>
      <c r="H18" s="18"/>
      <c r="I18" s="18"/>
      <c r="J18" s="18"/>
      <c r="K18" s="18"/>
      <c r="L18" s="17"/>
      <c r="M18" s="18"/>
    </row>
    <row r="19" spans="1:13" x14ac:dyDescent="0.45">
      <c r="A19" s="17"/>
      <c r="B19" s="18"/>
      <c r="C19" s="18"/>
      <c r="D19" s="18"/>
      <c r="E19" s="18"/>
      <c r="F19" s="18"/>
      <c r="G19" s="19"/>
      <c r="H19" s="18"/>
      <c r="I19" s="18"/>
      <c r="J19" s="18"/>
      <c r="K19" s="18"/>
      <c r="L19" s="17"/>
      <c r="M19" s="18"/>
    </row>
    <row r="20" spans="1:13" x14ac:dyDescent="0.45">
      <c r="A20" s="17"/>
      <c r="B20" s="18"/>
      <c r="C20" s="18"/>
      <c r="D20" s="18"/>
      <c r="E20" s="18"/>
      <c r="F20" s="18"/>
      <c r="G20" s="19"/>
      <c r="H20" s="18"/>
      <c r="I20" s="18"/>
      <c r="J20" s="18"/>
      <c r="K20" s="18"/>
      <c r="L20" s="17"/>
      <c r="M20" s="18"/>
    </row>
    <row r="21" spans="1:13" x14ac:dyDescent="0.45">
      <c r="A21" s="17"/>
      <c r="B21" s="18"/>
      <c r="C21" s="18"/>
      <c r="D21" s="18"/>
      <c r="E21" s="18"/>
      <c r="F21" s="18"/>
      <c r="G21" s="19"/>
      <c r="H21" s="18"/>
      <c r="I21" s="18"/>
      <c r="J21" s="18"/>
      <c r="K21" s="18"/>
      <c r="L21" s="17"/>
      <c r="M21" s="18"/>
    </row>
    <row r="22" spans="1:13" x14ac:dyDescent="0.45">
      <c r="A22" s="17"/>
      <c r="B22" s="18"/>
      <c r="C22" s="18"/>
      <c r="D22" s="18"/>
      <c r="E22" s="18"/>
      <c r="F22" s="18"/>
      <c r="G22" s="19"/>
      <c r="H22" s="18"/>
      <c r="I22" s="18"/>
      <c r="J22" s="18"/>
      <c r="K22" s="18"/>
      <c r="L22" s="17"/>
      <c r="M22" s="18"/>
    </row>
    <row r="23" spans="1:13" x14ac:dyDescent="0.45">
      <c r="A23" s="17"/>
      <c r="B23" s="18"/>
      <c r="C23" s="18"/>
      <c r="D23" s="18"/>
      <c r="E23" s="18"/>
      <c r="F23" s="18"/>
      <c r="G23" s="19"/>
      <c r="H23" s="18"/>
      <c r="I23" s="18"/>
      <c r="J23" s="18"/>
      <c r="K23" s="18"/>
      <c r="L23" s="17"/>
      <c r="M23" s="18"/>
    </row>
    <row r="24" spans="1:13" x14ac:dyDescent="0.45">
      <c r="A24" s="17"/>
      <c r="B24" s="18"/>
      <c r="C24" s="18"/>
      <c r="D24" s="18"/>
      <c r="E24" s="18"/>
      <c r="F24" s="18"/>
      <c r="G24" s="19"/>
      <c r="H24" s="18"/>
      <c r="I24" s="18"/>
      <c r="J24" s="18"/>
      <c r="K24" s="18"/>
      <c r="L24" s="17"/>
      <c r="M24" s="18"/>
    </row>
    <row r="25" spans="1:13" x14ac:dyDescent="0.45">
      <c r="A25" s="17"/>
      <c r="B25" s="18"/>
      <c r="C25" s="18"/>
      <c r="D25" s="18"/>
      <c r="E25" s="18"/>
      <c r="F25" s="18"/>
      <c r="G25" s="19"/>
      <c r="H25" s="18"/>
      <c r="I25" s="18"/>
      <c r="J25" s="18"/>
      <c r="K25" s="18"/>
      <c r="L25" s="17"/>
      <c r="M25" s="18"/>
    </row>
    <row r="26" spans="1:13" x14ac:dyDescent="0.45">
      <c r="A26" s="17"/>
      <c r="B26" s="18"/>
      <c r="C26" s="18"/>
      <c r="D26" s="18"/>
      <c r="E26" s="18"/>
      <c r="F26" s="18"/>
      <c r="G26" s="19"/>
      <c r="H26" s="18"/>
      <c r="I26" s="18"/>
      <c r="J26" s="18"/>
      <c r="K26" s="18"/>
      <c r="L26" s="17"/>
      <c r="M26" s="18"/>
    </row>
    <row r="27" spans="1:13" x14ac:dyDescent="0.45">
      <c r="A27" s="17"/>
      <c r="B27" s="18"/>
      <c r="C27" s="18"/>
      <c r="D27" s="18"/>
      <c r="E27" s="18"/>
      <c r="F27" s="18"/>
      <c r="G27" s="19"/>
      <c r="H27" s="18"/>
      <c r="I27" s="18"/>
      <c r="J27" s="18"/>
      <c r="K27" s="18"/>
      <c r="L27" s="17"/>
      <c r="M27" s="18"/>
    </row>
    <row r="28" spans="1:13" x14ac:dyDescent="0.45">
      <c r="A28" s="17"/>
      <c r="B28" s="18"/>
      <c r="C28" s="18"/>
      <c r="D28" s="18"/>
      <c r="E28" s="18"/>
      <c r="F28" s="18"/>
      <c r="G28" s="19"/>
      <c r="H28" s="18"/>
      <c r="I28" s="18"/>
      <c r="J28" s="18"/>
      <c r="K28" s="18"/>
      <c r="L28" s="17"/>
      <c r="M28" s="18"/>
    </row>
    <row r="29" spans="1:13" x14ac:dyDescent="0.45">
      <c r="A29" s="17"/>
      <c r="B29" s="18"/>
      <c r="C29" s="18"/>
      <c r="D29" s="18"/>
      <c r="E29" s="18"/>
      <c r="F29" s="18"/>
      <c r="G29" s="19"/>
      <c r="H29" s="18"/>
      <c r="I29" s="18"/>
      <c r="J29" s="18"/>
      <c r="K29" s="18"/>
      <c r="L29" s="17"/>
      <c r="M29" s="18"/>
    </row>
    <row r="30" spans="1:13" x14ac:dyDescent="0.45">
      <c r="A30" s="17"/>
      <c r="B30" s="18"/>
      <c r="C30" s="18"/>
      <c r="D30" s="18"/>
      <c r="E30" s="18"/>
      <c r="F30" s="18"/>
      <c r="G30" s="19"/>
      <c r="H30" s="18"/>
      <c r="I30" s="18"/>
      <c r="J30" s="18"/>
      <c r="K30" s="18"/>
      <c r="L30" s="17"/>
      <c r="M30" s="18"/>
    </row>
    <row r="31" spans="1:13" x14ac:dyDescent="0.45">
      <c r="A31" s="17"/>
      <c r="B31" s="18"/>
      <c r="C31" s="18"/>
      <c r="D31" s="18"/>
      <c r="E31" s="18"/>
      <c r="F31" s="18"/>
      <c r="G31" s="19"/>
      <c r="H31" s="18"/>
      <c r="I31" s="18"/>
      <c r="J31" s="18"/>
      <c r="K31" s="18"/>
      <c r="L31" s="17"/>
      <c r="M31" s="18"/>
    </row>
    <row r="32" spans="1:13" x14ac:dyDescent="0.45">
      <c r="A32" s="17"/>
      <c r="B32" s="18"/>
      <c r="C32" s="18"/>
      <c r="D32" s="18"/>
      <c r="E32" s="18"/>
      <c r="F32" s="18"/>
      <c r="G32" s="19"/>
      <c r="H32" s="18"/>
      <c r="I32" s="18"/>
      <c r="J32" s="18"/>
      <c r="K32" s="18"/>
      <c r="L32" s="17"/>
      <c r="M32" s="18"/>
    </row>
    <row r="33" spans="1:13" x14ac:dyDescent="0.45">
      <c r="A33" s="17"/>
      <c r="B33" s="18"/>
      <c r="C33" s="18"/>
      <c r="D33" s="18"/>
      <c r="E33" s="18"/>
      <c r="F33" s="18"/>
      <c r="G33" s="19"/>
      <c r="H33" s="18"/>
      <c r="I33" s="18"/>
      <c r="J33" s="18"/>
      <c r="K33" s="18"/>
      <c r="L33" s="17"/>
      <c r="M33" s="18"/>
    </row>
    <row r="34" spans="1:13" x14ac:dyDescent="0.45">
      <c r="A34" s="17"/>
      <c r="B34" s="18"/>
      <c r="C34" s="18"/>
      <c r="D34" s="18"/>
      <c r="E34" s="18"/>
      <c r="F34" s="18"/>
      <c r="G34" s="19"/>
      <c r="H34" s="18"/>
      <c r="I34" s="18"/>
      <c r="J34" s="18"/>
      <c r="K34" s="18"/>
      <c r="L34" s="17"/>
      <c r="M34" s="18"/>
    </row>
    <row r="35" spans="1:13" x14ac:dyDescent="0.45">
      <c r="A35" s="17"/>
      <c r="B35" s="18"/>
      <c r="C35" s="18"/>
      <c r="D35" s="18"/>
      <c r="E35" s="18"/>
      <c r="F35" s="18"/>
      <c r="G35" s="19"/>
      <c r="H35" s="18"/>
      <c r="I35" s="18"/>
      <c r="J35" s="18"/>
      <c r="K35" s="18"/>
      <c r="L35" s="17"/>
      <c r="M35" s="18"/>
    </row>
    <row r="36" spans="1:13" x14ac:dyDescent="0.45">
      <c r="A36" s="17"/>
      <c r="B36" s="18"/>
      <c r="C36" s="18"/>
      <c r="D36" s="18"/>
      <c r="E36" s="18"/>
      <c r="F36" s="18"/>
      <c r="G36" s="19"/>
      <c r="H36" s="18"/>
      <c r="I36" s="18"/>
      <c r="J36" s="18"/>
      <c r="K36" s="18"/>
      <c r="L36" s="17"/>
      <c r="M36" s="18"/>
    </row>
    <row r="37" spans="1:13" x14ac:dyDescent="0.45">
      <c r="A37" s="17"/>
      <c r="B37" s="18"/>
      <c r="C37" s="18"/>
      <c r="D37" s="18"/>
      <c r="E37" s="18"/>
      <c r="F37" s="18"/>
      <c r="G37" s="19"/>
      <c r="H37" s="18"/>
      <c r="I37" s="18"/>
      <c r="J37" s="18"/>
      <c r="K37" s="18"/>
      <c r="L37" s="17"/>
      <c r="M37" s="18"/>
    </row>
    <row r="38" spans="1:13" x14ac:dyDescent="0.45">
      <c r="A38" s="17"/>
      <c r="B38" s="18"/>
      <c r="C38" s="18"/>
      <c r="D38" s="18"/>
      <c r="E38" s="18"/>
      <c r="F38" s="18"/>
      <c r="G38" s="19"/>
      <c r="H38" s="18"/>
      <c r="I38" s="18"/>
      <c r="J38" s="18"/>
      <c r="K38" s="18"/>
      <c r="L38" s="17"/>
      <c r="M38" s="18"/>
    </row>
    <row r="39" spans="1:13" x14ac:dyDescent="0.45">
      <c r="A39" s="17"/>
      <c r="B39" s="18"/>
      <c r="C39" s="18"/>
      <c r="D39" s="18"/>
      <c r="E39" s="18"/>
      <c r="F39" s="18"/>
      <c r="G39" s="19"/>
      <c r="H39" s="18"/>
      <c r="I39" s="18"/>
      <c r="J39" s="18"/>
      <c r="K39" s="18"/>
      <c r="L39" s="17"/>
      <c r="M39" s="18"/>
    </row>
    <row r="40" spans="1:13" x14ac:dyDescent="0.45">
      <c r="A40" s="17"/>
      <c r="B40" s="18"/>
      <c r="C40" s="18"/>
      <c r="D40" s="18"/>
      <c r="E40" s="18"/>
      <c r="F40" s="18"/>
      <c r="G40" s="19"/>
      <c r="H40" s="18"/>
      <c r="I40" s="18"/>
      <c r="J40" s="18"/>
      <c r="K40" s="18"/>
      <c r="L40" s="17"/>
      <c r="M40" s="18"/>
    </row>
    <row r="41" spans="1:13" x14ac:dyDescent="0.45">
      <c r="A41" s="17"/>
      <c r="B41" s="18"/>
      <c r="C41" s="18"/>
      <c r="D41" s="18"/>
      <c r="E41" s="18"/>
      <c r="F41" s="18"/>
      <c r="G41" s="19"/>
      <c r="H41" s="18"/>
      <c r="I41" s="18"/>
      <c r="J41" s="18"/>
      <c r="K41" s="18"/>
      <c r="L41" s="17"/>
      <c r="M41" s="18"/>
    </row>
    <row r="42" spans="1:13" x14ac:dyDescent="0.45">
      <c r="A42" s="17"/>
      <c r="B42" s="18"/>
      <c r="C42" s="18"/>
      <c r="D42" s="18"/>
      <c r="E42" s="18"/>
      <c r="F42" s="18"/>
      <c r="G42" s="19"/>
      <c r="H42" s="18"/>
      <c r="I42" s="18"/>
      <c r="J42" s="18"/>
      <c r="K42" s="18"/>
      <c r="L42" s="17"/>
      <c r="M42" s="18"/>
    </row>
    <row r="43" spans="1:13" x14ac:dyDescent="0.45">
      <c r="A43" s="17"/>
      <c r="B43" s="18"/>
      <c r="C43" s="18"/>
      <c r="D43" s="18"/>
      <c r="E43" s="18"/>
      <c r="F43" s="18"/>
      <c r="G43" s="19"/>
      <c r="H43" s="18"/>
      <c r="I43" s="18"/>
      <c r="J43" s="18"/>
      <c r="K43" s="18"/>
      <c r="L43" s="17"/>
      <c r="M43" s="18"/>
    </row>
    <row r="44" spans="1:13" x14ac:dyDescent="0.45">
      <c r="A44" s="17"/>
      <c r="B44" s="18"/>
      <c r="C44" s="18"/>
      <c r="D44" s="18"/>
      <c r="E44" s="18"/>
      <c r="F44" s="18"/>
      <c r="G44" s="19"/>
      <c r="H44" s="18"/>
      <c r="I44" s="18"/>
      <c r="J44" s="18"/>
      <c r="K44" s="18"/>
      <c r="L44" s="17"/>
      <c r="M44" s="18"/>
    </row>
    <row r="45" spans="1:13" x14ac:dyDescent="0.45">
      <c r="A45" s="17"/>
      <c r="B45" s="18"/>
      <c r="C45" s="18"/>
      <c r="D45" s="18"/>
      <c r="E45" s="18"/>
      <c r="F45" s="18"/>
      <c r="G45" s="19"/>
      <c r="H45" s="18"/>
      <c r="I45" s="18"/>
      <c r="J45" s="18"/>
      <c r="K45" s="18"/>
      <c r="L45" s="17"/>
      <c r="M45" s="18"/>
    </row>
    <row r="46" spans="1:13" x14ac:dyDescent="0.45">
      <c r="A46" s="17"/>
      <c r="B46" s="18"/>
      <c r="C46" s="18"/>
      <c r="D46" s="18"/>
      <c r="E46" s="18"/>
      <c r="F46" s="18"/>
      <c r="G46" s="19"/>
      <c r="H46" s="18"/>
      <c r="I46" s="18"/>
      <c r="J46" s="18"/>
      <c r="K46" s="18"/>
      <c r="L46" s="17"/>
      <c r="M46" s="18"/>
    </row>
    <row r="47" spans="1:13" x14ac:dyDescent="0.45">
      <c r="A47" s="17"/>
      <c r="B47" s="18"/>
      <c r="C47" s="18"/>
      <c r="D47" s="18"/>
      <c r="E47" s="18"/>
      <c r="F47" s="18"/>
      <c r="G47" s="19"/>
      <c r="H47" s="18"/>
      <c r="I47" s="18"/>
      <c r="J47" s="18"/>
      <c r="K47" s="18"/>
      <c r="L47" s="17"/>
      <c r="M47" s="18"/>
    </row>
    <row r="48" spans="1:13" x14ac:dyDescent="0.45">
      <c r="A48" s="17"/>
      <c r="B48" s="18"/>
      <c r="C48" s="18"/>
      <c r="D48" s="18"/>
      <c r="E48" s="18"/>
      <c r="F48" s="18"/>
      <c r="G48" s="19"/>
      <c r="H48" s="18"/>
      <c r="I48" s="18"/>
      <c r="J48" s="18"/>
      <c r="K48" s="18"/>
      <c r="L48" s="17"/>
      <c r="M48" s="18"/>
    </row>
    <row r="49" spans="1:13" x14ac:dyDescent="0.45">
      <c r="A49" s="17"/>
      <c r="B49" s="18"/>
      <c r="C49" s="18"/>
      <c r="D49" s="18"/>
      <c r="E49" s="18"/>
      <c r="F49" s="18"/>
      <c r="G49" s="19"/>
      <c r="H49" s="18"/>
      <c r="I49" s="18"/>
      <c r="J49" s="18"/>
      <c r="K49" s="18"/>
      <c r="L49" s="17"/>
      <c r="M49" s="18"/>
    </row>
    <row r="50" spans="1:13" x14ac:dyDescent="0.45">
      <c r="A50" s="17"/>
      <c r="B50" s="18"/>
      <c r="C50" s="18"/>
      <c r="D50" s="18"/>
      <c r="E50" s="18"/>
      <c r="F50" s="18"/>
      <c r="G50" s="19"/>
      <c r="H50" s="18"/>
      <c r="I50" s="18"/>
      <c r="J50" s="18"/>
      <c r="K50" s="18"/>
      <c r="L50" s="17"/>
      <c r="M50" s="18"/>
    </row>
    <row r="51" spans="1:13" x14ac:dyDescent="0.45">
      <c r="A51" s="17"/>
      <c r="B51" s="18"/>
      <c r="C51" s="18"/>
      <c r="D51" s="18"/>
      <c r="E51" s="18"/>
      <c r="F51" s="18"/>
      <c r="G51" s="19"/>
      <c r="H51" s="18"/>
      <c r="I51" s="18"/>
      <c r="J51" s="18"/>
      <c r="K51" s="18"/>
      <c r="L51" s="17"/>
      <c r="M51" s="18"/>
    </row>
    <row r="52" spans="1:13" x14ac:dyDescent="0.45">
      <c r="A52" s="17"/>
      <c r="B52" s="18"/>
      <c r="C52" s="18"/>
      <c r="D52" s="18"/>
      <c r="E52" s="18"/>
      <c r="F52" s="18"/>
      <c r="G52" s="19"/>
      <c r="H52" s="18"/>
      <c r="I52" s="18"/>
      <c r="J52" s="18"/>
      <c r="K52" s="18"/>
      <c r="L52" s="17"/>
      <c r="M52" s="18"/>
    </row>
    <row r="53" spans="1:13" x14ac:dyDescent="0.45">
      <c r="A53" s="17"/>
      <c r="B53" s="18"/>
      <c r="C53" s="18"/>
      <c r="D53" s="18"/>
      <c r="E53" s="18"/>
      <c r="F53" s="18"/>
      <c r="G53" s="19"/>
      <c r="H53" s="18"/>
      <c r="I53" s="18"/>
      <c r="J53" s="18"/>
      <c r="K53" s="18"/>
      <c r="L53" s="17"/>
      <c r="M53" s="18"/>
    </row>
    <row r="54" spans="1:13" x14ac:dyDescent="0.45">
      <c r="A54" s="17"/>
      <c r="B54" s="18"/>
      <c r="C54" s="18"/>
      <c r="D54" s="18"/>
      <c r="E54" s="18"/>
      <c r="F54" s="18"/>
      <c r="G54" s="19"/>
      <c r="H54" s="18"/>
      <c r="I54" s="18"/>
      <c r="J54" s="18"/>
      <c r="K54" s="18"/>
      <c r="L54" s="17"/>
      <c r="M54" s="18"/>
    </row>
    <row r="55" spans="1:13" x14ac:dyDescent="0.45">
      <c r="A55" s="17"/>
      <c r="B55" s="18"/>
      <c r="C55" s="18"/>
      <c r="D55" s="18"/>
      <c r="E55" s="18"/>
      <c r="F55" s="18"/>
      <c r="G55" s="19"/>
      <c r="H55" s="18"/>
      <c r="I55" s="18"/>
      <c r="J55" s="18"/>
      <c r="K55" s="18"/>
      <c r="L55" s="17"/>
      <c r="M55" s="18"/>
    </row>
    <row r="56" spans="1:13" x14ac:dyDescent="0.45">
      <c r="A56" s="17"/>
      <c r="B56" s="18"/>
      <c r="C56" s="18"/>
      <c r="D56" s="18"/>
      <c r="E56" s="18"/>
      <c r="F56" s="18"/>
      <c r="G56" s="19"/>
      <c r="H56" s="18"/>
      <c r="I56" s="18"/>
      <c r="J56" s="18"/>
      <c r="K56" s="18"/>
      <c r="L56" s="17"/>
      <c r="M56" s="18"/>
    </row>
    <row r="57" spans="1:13" x14ac:dyDescent="0.45">
      <c r="A57" s="17"/>
      <c r="B57" s="18"/>
      <c r="C57" s="18"/>
      <c r="D57" s="18"/>
      <c r="E57" s="18"/>
      <c r="F57" s="18"/>
      <c r="G57" s="19"/>
      <c r="H57" s="18"/>
      <c r="I57" s="18"/>
      <c r="J57" s="18"/>
      <c r="K57" s="18"/>
      <c r="L57" s="17"/>
      <c r="M57" s="18"/>
    </row>
    <row r="58" spans="1:13" x14ac:dyDescent="0.45">
      <c r="A58" s="17"/>
      <c r="B58" s="18"/>
      <c r="C58" s="18"/>
      <c r="D58" s="18"/>
      <c r="E58" s="18"/>
      <c r="F58" s="18"/>
      <c r="G58" s="19"/>
      <c r="H58" s="18"/>
      <c r="I58" s="18"/>
      <c r="J58" s="18"/>
      <c r="K58" s="18"/>
      <c r="L58" s="17"/>
      <c r="M58" s="18"/>
    </row>
    <row r="59" spans="1:13" x14ac:dyDescent="0.45">
      <c r="A59" s="17"/>
      <c r="B59" s="18"/>
      <c r="C59" s="18"/>
      <c r="D59" s="18"/>
      <c r="E59" s="18"/>
      <c r="F59" s="18"/>
      <c r="G59" s="19"/>
      <c r="H59" s="18"/>
      <c r="I59" s="18"/>
      <c r="J59" s="18"/>
      <c r="K59" s="18"/>
      <c r="L59" s="17"/>
      <c r="M59" s="18"/>
    </row>
    <row r="60" spans="1:13" x14ac:dyDescent="0.45">
      <c r="A60" s="17"/>
      <c r="B60" s="18"/>
      <c r="C60" s="18"/>
      <c r="D60" s="18"/>
      <c r="E60" s="18"/>
      <c r="F60" s="18"/>
      <c r="G60" s="19"/>
      <c r="H60" s="18"/>
      <c r="I60" s="18"/>
      <c r="J60" s="18"/>
      <c r="K60" s="18"/>
      <c r="L60" s="17"/>
      <c r="M60" s="18"/>
    </row>
    <row r="61" spans="1:13" x14ac:dyDescent="0.45">
      <c r="A61" s="17"/>
      <c r="B61" s="18"/>
      <c r="C61" s="18"/>
      <c r="D61" s="18"/>
      <c r="E61" s="18"/>
      <c r="F61" s="18"/>
      <c r="G61" s="19"/>
      <c r="H61" s="18"/>
      <c r="I61" s="18"/>
      <c r="J61" s="18"/>
      <c r="K61" s="18"/>
      <c r="L61" s="17"/>
      <c r="M61" s="18"/>
    </row>
    <row r="62" spans="1:13" x14ac:dyDescent="0.45">
      <c r="A62" s="17"/>
      <c r="B62" s="18"/>
      <c r="C62" s="18"/>
      <c r="D62" s="18"/>
      <c r="E62" s="18"/>
      <c r="F62" s="18"/>
      <c r="G62" s="19"/>
      <c r="H62" s="18"/>
      <c r="I62" s="18"/>
      <c r="J62" s="18"/>
      <c r="K62" s="18"/>
      <c r="L62" s="17"/>
      <c r="M62" s="18"/>
    </row>
    <row r="63" spans="1:13" x14ac:dyDescent="0.45">
      <c r="A63" s="17"/>
      <c r="B63" s="18"/>
      <c r="C63" s="18"/>
      <c r="D63" s="18"/>
      <c r="E63" s="18"/>
      <c r="F63" s="18"/>
      <c r="G63" s="19"/>
      <c r="H63" s="18"/>
      <c r="I63" s="18"/>
      <c r="J63" s="18"/>
      <c r="K63" s="18"/>
      <c r="L63" s="17"/>
      <c r="M63" s="18"/>
    </row>
    <row r="64" spans="1:13" x14ac:dyDescent="0.45">
      <c r="A64" s="17"/>
      <c r="B64" s="18"/>
      <c r="C64" s="18"/>
      <c r="D64" s="18"/>
      <c r="E64" s="18"/>
      <c r="F64" s="18"/>
      <c r="G64" s="19"/>
      <c r="H64" s="18"/>
      <c r="I64" s="18"/>
      <c r="J64" s="18"/>
      <c r="K64" s="18"/>
      <c r="L64" s="17"/>
      <c r="M64" s="18"/>
    </row>
    <row r="65" spans="1:13" x14ac:dyDescent="0.45">
      <c r="A65" s="17"/>
      <c r="B65" s="18"/>
      <c r="C65" s="18"/>
      <c r="D65" s="18"/>
      <c r="E65" s="18"/>
      <c r="F65" s="18"/>
      <c r="G65" s="19"/>
      <c r="H65" s="18"/>
      <c r="I65" s="18"/>
      <c r="J65" s="18"/>
      <c r="K65" s="18"/>
      <c r="L65" s="17"/>
      <c r="M65" s="18"/>
    </row>
    <row r="66" spans="1:13" x14ac:dyDescent="0.45">
      <c r="A66" s="17"/>
      <c r="B66" s="18"/>
      <c r="C66" s="18"/>
      <c r="D66" s="18"/>
      <c r="E66" s="18"/>
      <c r="F66" s="18"/>
      <c r="G66" s="19"/>
      <c r="H66" s="18"/>
      <c r="I66" s="18"/>
      <c r="J66" s="18"/>
      <c r="K66" s="18"/>
      <c r="L66" s="17"/>
      <c r="M66" s="18"/>
    </row>
    <row r="67" spans="1:13" x14ac:dyDescent="0.45">
      <c r="A67" s="17"/>
      <c r="B67" s="18"/>
      <c r="C67" s="18"/>
      <c r="D67" s="18"/>
      <c r="E67" s="18"/>
      <c r="F67" s="18"/>
      <c r="G67" s="19"/>
      <c r="H67" s="18"/>
      <c r="I67" s="18"/>
      <c r="J67" s="18"/>
      <c r="K67" s="18"/>
      <c r="L67" s="17"/>
      <c r="M67" s="18"/>
    </row>
    <row r="68" spans="1:13" x14ac:dyDescent="0.45">
      <c r="A68" s="17"/>
      <c r="B68" s="18"/>
      <c r="C68" s="18"/>
      <c r="D68" s="18"/>
      <c r="E68" s="18"/>
      <c r="F68" s="18"/>
      <c r="G68" s="19"/>
      <c r="H68" s="18"/>
      <c r="I68" s="18"/>
      <c r="J68" s="18"/>
      <c r="K68" s="18"/>
      <c r="L68" s="17"/>
      <c r="M68" s="18"/>
    </row>
    <row r="69" spans="1:13" x14ac:dyDescent="0.45">
      <c r="A69" s="17"/>
      <c r="B69" s="18"/>
      <c r="C69" s="18"/>
      <c r="D69" s="18"/>
      <c r="E69" s="18"/>
      <c r="F69" s="18"/>
      <c r="G69" s="19"/>
      <c r="H69" s="18"/>
      <c r="I69" s="18"/>
      <c r="J69" s="18"/>
      <c r="K69" s="18"/>
      <c r="L69" s="17"/>
      <c r="M69" s="18"/>
    </row>
    <row r="70" spans="1:13" x14ac:dyDescent="0.45">
      <c r="A70" s="17"/>
      <c r="B70" s="18"/>
      <c r="C70" s="18"/>
      <c r="D70" s="18"/>
      <c r="E70" s="18"/>
      <c r="F70" s="18"/>
      <c r="G70" s="19"/>
      <c r="H70" s="18"/>
      <c r="I70" s="18"/>
      <c r="J70" s="18"/>
      <c r="K70" s="18"/>
      <c r="L70" s="17"/>
      <c r="M70" s="18"/>
    </row>
    <row r="71" spans="1:13" x14ac:dyDescent="0.45">
      <c r="A71" s="17"/>
      <c r="B71" s="18"/>
      <c r="C71" s="18"/>
      <c r="D71" s="18"/>
      <c r="E71" s="18"/>
      <c r="F71" s="18"/>
      <c r="G71" s="19"/>
      <c r="H71" s="18"/>
      <c r="I71" s="18"/>
      <c r="J71" s="18"/>
      <c r="K71" s="18"/>
      <c r="L71" s="17"/>
      <c r="M71" s="18"/>
    </row>
    <row r="72" spans="1:13" x14ac:dyDescent="0.45">
      <c r="A72" s="17"/>
      <c r="B72" s="18"/>
      <c r="C72" s="18"/>
      <c r="D72" s="18"/>
      <c r="E72" s="18"/>
      <c r="F72" s="18"/>
      <c r="G72" s="19"/>
      <c r="H72" s="18"/>
      <c r="I72" s="18"/>
      <c r="J72" s="18"/>
      <c r="K72" s="18"/>
      <c r="L72" s="17"/>
      <c r="M72" s="18"/>
    </row>
    <row r="73" spans="1:13" x14ac:dyDescent="0.45">
      <c r="A73" s="17"/>
      <c r="B73" s="18"/>
      <c r="C73" s="18"/>
      <c r="D73" s="18"/>
      <c r="E73" s="18"/>
      <c r="F73" s="18"/>
      <c r="G73" s="19"/>
      <c r="H73" s="18"/>
      <c r="I73" s="18"/>
      <c r="J73" s="18"/>
      <c r="K73" s="18"/>
      <c r="L73" s="17"/>
      <c r="M73" s="18"/>
    </row>
    <row r="74" spans="1:13" x14ac:dyDescent="0.45">
      <c r="A74" s="17"/>
      <c r="B74" s="18"/>
      <c r="C74" s="18"/>
      <c r="D74" s="18"/>
      <c r="E74" s="18"/>
      <c r="F74" s="18"/>
      <c r="G74" s="19"/>
      <c r="H74" s="18"/>
      <c r="I74" s="18"/>
      <c r="J74" s="18"/>
      <c r="K74" s="18"/>
      <c r="L74" s="17"/>
      <c r="M74" s="18"/>
    </row>
    <row r="75" spans="1:13" x14ac:dyDescent="0.45">
      <c r="A75" s="17"/>
      <c r="B75" s="18"/>
      <c r="C75" s="18"/>
      <c r="D75" s="18"/>
      <c r="E75" s="18"/>
      <c r="F75" s="18"/>
      <c r="G75" s="19"/>
      <c r="H75" s="18"/>
      <c r="I75" s="18"/>
      <c r="J75" s="18"/>
      <c r="K75" s="18"/>
      <c r="L75" s="17"/>
      <c r="M75" s="18"/>
    </row>
    <row r="76" spans="1:13" x14ac:dyDescent="0.45">
      <c r="A76" s="17"/>
      <c r="B76" s="18"/>
      <c r="C76" s="18"/>
      <c r="D76" s="18"/>
      <c r="E76" s="18"/>
      <c r="F76" s="18"/>
      <c r="G76" s="19"/>
      <c r="H76" s="18"/>
      <c r="I76" s="18"/>
      <c r="J76" s="18"/>
      <c r="K76" s="18"/>
      <c r="L76" s="17"/>
      <c r="M76" s="18"/>
    </row>
    <row r="77" spans="1:13" x14ac:dyDescent="0.45">
      <c r="A77" s="17"/>
      <c r="B77" s="18"/>
      <c r="C77" s="18"/>
      <c r="D77" s="18"/>
      <c r="E77" s="18"/>
      <c r="F77" s="18"/>
      <c r="G77" s="19"/>
      <c r="H77" s="18"/>
      <c r="I77" s="18"/>
      <c r="J77" s="18"/>
      <c r="K77" s="18"/>
      <c r="L77" s="17"/>
      <c r="M77" s="18"/>
    </row>
    <row r="78" spans="1:13" x14ac:dyDescent="0.45">
      <c r="A78" s="17"/>
      <c r="B78" s="18"/>
      <c r="C78" s="18"/>
      <c r="D78" s="18"/>
      <c r="E78" s="18"/>
      <c r="F78" s="18"/>
      <c r="G78" s="19"/>
      <c r="H78" s="18"/>
      <c r="I78" s="18"/>
      <c r="J78" s="18"/>
      <c r="K78" s="18"/>
      <c r="L78" s="17"/>
      <c r="M78" s="18"/>
    </row>
    <row r="79" spans="1:13" x14ac:dyDescent="0.45">
      <c r="A79" s="17"/>
      <c r="B79" s="18"/>
      <c r="C79" s="18"/>
      <c r="D79" s="18"/>
      <c r="E79" s="18"/>
      <c r="F79" s="18"/>
      <c r="G79" s="19"/>
      <c r="H79" s="18"/>
      <c r="I79" s="18"/>
      <c r="J79" s="18"/>
      <c r="K79" s="18"/>
      <c r="L79" s="17"/>
      <c r="M79" s="18"/>
    </row>
    <row r="80" spans="1:13" x14ac:dyDescent="0.45">
      <c r="A80" s="17"/>
      <c r="B80" s="18"/>
      <c r="C80" s="18"/>
      <c r="D80" s="18"/>
      <c r="E80" s="18"/>
      <c r="F80" s="18"/>
      <c r="G80" s="19"/>
      <c r="H80" s="18"/>
      <c r="I80" s="18"/>
      <c r="J80" s="18"/>
      <c r="K80" s="18"/>
      <c r="L80" s="17"/>
      <c r="M80" s="18"/>
    </row>
    <row r="81" spans="1:13" x14ac:dyDescent="0.45">
      <c r="A81" s="17"/>
      <c r="B81" s="18"/>
      <c r="C81" s="18"/>
      <c r="D81" s="18"/>
      <c r="E81" s="18"/>
      <c r="F81" s="18"/>
      <c r="G81" s="19"/>
      <c r="H81" s="18"/>
      <c r="I81" s="18"/>
      <c r="J81" s="18"/>
      <c r="K81" s="18"/>
      <c r="L81" s="17"/>
      <c r="M81" s="18"/>
    </row>
    <row r="82" spans="1:13" x14ac:dyDescent="0.45">
      <c r="A82" s="17"/>
      <c r="B82" s="18"/>
      <c r="C82" s="18"/>
      <c r="D82" s="18"/>
      <c r="E82" s="18"/>
      <c r="F82" s="18"/>
      <c r="G82" s="19"/>
      <c r="H82" s="18"/>
      <c r="I82" s="18"/>
      <c r="J82" s="18"/>
      <c r="K82" s="18"/>
      <c r="L82" s="17"/>
      <c r="M82" s="18"/>
    </row>
    <row r="83" spans="1:13" x14ac:dyDescent="0.45">
      <c r="A83" s="17"/>
      <c r="B83" s="18"/>
      <c r="C83" s="18"/>
      <c r="D83" s="18"/>
      <c r="E83" s="18"/>
      <c r="F83" s="18"/>
      <c r="G83" s="19"/>
      <c r="H83" s="18"/>
      <c r="I83" s="18"/>
      <c r="J83" s="18"/>
      <c r="K83" s="18"/>
      <c r="L83" s="17"/>
      <c r="M83" s="18"/>
    </row>
    <row r="84" spans="1:13" x14ac:dyDescent="0.45">
      <c r="A84" s="17"/>
      <c r="B84" s="18"/>
      <c r="C84" s="18"/>
      <c r="D84" s="18"/>
      <c r="E84" s="18"/>
      <c r="F84" s="18"/>
      <c r="G84" s="19"/>
      <c r="H84" s="18"/>
      <c r="I84" s="18"/>
      <c r="J84" s="18"/>
      <c r="K84" s="18"/>
      <c r="L84" s="17"/>
      <c r="M84" s="18"/>
    </row>
    <row r="85" spans="1:13" x14ac:dyDescent="0.45">
      <c r="A85" s="17"/>
      <c r="B85" s="18"/>
      <c r="C85" s="18"/>
      <c r="D85" s="18"/>
      <c r="E85" s="18"/>
      <c r="F85" s="18"/>
      <c r="G85" s="19"/>
      <c r="H85" s="18"/>
      <c r="I85" s="18"/>
      <c r="J85" s="18"/>
      <c r="K85" s="18"/>
      <c r="L85" s="17"/>
      <c r="M85" s="18"/>
    </row>
    <row r="86" spans="1:13" x14ac:dyDescent="0.45">
      <c r="A86" s="17"/>
      <c r="B86" s="18"/>
      <c r="C86" s="18"/>
      <c r="D86" s="18"/>
      <c r="E86" s="18"/>
      <c r="F86" s="18"/>
      <c r="G86" s="19"/>
      <c r="H86" s="18"/>
      <c r="I86" s="18"/>
      <c r="J86" s="18"/>
      <c r="K86" s="18"/>
      <c r="L86" s="17"/>
      <c r="M86" s="18"/>
    </row>
    <row r="87" spans="1:13" x14ac:dyDescent="0.45">
      <c r="A87" s="17"/>
      <c r="B87" s="18"/>
      <c r="C87" s="18"/>
      <c r="D87" s="18"/>
      <c r="E87" s="18"/>
      <c r="F87" s="18"/>
      <c r="G87" s="19"/>
      <c r="H87" s="18"/>
      <c r="I87" s="18"/>
      <c r="J87" s="18"/>
      <c r="K87" s="18"/>
      <c r="L87" s="17"/>
      <c r="M87" s="18"/>
    </row>
    <row r="88" spans="1:13" x14ac:dyDescent="0.45">
      <c r="A88" s="17"/>
      <c r="B88" s="18"/>
      <c r="C88" s="18"/>
      <c r="D88" s="18"/>
      <c r="E88" s="18"/>
      <c r="F88" s="18"/>
      <c r="G88" s="19"/>
      <c r="H88" s="18"/>
      <c r="I88" s="18"/>
      <c r="J88" s="18"/>
      <c r="K88" s="18"/>
      <c r="L88" s="17"/>
      <c r="M88" s="18"/>
    </row>
    <row r="89" spans="1:13" x14ac:dyDescent="0.45">
      <c r="A89" s="17"/>
      <c r="B89" s="18"/>
      <c r="C89" s="18"/>
      <c r="D89" s="18"/>
      <c r="E89" s="18"/>
      <c r="F89" s="18"/>
      <c r="G89" s="19"/>
      <c r="H89" s="18"/>
      <c r="I89" s="18"/>
      <c r="J89" s="18"/>
      <c r="K89" s="18"/>
      <c r="L89" s="17"/>
      <c r="M89" s="18"/>
    </row>
    <row r="90" spans="1:13" x14ac:dyDescent="0.45">
      <c r="A90" s="17"/>
      <c r="B90" s="18"/>
      <c r="C90" s="18"/>
      <c r="D90" s="18"/>
      <c r="E90" s="18"/>
      <c r="F90" s="18"/>
      <c r="G90" s="19"/>
      <c r="H90" s="18"/>
      <c r="I90" s="18"/>
      <c r="J90" s="18"/>
      <c r="K90" s="18"/>
      <c r="L90" s="17"/>
      <c r="M90" s="18"/>
    </row>
    <row r="91" spans="1:13" x14ac:dyDescent="0.45">
      <c r="A91" s="17"/>
      <c r="B91" s="18"/>
      <c r="C91" s="18"/>
      <c r="D91" s="18"/>
      <c r="E91" s="18"/>
      <c r="F91" s="18"/>
      <c r="G91" s="19"/>
      <c r="H91" s="18"/>
      <c r="I91" s="18"/>
      <c r="J91" s="18"/>
      <c r="K91" s="18"/>
      <c r="L91" s="17"/>
      <c r="M91" s="18"/>
    </row>
    <row r="92" spans="1:13" x14ac:dyDescent="0.45">
      <c r="A92" s="17"/>
      <c r="B92" s="18"/>
      <c r="C92" s="18"/>
      <c r="D92" s="18"/>
      <c r="E92" s="18"/>
      <c r="F92" s="18"/>
      <c r="G92" s="19"/>
      <c r="H92" s="18"/>
      <c r="I92" s="18"/>
      <c r="J92" s="18"/>
      <c r="K92" s="18"/>
      <c r="L92" s="17"/>
      <c r="M92" s="18"/>
    </row>
    <row r="93" spans="1:13" x14ac:dyDescent="0.45">
      <c r="A93" s="17"/>
      <c r="B93" s="18"/>
      <c r="C93" s="18"/>
      <c r="D93" s="18"/>
      <c r="E93" s="18"/>
      <c r="F93" s="18"/>
      <c r="G93" s="19"/>
      <c r="H93" s="18"/>
      <c r="I93" s="18"/>
      <c r="J93" s="18"/>
      <c r="K93" s="18"/>
      <c r="L93" s="17"/>
      <c r="M93" s="18"/>
    </row>
    <row r="94" spans="1:13" x14ac:dyDescent="0.45">
      <c r="A94" s="17"/>
      <c r="B94" s="18"/>
      <c r="C94" s="18"/>
      <c r="D94" s="18"/>
      <c r="E94" s="18"/>
      <c r="F94" s="18"/>
      <c r="G94" s="19"/>
      <c r="H94" s="18"/>
      <c r="I94" s="18"/>
      <c r="J94" s="18"/>
      <c r="K94" s="18"/>
      <c r="L94" s="17"/>
      <c r="M94" s="18"/>
    </row>
    <row r="95" spans="1:13" x14ac:dyDescent="0.45">
      <c r="A95" s="17"/>
      <c r="B95" s="18"/>
      <c r="C95" s="18"/>
      <c r="D95" s="18"/>
      <c r="E95" s="18"/>
      <c r="F95" s="18"/>
      <c r="G95" s="19"/>
      <c r="H95" s="18"/>
      <c r="I95" s="18"/>
      <c r="J95" s="18"/>
      <c r="K95" s="18"/>
      <c r="L95" s="17"/>
      <c r="M95" s="18"/>
    </row>
    <row r="96" spans="1:13" x14ac:dyDescent="0.45">
      <c r="A96" s="17"/>
      <c r="B96" s="18"/>
      <c r="C96" s="18"/>
      <c r="D96" s="18"/>
      <c r="E96" s="18"/>
      <c r="F96" s="18"/>
      <c r="G96" s="19"/>
      <c r="H96" s="18"/>
      <c r="I96" s="18"/>
      <c r="J96" s="18"/>
      <c r="K96" s="18"/>
      <c r="L96" s="17"/>
      <c r="M96" s="18"/>
    </row>
    <row r="97" spans="1:13" x14ac:dyDescent="0.45">
      <c r="A97" s="17"/>
      <c r="B97" s="18"/>
      <c r="C97" s="18"/>
      <c r="D97" s="18"/>
      <c r="E97" s="18"/>
      <c r="F97" s="18"/>
      <c r="G97" s="19"/>
      <c r="H97" s="18"/>
      <c r="I97" s="18"/>
      <c r="J97" s="18"/>
      <c r="K97" s="18"/>
      <c r="L97" s="17"/>
      <c r="M97" s="18"/>
    </row>
    <row r="98" spans="1:13" x14ac:dyDescent="0.45">
      <c r="A98" s="17"/>
      <c r="B98" s="18"/>
      <c r="C98" s="18"/>
      <c r="D98" s="18"/>
      <c r="E98" s="18"/>
      <c r="F98" s="18"/>
      <c r="G98" s="19"/>
      <c r="H98" s="18"/>
      <c r="I98" s="18"/>
      <c r="J98" s="18"/>
      <c r="K98" s="18"/>
      <c r="L98" s="17"/>
      <c r="M98" s="18"/>
    </row>
    <row r="99" spans="1:13" x14ac:dyDescent="0.45">
      <c r="A99" s="17"/>
      <c r="B99" s="18"/>
      <c r="C99" s="18"/>
      <c r="D99" s="18"/>
      <c r="E99" s="18"/>
      <c r="F99" s="18"/>
      <c r="G99" s="19"/>
      <c r="H99" s="18"/>
      <c r="I99" s="18"/>
      <c r="J99" s="18"/>
      <c r="K99" s="18"/>
      <c r="L99" s="17"/>
      <c r="M99" s="18"/>
    </row>
    <row r="100" spans="1:13" x14ac:dyDescent="0.45">
      <c r="A100" s="17"/>
      <c r="B100" s="18"/>
      <c r="C100" s="18"/>
      <c r="D100" s="18"/>
      <c r="E100" s="18"/>
      <c r="F100" s="18"/>
      <c r="G100" s="19"/>
      <c r="H100" s="18"/>
      <c r="I100" s="18"/>
      <c r="J100" s="18"/>
      <c r="K100" s="18"/>
      <c r="L100" s="17"/>
      <c r="M100" s="18"/>
    </row>
    <row r="101" spans="1:13" x14ac:dyDescent="0.45">
      <c r="A101" s="17"/>
      <c r="B101" s="18"/>
      <c r="C101" s="18"/>
      <c r="D101" s="18"/>
      <c r="E101" s="18"/>
      <c r="F101" s="18"/>
      <c r="G101" s="19"/>
      <c r="H101" s="18"/>
      <c r="I101" s="18"/>
      <c r="J101" s="18"/>
      <c r="K101" s="18"/>
      <c r="L101" s="17"/>
      <c r="M101" s="18"/>
    </row>
    <row r="102" spans="1:13" x14ac:dyDescent="0.45">
      <c r="A102" s="17"/>
      <c r="B102" s="18"/>
      <c r="C102" s="18"/>
      <c r="D102" s="18"/>
      <c r="E102" s="18"/>
      <c r="F102" s="18"/>
      <c r="G102" s="19"/>
      <c r="H102" s="18"/>
      <c r="I102" s="18"/>
      <c r="J102" s="18"/>
      <c r="K102" s="18"/>
      <c r="L102" s="17"/>
      <c r="M102" s="18"/>
    </row>
    <row r="103" spans="1:13" x14ac:dyDescent="0.45">
      <c r="A103" s="17"/>
      <c r="B103" s="18"/>
      <c r="C103" s="18"/>
      <c r="D103" s="18"/>
      <c r="E103" s="18"/>
      <c r="F103" s="18"/>
      <c r="G103" s="19"/>
      <c r="H103" s="18"/>
      <c r="I103" s="18"/>
      <c r="J103" s="18"/>
      <c r="K103" s="18"/>
      <c r="L103" s="17"/>
      <c r="M103" s="18"/>
    </row>
    <row r="104" spans="1:13" x14ac:dyDescent="0.45">
      <c r="A104" s="17"/>
      <c r="B104" s="18"/>
      <c r="C104" s="18"/>
      <c r="D104" s="18"/>
      <c r="E104" s="18"/>
      <c r="F104" s="18"/>
      <c r="G104" s="19"/>
      <c r="H104" s="18"/>
      <c r="I104" s="18"/>
      <c r="J104" s="18"/>
      <c r="K104" s="18"/>
      <c r="L104" s="17"/>
      <c r="M104" s="18"/>
    </row>
    <row r="105" spans="1:13" x14ac:dyDescent="0.45">
      <c r="A105" s="17"/>
      <c r="B105" s="18"/>
      <c r="C105" s="18"/>
      <c r="D105" s="18"/>
      <c r="E105" s="18"/>
      <c r="F105" s="18"/>
      <c r="G105" s="19"/>
      <c r="H105" s="18"/>
      <c r="I105" s="18"/>
      <c r="J105" s="18"/>
      <c r="K105" s="18"/>
      <c r="L105" s="17"/>
      <c r="M105" s="18"/>
    </row>
    <row r="106" spans="1:13" x14ac:dyDescent="0.45">
      <c r="A106" s="17"/>
      <c r="B106" s="18"/>
      <c r="C106" s="18"/>
      <c r="D106" s="18"/>
      <c r="E106" s="18"/>
      <c r="F106" s="18"/>
      <c r="G106" s="19"/>
      <c r="H106" s="18"/>
      <c r="I106" s="18"/>
      <c r="J106" s="18"/>
      <c r="K106" s="18"/>
      <c r="L106" s="17"/>
      <c r="M106" s="18"/>
    </row>
    <row r="107" spans="1:13" x14ac:dyDescent="0.45">
      <c r="A107" s="17"/>
      <c r="B107" s="18"/>
      <c r="C107" s="18"/>
      <c r="D107" s="18"/>
      <c r="E107" s="18"/>
      <c r="F107" s="18"/>
      <c r="G107" s="19"/>
      <c r="H107" s="18"/>
      <c r="I107" s="18"/>
      <c r="J107" s="18"/>
      <c r="K107" s="18"/>
      <c r="L107" s="17"/>
      <c r="M107" s="18"/>
    </row>
    <row r="108" spans="1:13" x14ac:dyDescent="0.45">
      <c r="A108" s="17"/>
      <c r="B108" s="18"/>
      <c r="C108" s="18"/>
      <c r="D108" s="18"/>
      <c r="E108" s="18"/>
      <c r="F108" s="18"/>
      <c r="G108" s="19"/>
      <c r="H108" s="18"/>
      <c r="I108" s="18"/>
      <c r="J108" s="18"/>
      <c r="K108" s="18"/>
      <c r="L108" s="17"/>
      <c r="M108" s="18"/>
    </row>
    <row r="109" spans="1:13" x14ac:dyDescent="0.45">
      <c r="A109" s="17"/>
      <c r="B109" s="18"/>
      <c r="C109" s="18"/>
      <c r="D109" s="18"/>
      <c r="E109" s="18"/>
      <c r="F109" s="18"/>
      <c r="G109" s="19"/>
      <c r="H109" s="18"/>
      <c r="I109" s="18"/>
      <c r="J109" s="18"/>
      <c r="K109" s="18"/>
      <c r="L109" s="17"/>
      <c r="M109" s="18"/>
    </row>
    <row r="110" spans="1:13" x14ac:dyDescent="0.45">
      <c r="A110" s="17"/>
      <c r="B110" s="18"/>
      <c r="C110" s="18"/>
      <c r="D110" s="18"/>
      <c r="E110" s="18"/>
      <c r="F110" s="18"/>
      <c r="G110" s="19"/>
      <c r="H110" s="18"/>
      <c r="I110" s="18"/>
      <c r="J110" s="18"/>
      <c r="K110" s="18"/>
      <c r="L110" s="17"/>
      <c r="M110" s="18"/>
    </row>
    <row r="111" spans="1:13" x14ac:dyDescent="0.45">
      <c r="A111" s="17"/>
      <c r="B111" s="18"/>
      <c r="C111" s="18"/>
      <c r="D111" s="18"/>
      <c r="E111" s="18"/>
      <c r="F111" s="18"/>
      <c r="G111" s="19"/>
      <c r="H111" s="18"/>
      <c r="I111" s="18"/>
      <c r="J111" s="18"/>
      <c r="K111" s="18"/>
      <c r="L111" s="17"/>
      <c r="M111" s="18"/>
    </row>
    <row r="112" spans="1:13" x14ac:dyDescent="0.45">
      <c r="A112" s="17"/>
      <c r="B112" s="18"/>
      <c r="C112" s="18"/>
      <c r="D112" s="18"/>
      <c r="E112" s="18"/>
      <c r="F112" s="18"/>
      <c r="G112" s="19"/>
      <c r="H112" s="18"/>
      <c r="I112" s="18"/>
      <c r="J112" s="18"/>
      <c r="K112" s="18"/>
      <c r="L112" s="17"/>
      <c r="M112" s="18"/>
    </row>
    <row r="113" spans="1:13" x14ac:dyDescent="0.45">
      <c r="A113" s="17"/>
      <c r="B113" s="18"/>
      <c r="C113" s="18"/>
      <c r="D113" s="18"/>
      <c r="E113" s="18"/>
      <c r="F113" s="18"/>
      <c r="G113" s="19"/>
      <c r="H113" s="18"/>
      <c r="I113" s="18"/>
      <c r="J113" s="18"/>
      <c r="K113" s="18"/>
      <c r="L113" s="17"/>
      <c r="M113" s="18"/>
    </row>
    <row r="114" spans="1:13" x14ac:dyDescent="0.45">
      <c r="A114" s="17"/>
      <c r="B114" s="18"/>
      <c r="C114" s="18"/>
      <c r="D114" s="18"/>
      <c r="E114" s="18"/>
      <c r="F114" s="18"/>
      <c r="G114" s="19"/>
      <c r="H114" s="18"/>
      <c r="I114" s="18"/>
      <c r="J114" s="18"/>
      <c r="K114" s="18"/>
      <c r="L114" s="17"/>
      <c r="M114" s="18"/>
    </row>
    <row r="115" spans="1:13" x14ac:dyDescent="0.45">
      <c r="A115" s="17"/>
      <c r="B115" s="18"/>
      <c r="C115" s="18"/>
      <c r="D115" s="18"/>
      <c r="E115" s="18"/>
      <c r="F115" s="18"/>
      <c r="G115" s="19"/>
      <c r="H115" s="18"/>
      <c r="I115" s="18"/>
      <c r="J115" s="18"/>
      <c r="K115" s="18"/>
      <c r="L115" s="17"/>
      <c r="M115" s="18"/>
    </row>
    <row r="116" spans="1:13" x14ac:dyDescent="0.45">
      <c r="A116" s="17"/>
      <c r="B116" s="18"/>
      <c r="C116" s="18"/>
      <c r="D116" s="18"/>
      <c r="E116" s="18"/>
      <c r="F116" s="18"/>
      <c r="G116" s="19"/>
      <c r="H116" s="18"/>
      <c r="I116" s="18"/>
      <c r="J116" s="18"/>
      <c r="K116" s="18"/>
      <c r="L116" s="17"/>
      <c r="M116" s="18"/>
    </row>
    <row r="117" spans="1:13" x14ac:dyDescent="0.45">
      <c r="A117" s="17"/>
      <c r="B117" s="18"/>
      <c r="C117" s="18"/>
      <c r="D117" s="18"/>
      <c r="E117" s="18"/>
      <c r="F117" s="18"/>
      <c r="G117" s="19"/>
      <c r="H117" s="18"/>
      <c r="I117" s="18"/>
      <c r="J117" s="18"/>
      <c r="K117" s="18"/>
      <c r="L117" s="17"/>
      <c r="M117" s="18"/>
    </row>
    <row r="118" spans="1:13" x14ac:dyDescent="0.45">
      <c r="A118" s="17"/>
      <c r="B118" s="18"/>
      <c r="C118" s="18"/>
      <c r="D118" s="18"/>
      <c r="E118" s="18"/>
      <c r="F118" s="18"/>
      <c r="G118" s="19"/>
      <c r="H118" s="18"/>
      <c r="I118" s="18"/>
      <c r="J118" s="18"/>
      <c r="K118" s="18"/>
      <c r="L118" s="17"/>
      <c r="M118" s="18"/>
    </row>
    <row r="119" spans="1:13" x14ac:dyDescent="0.45">
      <c r="A119" s="17"/>
      <c r="B119" s="18"/>
      <c r="C119" s="18"/>
      <c r="D119" s="18"/>
      <c r="E119" s="18"/>
      <c r="F119" s="18"/>
      <c r="G119" s="19"/>
      <c r="H119" s="18"/>
      <c r="I119" s="18"/>
      <c r="J119" s="18"/>
      <c r="K119" s="18"/>
      <c r="L119" s="17"/>
      <c r="M119" s="18"/>
    </row>
    <row r="120" spans="1:13" x14ac:dyDescent="0.45">
      <c r="A120" s="17"/>
      <c r="B120" s="18"/>
      <c r="C120" s="18"/>
      <c r="D120" s="18"/>
      <c r="E120" s="18"/>
      <c r="F120" s="18"/>
      <c r="G120" s="19"/>
      <c r="H120" s="18"/>
      <c r="I120" s="18"/>
      <c r="J120" s="18"/>
      <c r="K120" s="18"/>
      <c r="L120" s="17"/>
      <c r="M120" s="18"/>
    </row>
    <row r="121" spans="1:13" x14ac:dyDescent="0.45">
      <c r="A121" s="17"/>
      <c r="B121" s="18"/>
      <c r="C121" s="18"/>
      <c r="D121" s="18"/>
      <c r="E121" s="18"/>
      <c r="F121" s="18"/>
      <c r="G121" s="19"/>
      <c r="H121" s="18"/>
      <c r="I121" s="18"/>
      <c r="J121" s="18"/>
      <c r="K121" s="18"/>
      <c r="L121" s="17"/>
      <c r="M121" s="18"/>
    </row>
    <row r="122" spans="1:13" x14ac:dyDescent="0.45">
      <c r="A122" s="17"/>
      <c r="B122" s="18"/>
      <c r="C122" s="18"/>
      <c r="D122" s="18"/>
      <c r="E122" s="18"/>
      <c r="F122" s="18"/>
      <c r="G122" s="19"/>
      <c r="H122" s="18"/>
      <c r="I122" s="18"/>
      <c r="J122" s="18"/>
      <c r="K122" s="18"/>
      <c r="L122" s="17"/>
      <c r="M122" s="18"/>
    </row>
    <row r="123" spans="1:13" x14ac:dyDescent="0.45">
      <c r="A123" s="17"/>
      <c r="B123" s="18"/>
      <c r="C123" s="18"/>
      <c r="D123" s="18"/>
      <c r="E123" s="18"/>
      <c r="F123" s="18"/>
      <c r="G123" s="19"/>
      <c r="H123" s="18"/>
      <c r="I123" s="18"/>
      <c r="J123" s="18"/>
      <c r="K123" s="18"/>
      <c r="L123" s="17"/>
      <c r="M123" s="18"/>
    </row>
    <row r="124" spans="1:13" x14ac:dyDescent="0.45">
      <c r="A124" s="17"/>
      <c r="B124" s="18"/>
      <c r="C124" s="18"/>
      <c r="D124" s="18"/>
      <c r="E124" s="18"/>
      <c r="F124" s="18"/>
      <c r="G124" s="19"/>
      <c r="H124" s="18"/>
      <c r="I124" s="18"/>
      <c r="J124" s="18"/>
      <c r="K124" s="18"/>
      <c r="L124" s="17"/>
      <c r="M124" s="18"/>
    </row>
    <row r="125" spans="1:13" x14ac:dyDescent="0.45">
      <c r="A125" s="17"/>
      <c r="B125" s="18"/>
      <c r="C125" s="18"/>
      <c r="D125" s="18"/>
      <c r="E125" s="18"/>
      <c r="F125" s="18"/>
      <c r="G125" s="19"/>
      <c r="H125" s="18"/>
      <c r="I125" s="18"/>
      <c r="J125" s="18"/>
      <c r="K125" s="18"/>
      <c r="L125" s="17"/>
      <c r="M125" s="18"/>
    </row>
    <row r="126" spans="1:13" x14ac:dyDescent="0.45">
      <c r="A126" s="17"/>
      <c r="B126" s="18"/>
      <c r="C126" s="18"/>
      <c r="D126" s="18"/>
      <c r="E126" s="18"/>
      <c r="F126" s="18"/>
      <c r="G126" s="19"/>
      <c r="H126" s="18"/>
      <c r="I126" s="18"/>
      <c r="J126" s="18"/>
      <c r="K126" s="18"/>
      <c r="L126" s="17"/>
      <c r="M126" s="18"/>
    </row>
    <row r="127" spans="1:13" x14ac:dyDescent="0.45">
      <c r="A127" s="17"/>
      <c r="B127" s="18"/>
      <c r="C127" s="18"/>
      <c r="D127" s="18"/>
      <c r="E127" s="18"/>
      <c r="F127" s="18"/>
      <c r="G127" s="19"/>
      <c r="H127" s="18"/>
      <c r="I127" s="18"/>
      <c r="J127" s="18"/>
      <c r="K127" s="18"/>
      <c r="L127" s="17"/>
      <c r="M127" s="18"/>
    </row>
    <row r="128" spans="1:13" x14ac:dyDescent="0.45">
      <c r="A128" s="17"/>
      <c r="B128" s="18"/>
      <c r="C128" s="18"/>
      <c r="D128" s="18"/>
      <c r="E128" s="18"/>
      <c r="F128" s="18"/>
      <c r="G128" s="19"/>
      <c r="H128" s="18"/>
      <c r="I128" s="18"/>
      <c r="J128" s="18"/>
      <c r="K128" s="18"/>
      <c r="L128" s="17"/>
      <c r="M128" s="18"/>
    </row>
    <row r="129" spans="1:13" x14ac:dyDescent="0.45">
      <c r="A129" s="17"/>
      <c r="B129" s="18"/>
      <c r="C129" s="18"/>
      <c r="D129" s="18"/>
      <c r="E129" s="18"/>
      <c r="F129" s="18"/>
      <c r="G129" s="19"/>
      <c r="H129" s="18"/>
      <c r="I129" s="18"/>
      <c r="J129" s="18"/>
      <c r="K129" s="18"/>
      <c r="L129" s="17"/>
      <c r="M129" s="18"/>
    </row>
    <row r="130" spans="1:13" x14ac:dyDescent="0.45">
      <c r="A130" s="17"/>
      <c r="B130" s="18"/>
      <c r="C130" s="18"/>
      <c r="D130" s="18"/>
      <c r="E130" s="18"/>
      <c r="F130" s="18"/>
      <c r="G130" s="19"/>
      <c r="H130" s="18"/>
      <c r="I130" s="18"/>
      <c r="J130" s="18"/>
      <c r="K130" s="18"/>
      <c r="L130" s="17"/>
      <c r="M130" s="18"/>
    </row>
    <row r="131" spans="1:13" x14ac:dyDescent="0.45">
      <c r="A131" s="17"/>
      <c r="B131" s="18"/>
      <c r="C131" s="18"/>
      <c r="D131" s="18"/>
      <c r="E131" s="18"/>
      <c r="F131" s="18"/>
      <c r="G131" s="19"/>
      <c r="H131" s="18"/>
      <c r="I131" s="18"/>
      <c r="J131" s="18"/>
      <c r="K131" s="18"/>
      <c r="L131" s="17"/>
      <c r="M131" s="18"/>
    </row>
    <row r="132" spans="1:13" x14ac:dyDescent="0.45">
      <c r="A132" s="17"/>
      <c r="B132" s="18"/>
      <c r="C132" s="18"/>
      <c r="D132" s="18"/>
      <c r="E132" s="18"/>
      <c r="F132" s="18"/>
      <c r="G132" s="19"/>
      <c r="H132" s="18"/>
      <c r="I132" s="18"/>
      <c r="J132" s="18"/>
      <c r="K132" s="18"/>
      <c r="L132" s="17"/>
      <c r="M132" s="18"/>
    </row>
    <row r="133" spans="1:13" x14ac:dyDescent="0.45">
      <c r="A133" s="17"/>
      <c r="B133" s="18"/>
      <c r="C133" s="18"/>
      <c r="D133" s="18"/>
      <c r="E133" s="18"/>
      <c r="F133" s="18"/>
      <c r="G133" s="19"/>
      <c r="H133" s="18"/>
      <c r="I133" s="18"/>
      <c r="J133" s="18"/>
      <c r="K133" s="18"/>
      <c r="L133" s="17"/>
      <c r="M133" s="18"/>
    </row>
    <row r="134" spans="1:13" x14ac:dyDescent="0.45">
      <c r="A134" s="17"/>
      <c r="B134" s="18"/>
      <c r="C134" s="18"/>
      <c r="D134" s="18"/>
      <c r="E134" s="18"/>
      <c r="F134" s="18"/>
      <c r="G134" s="19"/>
      <c r="H134" s="18"/>
      <c r="I134" s="18"/>
      <c r="J134" s="18"/>
      <c r="K134" s="18"/>
      <c r="L134" s="17"/>
      <c r="M134" s="18"/>
    </row>
    <row r="135" spans="1:13" x14ac:dyDescent="0.45">
      <c r="A135" s="17"/>
      <c r="B135" s="18"/>
      <c r="C135" s="18"/>
      <c r="D135" s="18"/>
      <c r="E135" s="18"/>
      <c r="F135" s="18"/>
      <c r="G135" s="19"/>
      <c r="H135" s="18"/>
      <c r="I135" s="18"/>
      <c r="J135" s="18"/>
      <c r="K135" s="18"/>
      <c r="L135" s="17"/>
      <c r="M135" s="18"/>
    </row>
    <row r="136" spans="1:13" x14ac:dyDescent="0.45">
      <c r="A136" s="17"/>
      <c r="B136" s="18"/>
      <c r="C136" s="18"/>
      <c r="D136" s="18"/>
      <c r="E136" s="18"/>
      <c r="F136" s="18"/>
      <c r="G136" s="19"/>
      <c r="H136" s="18"/>
      <c r="I136" s="18"/>
      <c r="J136" s="18"/>
      <c r="K136" s="18"/>
      <c r="L136" s="17"/>
      <c r="M136" s="18"/>
    </row>
    <row r="137" spans="1:13" x14ac:dyDescent="0.45">
      <c r="A137" s="17"/>
      <c r="B137" s="18"/>
      <c r="C137" s="18"/>
      <c r="D137" s="18"/>
      <c r="E137" s="18"/>
      <c r="F137" s="18"/>
      <c r="G137" s="19"/>
      <c r="H137" s="18"/>
      <c r="I137" s="18"/>
      <c r="J137" s="18"/>
      <c r="K137" s="18"/>
      <c r="L137" s="17"/>
      <c r="M137" s="18"/>
    </row>
    <row r="138" spans="1:13" x14ac:dyDescent="0.45">
      <c r="A138" s="17"/>
      <c r="B138" s="18"/>
      <c r="C138" s="18"/>
      <c r="D138" s="18"/>
      <c r="E138" s="18"/>
      <c r="F138" s="18"/>
      <c r="G138" s="19"/>
      <c r="H138" s="18"/>
      <c r="I138" s="18"/>
      <c r="J138" s="18"/>
      <c r="K138" s="18"/>
      <c r="L138" s="17"/>
      <c r="M138" s="18"/>
    </row>
    <row r="139" spans="1:13" x14ac:dyDescent="0.45">
      <c r="A139" s="17"/>
      <c r="B139" s="18"/>
      <c r="C139" s="18"/>
      <c r="D139" s="18"/>
      <c r="E139" s="18"/>
      <c r="F139" s="18"/>
      <c r="G139" s="19"/>
      <c r="H139" s="18"/>
      <c r="I139" s="18"/>
      <c r="J139" s="18"/>
      <c r="K139" s="18"/>
      <c r="L139" s="17"/>
      <c r="M139" s="18"/>
    </row>
    <row r="140" spans="1:13" x14ac:dyDescent="0.45">
      <c r="A140" s="17"/>
      <c r="B140" s="18"/>
      <c r="C140" s="18"/>
      <c r="D140" s="18"/>
      <c r="E140" s="18"/>
      <c r="F140" s="18"/>
      <c r="G140" s="19"/>
      <c r="H140" s="18"/>
      <c r="I140" s="18"/>
      <c r="J140" s="18"/>
      <c r="K140" s="18"/>
      <c r="L140" s="17"/>
      <c r="M140" s="18"/>
    </row>
    <row r="141" spans="1:13" x14ac:dyDescent="0.45">
      <c r="A141" s="17"/>
      <c r="B141" s="18"/>
      <c r="C141" s="18"/>
      <c r="D141" s="18"/>
      <c r="E141" s="18"/>
      <c r="F141" s="18"/>
      <c r="G141" s="19"/>
      <c r="H141" s="18"/>
      <c r="I141" s="18"/>
      <c r="J141" s="18"/>
      <c r="K141" s="18"/>
      <c r="L141" s="17"/>
      <c r="M141" s="18"/>
    </row>
    <row r="142" spans="1:13" x14ac:dyDescent="0.45">
      <c r="A142" s="17"/>
      <c r="B142" s="18"/>
      <c r="C142" s="18"/>
      <c r="D142" s="18"/>
      <c r="E142" s="18"/>
      <c r="F142" s="18"/>
      <c r="G142" s="19"/>
      <c r="H142" s="18"/>
      <c r="I142" s="18"/>
      <c r="J142" s="18"/>
      <c r="K142" s="18"/>
      <c r="L142" s="17"/>
      <c r="M142" s="18"/>
    </row>
    <row r="143" spans="1:13" x14ac:dyDescent="0.45">
      <c r="A143" s="17"/>
      <c r="B143" s="18"/>
      <c r="C143" s="18"/>
      <c r="D143" s="18"/>
      <c r="E143" s="18"/>
      <c r="F143" s="18"/>
      <c r="G143" s="19"/>
      <c r="H143" s="18"/>
      <c r="I143" s="18"/>
      <c r="J143" s="18"/>
      <c r="K143" s="18"/>
      <c r="L143" s="17"/>
      <c r="M143" s="18"/>
    </row>
    <row r="144" spans="1:13" x14ac:dyDescent="0.45">
      <c r="A144" s="17"/>
      <c r="B144" s="18"/>
      <c r="C144" s="18"/>
      <c r="D144" s="18"/>
      <c r="E144" s="18"/>
      <c r="F144" s="18"/>
      <c r="G144" s="19"/>
      <c r="H144" s="18"/>
      <c r="I144" s="18"/>
      <c r="J144" s="18"/>
      <c r="K144" s="18"/>
      <c r="L144" s="17"/>
      <c r="M144" s="18"/>
    </row>
    <row r="145" spans="1:13" x14ac:dyDescent="0.45">
      <c r="A145" s="17"/>
      <c r="B145" s="18"/>
      <c r="C145" s="18"/>
      <c r="D145" s="18"/>
      <c r="E145" s="18"/>
      <c r="F145" s="18"/>
      <c r="G145" s="19"/>
      <c r="H145" s="18"/>
      <c r="I145" s="18"/>
      <c r="J145" s="18"/>
      <c r="K145" s="18"/>
      <c r="L145" s="17"/>
      <c r="M145" s="18"/>
    </row>
    <row r="146" spans="1:13" x14ac:dyDescent="0.45">
      <c r="A146" s="17"/>
      <c r="B146" s="18"/>
      <c r="C146" s="18"/>
      <c r="D146" s="18"/>
      <c r="E146" s="18"/>
      <c r="F146" s="18"/>
      <c r="G146" s="19"/>
      <c r="H146" s="18"/>
      <c r="I146" s="18"/>
      <c r="J146" s="18"/>
      <c r="K146" s="18"/>
      <c r="L146" s="17"/>
      <c r="M146" s="18"/>
    </row>
    <row r="147" spans="1:13" x14ac:dyDescent="0.45">
      <c r="A147" s="17"/>
      <c r="B147" s="18"/>
      <c r="C147" s="18"/>
      <c r="D147" s="18"/>
      <c r="E147" s="18"/>
      <c r="F147" s="18"/>
      <c r="G147" s="19"/>
      <c r="H147" s="18"/>
      <c r="I147" s="18"/>
      <c r="J147" s="18"/>
      <c r="K147" s="18"/>
      <c r="L147" s="17"/>
      <c r="M147" s="18"/>
    </row>
    <row r="148" spans="1:13" x14ac:dyDescent="0.45">
      <c r="A148" s="17"/>
      <c r="B148" s="18"/>
      <c r="C148" s="18"/>
      <c r="D148" s="18"/>
      <c r="E148" s="18"/>
      <c r="F148" s="18"/>
      <c r="G148" s="19"/>
      <c r="H148" s="18"/>
      <c r="I148" s="18"/>
      <c r="J148" s="18"/>
      <c r="K148" s="18"/>
      <c r="L148" s="17"/>
      <c r="M148" s="18"/>
    </row>
    <row r="149" spans="1:13" x14ac:dyDescent="0.45">
      <c r="A149" s="17"/>
      <c r="B149" s="18"/>
      <c r="C149" s="18"/>
      <c r="D149" s="18"/>
      <c r="E149" s="18"/>
      <c r="F149" s="18"/>
      <c r="G149" s="19"/>
      <c r="H149" s="18"/>
      <c r="I149" s="18"/>
      <c r="J149" s="18"/>
      <c r="K149" s="18"/>
      <c r="L149" s="17"/>
      <c r="M149" s="18"/>
    </row>
    <row r="150" spans="1:13" x14ac:dyDescent="0.45">
      <c r="A150" s="17"/>
      <c r="B150" s="18"/>
      <c r="C150" s="18"/>
      <c r="D150" s="18"/>
      <c r="E150" s="18"/>
      <c r="F150" s="18"/>
      <c r="G150" s="19"/>
      <c r="H150" s="18"/>
      <c r="I150" s="18"/>
      <c r="J150" s="18"/>
      <c r="K150" s="18"/>
      <c r="L150" s="17"/>
      <c r="M150" s="18"/>
    </row>
    <row r="151" spans="1:13" x14ac:dyDescent="0.45">
      <c r="A151" s="17"/>
      <c r="B151" s="18"/>
      <c r="C151" s="18"/>
      <c r="D151" s="18"/>
      <c r="E151" s="18"/>
      <c r="F151" s="18"/>
      <c r="G151" s="19"/>
      <c r="H151" s="18"/>
      <c r="I151" s="18"/>
      <c r="J151" s="18"/>
      <c r="K151" s="18"/>
      <c r="L151" s="17"/>
      <c r="M151" s="18"/>
    </row>
    <row r="152" spans="1:13" x14ac:dyDescent="0.45">
      <c r="A152" s="17"/>
      <c r="B152" s="18"/>
      <c r="C152" s="18"/>
      <c r="D152" s="18"/>
      <c r="E152" s="18"/>
      <c r="F152" s="18"/>
      <c r="G152" s="19"/>
      <c r="H152" s="18"/>
      <c r="I152" s="18"/>
      <c r="J152" s="18"/>
      <c r="K152" s="18"/>
      <c r="L152" s="17"/>
      <c r="M152" s="18"/>
    </row>
    <row r="153" spans="1:13" x14ac:dyDescent="0.45">
      <c r="A153" s="17"/>
      <c r="B153" s="18"/>
      <c r="C153" s="18"/>
      <c r="D153" s="18"/>
      <c r="E153" s="18"/>
      <c r="F153" s="18"/>
      <c r="G153" s="19"/>
      <c r="H153" s="18"/>
      <c r="I153" s="18"/>
      <c r="J153" s="18"/>
      <c r="K153" s="18"/>
      <c r="L153" s="17"/>
      <c r="M153" s="18"/>
    </row>
    <row r="154" spans="1:13" x14ac:dyDescent="0.45">
      <c r="A154" s="17"/>
      <c r="B154" s="18"/>
      <c r="C154" s="18"/>
      <c r="D154" s="18"/>
      <c r="E154" s="18"/>
      <c r="F154" s="18"/>
      <c r="G154" s="19"/>
      <c r="H154" s="18"/>
      <c r="I154" s="18"/>
      <c r="J154" s="18"/>
      <c r="K154" s="18"/>
      <c r="L154" s="17"/>
      <c r="M154" s="18"/>
    </row>
    <row r="155" spans="1:13" x14ac:dyDescent="0.45">
      <c r="A155" s="17"/>
      <c r="B155" s="18"/>
      <c r="C155" s="18"/>
      <c r="D155" s="18"/>
      <c r="E155" s="18"/>
      <c r="F155" s="18"/>
      <c r="G155" s="19"/>
      <c r="H155" s="18"/>
      <c r="I155" s="18"/>
      <c r="J155" s="18"/>
      <c r="K155" s="18"/>
      <c r="L155" s="17"/>
      <c r="M155" s="18"/>
    </row>
    <row r="156" spans="1:13" x14ac:dyDescent="0.45">
      <c r="A156" s="17"/>
      <c r="B156" s="18"/>
      <c r="C156" s="18"/>
      <c r="D156" s="18"/>
      <c r="E156" s="18"/>
      <c r="F156" s="18"/>
      <c r="G156" s="19"/>
      <c r="H156" s="18"/>
      <c r="I156" s="18"/>
      <c r="J156" s="18"/>
      <c r="K156" s="18"/>
      <c r="L156" s="17"/>
      <c r="M156" s="18"/>
    </row>
    <row r="157" spans="1:13" x14ac:dyDescent="0.45">
      <c r="A157" s="17"/>
      <c r="B157" s="18"/>
      <c r="C157" s="18"/>
      <c r="D157" s="18"/>
      <c r="E157" s="18"/>
      <c r="F157" s="18"/>
      <c r="G157" s="19"/>
      <c r="H157" s="18"/>
      <c r="I157" s="18"/>
      <c r="J157" s="18"/>
      <c r="K157" s="18"/>
      <c r="L157" s="17"/>
      <c r="M157" s="18"/>
    </row>
    <row r="158" spans="1:13" x14ac:dyDescent="0.45">
      <c r="A158" s="17"/>
      <c r="B158" s="18"/>
      <c r="C158" s="18"/>
      <c r="D158" s="18"/>
      <c r="E158" s="18"/>
      <c r="F158" s="18"/>
      <c r="G158" s="19"/>
      <c r="H158" s="18"/>
      <c r="I158" s="18"/>
      <c r="J158" s="18"/>
      <c r="K158" s="18"/>
      <c r="L158" s="17"/>
      <c r="M158" s="18"/>
    </row>
    <row r="159" spans="1:13" x14ac:dyDescent="0.45">
      <c r="A159" s="17"/>
      <c r="B159" s="18"/>
      <c r="C159" s="18"/>
      <c r="D159" s="18"/>
      <c r="E159" s="18"/>
      <c r="F159" s="18"/>
      <c r="G159" s="19"/>
      <c r="H159" s="18"/>
      <c r="I159" s="18"/>
      <c r="J159" s="18"/>
      <c r="K159" s="18"/>
      <c r="L159" s="17"/>
      <c r="M159" s="18"/>
    </row>
    <row r="160" spans="1:13" x14ac:dyDescent="0.45">
      <c r="A160" s="17"/>
      <c r="B160" s="18"/>
      <c r="C160" s="18"/>
      <c r="D160" s="18"/>
      <c r="E160" s="18"/>
      <c r="F160" s="18"/>
      <c r="G160" s="19"/>
      <c r="H160" s="18"/>
      <c r="I160" s="18"/>
      <c r="J160" s="18"/>
      <c r="K160" s="18"/>
      <c r="L160" s="17"/>
      <c r="M160" s="18"/>
    </row>
    <row r="161" spans="1:13" x14ac:dyDescent="0.45">
      <c r="A161" s="17"/>
      <c r="B161" s="18"/>
      <c r="C161" s="18"/>
      <c r="D161" s="18"/>
      <c r="E161" s="18"/>
      <c r="F161" s="18"/>
      <c r="G161" s="19"/>
      <c r="H161" s="18"/>
      <c r="I161" s="18"/>
      <c r="J161" s="18"/>
      <c r="K161" s="18"/>
      <c r="L161" s="17"/>
      <c r="M161" s="18"/>
    </row>
    <row r="162" spans="1:13" x14ac:dyDescent="0.45">
      <c r="A162" s="17"/>
      <c r="B162" s="18"/>
      <c r="C162" s="18"/>
      <c r="D162" s="18"/>
      <c r="E162" s="18"/>
      <c r="F162" s="18"/>
      <c r="G162" s="19"/>
      <c r="H162" s="18"/>
      <c r="I162" s="18"/>
      <c r="J162" s="18"/>
      <c r="K162" s="18"/>
      <c r="L162" s="17"/>
      <c r="M162" s="18"/>
    </row>
    <row r="163" spans="1:13" x14ac:dyDescent="0.45">
      <c r="A163" s="17"/>
      <c r="B163" s="18"/>
      <c r="C163" s="18"/>
      <c r="D163" s="18"/>
      <c r="E163" s="18"/>
      <c r="F163" s="18"/>
      <c r="G163" s="19"/>
      <c r="H163" s="18"/>
      <c r="I163" s="18"/>
      <c r="J163" s="18"/>
      <c r="K163" s="18"/>
      <c r="L163" s="17"/>
      <c r="M163" s="18"/>
    </row>
    <row r="164" spans="1:13" x14ac:dyDescent="0.45">
      <c r="A164" s="17"/>
      <c r="B164" s="18"/>
      <c r="C164" s="18"/>
      <c r="D164" s="18"/>
      <c r="E164" s="18"/>
      <c r="F164" s="18"/>
      <c r="G164" s="19"/>
      <c r="H164" s="18"/>
      <c r="I164" s="18"/>
      <c r="J164" s="18"/>
      <c r="K164" s="18"/>
      <c r="L164" s="17"/>
      <c r="M164" s="18"/>
    </row>
    <row r="165" spans="1:13" x14ac:dyDescent="0.45">
      <c r="A165" s="17"/>
      <c r="B165" s="18"/>
      <c r="C165" s="18"/>
      <c r="D165" s="18"/>
      <c r="E165" s="18"/>
      <c r="F165" s="18"/>
      <c r="G165" s="19"/>
      <c r="H165" s="18"/>
      <c r="I165" s="18"/>
      <c r="J165" s="18"/>
      <c r="K165" s="18"/>
      <c r="L165" s="17"/>
      <c r="M165" s="18"/>
    </row>
    <row r="166" spans="1:13" x14ac:dyDescent="0.45">
      <c r="A166" s="17"/>
      <c r="B166" s="18"/>
      <c r="C166" s="18"/>
      <c r="D166" s="18"/>
      <c r="E166" s="18"/>
      <c r="F166" s="18"/>
      <c r="G166" s="19"/>
      <c r="H166" s="18"/>
      <c r="I166" s="18"/>
      <c r="J166" s="18"/>
      <c r="K166" s="18"/>
      <c r="L166" s="17"/>
      <c r="M166" s="18"/>
    </row>
    <row r="167" spans="1:13" x14ac:dyDescent="0.45">
      <c r="A167" s="17"/>
      <c r="B167" s="18"/>
      <c r="C167" s="18"/>
      <c r="D167" s="18"/>
      <c r="E167" s="18"/>
      <c r="F167" s="18"/>
      <c r="G167" s="19"/>
      <c r="H167" s="18"/>
      <c r="I167" s="18"/>
      <c r="J167" s="18"/>
      <c r="K167" s="18"/>
      <c r="L167" s="17"/>
      <c r="M167" s="18"/>
    </row>
    <row r="168" spans="1:13" x14ac:dyDescent="0.45">
      <c r="A168" s="17"/>
      <c r="B168" s="18"/>
      <c r="C168" s="18"/>
      <c r="D168" s="18"/>
      <c r="E168" s="18"/>
      <c r="F168" s="18"/>
      <c r="G168" s="19"/>
      <c r="H168" s="18"/>
      <c r="I168" s="18"/>
      <c r="J168" s="18"/>
      <c r="K168" s="18"/>
      <c r="L168" s="17"/>
      <c r="M168" s="18"/>
    </row>
    <row r="169" spans="1:13" x14ac:dyDescent="0.45">
      <c r="A169" s="17"/>
      <c r="B169" s="18"/>
      <c r="C169" s="18"/>
      <c r="D169" s="18"/>
      <c r="E169" s="18"/>
      <c r="F169" s="18"/>
      <c r="G169" s="19"/>
      <c r="H169" s="18"/>
      <c r="I169" s="18"/>
      <c r="J169" s="18"/>
      <c r="K169" s="18"/>
      <c r="L169" s="17"/>
      <c r="M169" s="18"/>
    </row>
    <row r="170" spans="1:13" x14ac:dyDescent="0.45">
      <c r="A170" s="17"/>
      <c r="B170" s="18"/>
      <c r="C170" s="18"/>
      <c r="D170" s="18"/>
      <c r="E170" s="18"/>
      <c r="F170" s="18"/>
      <c r="G170" s="19"/>
      <c r="H170" s="18"/>
      <c r="I170" s="18"/>
      <c r="J170" s="18"/>
      <c r="K170" s="18"/>
      <c r="L170" s="17"/>
      <c r="M170" s="18"/>
    </row>
    <row r="171" spans="1:13" x14ac:dyDescent="0.45">
      <c r="A171" s="17"/>
      <c r="B171" s="18"/>
      <c r="C171" s="18"/>
      <c r="D171" s="18"/>
      <c r="E171" s="18"/>
      <c r="F171" s="18"/>
      <c r="G171" s="19"/>
      <c r="H171" s="18"/>
      <c r="I171" s="18"/>
      <c r="J171" s="18"/>
      <c r="K171" s="18"/>
      <c r="L171" s="17"/>
      <c r="M171" s="18"/>
    </row>
    <row r="172" spans="1:13" x14ac:dyDescent="0.45">
      <c r="A172" s="17"/>
      <c r="B172" s="18"/>
      <c r="C172" s="18"/>
      <c r="D172" s="18"/>
      <c r="E172" s="18"/>
      <c r="F172" s="18"/>
      <c r="G172" s="19"/>
      <c r="H172" s="18"/>
      <c r="I172" s="18"/>
      <c r="J172" s="18"/>
      <c r="K172" s="18"/>
      <c r="L172" s="17"/>
      <c r="M172" s="18"/>
    </row>
    <row r="173" spans="1:13" x14ac:dyDescent="0.45">
      <c r="A173" s="17"/>
      <c r="B173" s="18"/>
      <c r="C173" s="18"/>
      <c r="D173" s="18"/>
      <c r="E173" s="18"/>
      <c r="F173" s="18"/>
      <c r="G173" s="19"/>
      <c r="H173" s="18"/>
      <c r="I173" s="18"/>
      <c r="J173" s="18"/>
      <c r="K173" s="18"/>
      <c r="L173" s="17"/>
      <c r="M173" s="18"/>
    </row>
    <row r="174" spans="1:13" x14ac:dyDescent="0.45">
      <c r="A174" s="17"/>
      <c r="B174" s="18"/>
      <c r="C174" s="18"/>
      <c r="D174" s="18"/>
      <c r="E174" s="18"/>
      <c r="F174" s="18"/>
      <c r="G174" s="19"/>
      <c r="H174" s="18"/>
      <c r="I174" s="18"/>
      <c r="J174" s="18"/>
      <c r="K174" s="18"/>
      <c r="L174" s="17"/>
      <c r="M174" s="18"/>
    </row>
    <row r="175" spans="1:13" x14ac:dyDescent="0.45">
      <c r="A175" s="17"/>
      <c r="B175" s="18"/>
      <c r="C175" s="18"/>
      <c r="D175" s="18"/>
      <c r="E175" s="18"/>
      <c r="F175" s="18"/>
      <c r="G175" s="19"/>
      <c r="H175" s="18"/>
      <c r="I175" s="18"/>
      <c r="J175" s="18"/>
      <c r="K175" s="18"/>
      <c r="L175" s="17"/>
      <c r="M175" s="18"/>
    </row>
    <row r="176" spans="1:13" x14ac:dyDescent="0.45">
      <c r="A176" s="17"/>
      <c r="B176" s="18"/>
      <c r="C176" s="18"/>
      <c r="D176" s="18"/>
      <c r="E176" s="18"/>
      <c r="F176" s="18"/>
      <c r="G176" s="19"/>
      <c r="H176" s="18"/>
      <c r="I176" s="18"/>
      <c r="J176" s="18"/>
      <c r="K176" s="18"/>
      <c r="L176" s="17"/>
      <c r="M176" s="18"/>
    </row>
    <row r="177" spans="1:13" x14ac:dyDescent="0.45">
      <c r="A177" s="17"/>
      <c r="B177" s="18"/>
      <c r="C177" s="18"/>
      <c r="D177" s="18"/>
      <c r="E177" s="18"/>
      <c r="F177" s="18"/>
      <c r="G177" s="19"/>
      <c r="H177" s="18"/>
      <c r="I177" s="18"/>
      <c r="J177" s="18"/>
      <c r="K177" s="18"/>
      <c r="L177" s="17"/>
      <c r="M177" s="18"/>
    </row>
    <row r="178" spans="1:13" x14ac:dyDescent="0.45">
      <c r="A178" s="17"/>
      <c r="B178" s="18"/>
      <c r="C178" s="18"/>
      <c r="D178" s="18"/>
      <c r="E178" s="18"/>
      <c r="F178" s="18"/>
      <c r="G178" s="19"/>
      <c r="H178" s="18"/>
      <c r="I178" s="18"/>
      <c r="J178" s="18"/>
      <c r="K178" s="18"/>
      <c r="L178" s="17"/>
      <c r="M178" s="18"/>
    </row>
    <row r="179" spans="1:13" x14ac:dyDescent="0.45">
      <c r="A179" s="17"/>
      <c r="B179" s="18"/>
      <c r="C179" s="18"/>
      <c r="D179" s="18"/>
      <c r="E179" s="18"/>
      <c r="F179" s="18"/>
      <c r="G179" s="19"/>
      <c r="H179" s="18"/>
      <c r="I179" s="18"/>
      <c r="J179" s="18"/>
      <c r="K179" s="18"/>
      <c r="L179" s="17"/>
      <c r="M179" s="18"/>
    </row>
    <row r="180" spans="1:13" x14ac:dyDescent="0.45">
      <c r="A180" s="17"/>
      <c r="B180" s="18"/>
      <c r="C180" s="18"/>
      <c r="D180" s="18"/>
      <c r="E180" s="18"/>
      <c r="F180" s="18"/>
      <c r="G180" s="19"/>
      <c r="H180" s="18"/>
      <c r="I180" s="18"/>
      <c r="J180" s="18"/>
      <c r="K180" s="18"/>
      <c r="L180" s="17"/>
      <c r="M180" s="18"/>
    </row>
    <row r="181" spans="1:13" x14ac:dyDescent="0.45">
      <c r="A181" s="17"/>
      <c r="B181" s="18"/>
      <c r="C181" s="18"/>
      <c r="D181" s="18"/>
      <c r="E181" s="18"/>
      <c r="F181" s="18"/>
      <c r="G181" s="19"/>
      <c r="H181" s="18"/>
      <c r="I181" s="18"/>
      <c r="J181" s="18"/>
      <c r="K181" s="18"/>
      <c r="L181" s="17"/>
      <c r="M181" s="18"/>
    </row>
    <row r="182" spans="1:13" x14ac:dyDescent="0.45">
      <c r="A182" s="17"/>
      <c r="B182" s="18"/>
      <c r="C182" s="18"/>
      <c r="D182" s="18"/>
      <c r="E182" s="18"/>
      <c r="F182" s="18"/>
      <c r="G182" s="19"/>
      <c r="H182" s="18"/>
      <c r="I182" s="18"/>
      <c r="J182" s="18"/>
      <c r="K182" s="18"/>
      <c r="L182" s="17"/>
      <c r="M182" s="18"/>
    </row>
    <row r="183" spans="1:13" x14ac:dyDescent="0.45">
      <c r="A183" s="17"/>
      <c r="B183" s="18"/>
      <c r="C183" s="18"/>
      <c r="D183" s="18"/>
      <c r="E183" s="18"/>
      <c r="F183" s="18"/>
      <c r="G183" s="19"/>
      <c r="H183" s="18"/>
      <c r="I183" s="18"/>
      <c r="J183" s="18"/>
      <c r="K183" s="18"/>
      <c r="L183" s="17"/>
      <c r="M183" s="18"/>
    </row>
    <row r="184" spans="1:13" x14ac:dyDescent="0.45">
      <c r="A184" s="17"/>
      <c r="B184" s="18"/>
      <c r="C184" s="18"/>
      <c r="D184" s="18"/>
      <c r="E184" s="18"/>
      <c r="F184" s="18"/>
      <c r="G184" s="19"/>
      <c r="H184" s="18"/>
      <c r="I184" s="18"/>
      <c r="J184" s="18"/>
      <c r="K184" s="18"/>
      <c r="L184" s="17"/>
      <c r="M184" s="18"/>
    </row>
    <row r="185" spans="1:13" x14ac:dyDescent="0.45">
      <c r="A185" s="17"/>
      <c r="B185" s="18"/>
      <c r="C185" s="18"/>
      <c r="D185" s="18"/>
      <c r="E185" s="18"/>
      <c r="F185" s="18"/>
      <c r="G185" s="19"/>
      <c r="H185" s="18"/>
      <c r="I185" s="18"/>
      <c r="J185" s="18"/>
      <c r="K185" s="18"/>
      <c r="L185" s="17"/>
      <c r="M185" s="18"/>
    </row>
    <row r="186" spans="1:13" x14ac:dyDescent="0.45">
      <c r="A186" s="17"/>
      <c r="B186" s="18"/>
      <c r="C186" s="18"/>
      <c r="D186" s="18"/>
      <c r="E186" s="18"/>
      <c r="F186" s="18"/>
      <c r="G186" s="19"/>
      <c r="H186" s="18"/>
      <c r="I186" s="18"/>
      <c r="J186" s="18"/>
      <c r="K186" s="18"/>
      <c r="L186" s="17"/>
      <c r="M186" s="18"/>
    </row>
    <row r="187" spans="1:13" x14ac:dyDescent="0.45">
      <c r="A187" s="17"/>
      <c r="B187" s="18"/>
      <c r="C187" s="18"/>
      <c r="D187" s="18"/>
      <c r="E187" s="18"/>
      <c r="F187" s="18"/>
      <c r="G187" s="19"/>
      <c r="H187" s="18"/>
      <c r="I187" s="18"/>
      <c r="J187" s="18"/>
      <c r="K187" s="18"/>
      <c r="L187" s="17"/>
      <c r="M187" s="18"/>
    </row>
    <row r="188" spans="1:13" x14ac:dyDescent="0.45">
      <c r="A188" s="17"/>
      <c r="B188" s="18"/>
      <c r="C188" s="18"/>
      <c r="D188" s="18"/>
      <c r="E188" s="18"/>
      <c r="F188" s="18"/>
      <c r="G188" s="19"/>
      <c r="H188" s="18"/>
      <c r="I188" s="18"/>
      <c r="J188" s="18"/>
      <c r="K188" s="18"/>
      <c r="L188" s="17"/>
      <c r="M188" s="18"/>
    </row>
    <row r="189" spans="1:13" x14ac:dyDescent="0.45">
      <c r="A189" s="17"/>
      <c r="B189" s="18"/>
      <c r="C189" s="18"/>
      <c r="D189" s="18"/>
      <c r="E189" s="18"/>
      <c r="F189" s="18"/>
      <c r="G189" s="19"/>
      <c r="H189" s="18"/>
      <c r="I189" s="18"/>
      <c r="J189" s="18"/>
      <c r="K189" s="18"/>
      <c r="L189" s="17"/>
      <c r="M189" s="18"/>
    </row>
    <row r="190" spans="1:13" x14ac:dyDescent="0.45">
      <c r="A190" s="17"/>
      <c r="B190" s="18"/>
      <c r="C190" s="18"/>
      <c r="D190" s="18"/>
      <c r="E190" s="18"/>
      <c r="F190" s="18"/>
      <c r="G190" s="19"/>
      <c r="H190" s="18"/>
      <c r="I190" s="18"/>
      <c r="J190" s="18"/>
      <c r="K190" s="18"/>
      <c r="L190" s="17"/>
      <c r="M190" s="18"/>
    </row>
    <row r="191" spans="1:13" x14ac:dyDescent="0.45">
      <c r="A191" s="17"/>
      <c r="B191" s="18"/>
      <c r="C191" s="18"/>
      <c r="D191" s="18"/>
      <c r="E191" s="18"/>
      <c r="F191" s="18"/>
      <c r="G191" s="19"/>
      <c r="H191" s="18"/>
      <c r="I191" s="18"/>
      <c r="J191" s="18"/>
      <c r="K191" s="18"/>
      <c r="L191" s="17"/>
      <c r="M191" s="18"/>
    </row>
    <row r="192" spans="1:13" x14ac:dyDescent="0.45">
      <c r="A192" s="17"/>
      <c r="B192" s="18"/>
      <c r="C192" s="18"/>
      <c r="D192" s="18"/>
      <c r="E192" s="18"/>
      <c r="F192" s="18"/>
      <c r="G192" s="19"/>
      <c r="H192" s="18"/>
      <c r="I192" s="18"/>
      <c r="J192" s="18"/>
      <c r="K192" s="18"/>
      <c r="L192" s="17"/>
      <c r="M192" s="18"/>
    </row>
    <row r="193" spans="1:13" x14ac:dyDescent="0.45">
      <c r="A193" s="17"/>
      <c r="B193" s="18"/>
      <c r="C193" s="18"/>
      <c r="D193" s="18"/>
      <c r="E193" s="18"/>
      <c r="F193" s="18"/>
      <c r="G193" s="19"/>
      <c r="H193" s="18"/>
      <c r="I193" s="18"/>
      <c r="J193" s="18"/>
      <c r="K193" s="18"/>
      <c r="L193" s="17"/>
      <c r="M193" s="18"/>
    </row>
    <row r="194" spans="1:13" x14ac:dyDescent="0.45">
      <c r="A194" s="17"/>
      <c r="B194" s="18"/>
      <c r="C194" s="18"/>
      <c r="D194" s="18"/>
      <c r="E194" s="18"/>
      <c r="F194" s="18"/>
      <c r="G194" s="19"/>
      <c r="H194" s="18"/>
      <c r="I194" s="18"/>
      <c r="J194" s="18"/>
      <c r="K194" s="18"/>
      <c r="L194" s="17"/>
      <c r="M194" s="18"/>
    </row>
    <row r="195" spans="1:13" x14ac:dyDescent="0.45">
      <c r="A195" s="17"/>
      <c r="B195" s="18"/>
      <c r="C195" s="18"/>
      <c r="D195" s="18"/>
      <c r="E195" s="18"/>
      <c r="F195" s="18"/>
      <c r="G195" s="19"/>
      <c r="H195" s="18"/>
      <c r="I195" s="18"/>
      <c r="J195" s="18"/>
      <c r="K195" s="18"/>
      <c r="L195" s="17"/>
      <c r="M195" s="18"/>
    </row>
    <row r="196" spans="1:13" x14ac:dyDescent="0.45">
      <c r="A196" s="17"/>
      <c r="B196" s="18"/>
      <c r="C196" s="18"/>
      <c r="D196" s="18"/>
      <c r="E196" s="18"/>
      <c r="F196" s="18"/>
      <c r="G196" s="19"/>
      <c r="H196" s="18"/>
      <c r="I196" s="18"/>
      <c r="J196" s="18"/>
      <c r="K196" s="18"/>
      <c r="L196" s="17"/>
      <c r="M196" s="18"/>
    </row>
    <row r="197" spans="1:13" x14ac:dyDescent="0.45">
      <c r="A197" s="17"/>
      <c r="B197" s="18"/>
      <c r="C197" s="18"/>
      <c r="D197" s="18"/>
      <c r="E197" s="18"/>
      <c r="F197" s="18"/>
      <c r="G197" s="19"/>
      <c r="H197" s="18"/>
      <c r="I197" s="18"/>
      <c r="J197" s="18"/>
      <c r="K197" s="18"/>
      <c r="L197" s="17"/>
      <c r="M197" s="18"/>
    </row>
    <row r="198" spans="1:13" x14ac:dyDescent="0.45">
      <c r="A198" s="17"/>
      <c r="B198" s="18"/>
      <c r="C198" s="18"/>
      <c r="D198" s="18"/>
      <c r="E198" s="18"/>
      <c r="F198" s="18"/>
      <c r="G198" s="19"/>
      <c r="H198" s="18"/>
      <c r="I198" s="18"/>
      <c r="J198" s="18"/>
      <c r="K198" s="18"/>
      <c r="L198" s="17"/>
      <c r="M198" s="18"/>
    </row>
    <row r="199" spans="1:13" x14ac:dyDescent="0.45">
      <c r="A199" s="17"/>
      <c r="B199" s="18"/>
      <c r="C199" s="18"/>
      <c r="D199" s="18"/>
      <c r="E199" s="18"/>
      <c r="F199" s="18"/>
      <c r="G199" s="19"/>
      <c r="H199" s="18"/>
      <c r="I199" s="18"/>
      <c r="J199" s="18"/>
      <c r="K199" s="18"/>
      <c r="L199" s="17"/>
      <c r="M199" s="18"/>
    </row>
    <row r="200" spans="1:13" x14ac:dyDescent="0.45">
      <c r="A200" s="17"/>
      <c r="B200" s="18"/>
      <c r="C200" s="18"/>
      <c r="D200" s="18"/>
      <c r="E200" s="18"/>
      <c r="F200" s="18"/>
      <c r="G200" s="19"/>
      <c r="H200" s="18"/>
      <c r="I200" s="18"/>
      <c r="J200" s="18"/>
      <c r="K200" s="18"/>
      <c r="L200" s="17"/>
      <c r="M200" s="18"/>
    </row>
    <row r="201" spans="1:13" x14ac:dyDescent="0.45">
      <c r="A201" s="17"/>
      <c r="B201" s="18"/>
      <c r="C201" s="18"/>
      <c r="D201" s="18"/>
      <c r="E201" s="18"/>
      <c r="F201" s="18"/>
      <c r="G201" s="19"/>
      <c r="H201" s="18"/>
      <c r="I201" s="18"/>
      <c r="J201" s="18"/>
      <c r="K201" s="18"/>
      <c r="L201" s="17"/>
      <c r="M201" s="18"/>
    </row>
    <row r="202" spans="1:13" x14ac:dyDescent="0.45">
      <c r="A202" s="17"/>
      <c r="B202" s="18"/>
      <c r="C202" s="18"/>
      <c r="D202" s="18"/>
      <c r="E202" s="18"/>
      <c r="F202" s="18"/>
      <c r="G202" s="19"/>
      <c r="H202" s="18"/>
      <c r="I202" s="18"/>
      <c r="J202" s="18"/>
      <c r="K202" s="18"/>
      <c r="L202" s="17"/>
      <c r="M202" s="18"/>
    </row>
    <row r="203" spans="1:13" x14ac:dyDescent="0.45">
      <c r="A203" s="17"/>
      <c r="B203" s="18"/>
      <c r="C203" s="18"/>
      <c r="D203" s="18"/>
      <c r="E203" s="18"/>
      <c r="F203" s="18"/>
      <c r="G203" s="19"/>
      <c r="H203" s="18"/>
      <c r="I203" s="18"/>
      <c r="J203" s="18"/>
      <c r="K203" s="18"/>
      <c r="L203" s="17"/>
      <c r="M203" s="18"/>
    </row>
    <row r="204" spans="1:13" x14ac:dyDescent="0.45">
      <c r="A204" s="17"/>
      <c r="B204" s="18"/>
      <c r="C204" s="18"/>
      <c r="D204" s="18"/>
      <c r="E204" s="18"/>
      <c r="F204" s="18"/>
      <c r="G204" s="19"/>
      <c r="H204" s="18"/>
      <c r="I204" s="18"/>
      <c r="J204" s="18"/>
      <c r="K204" s="18"/>
      <c r="L204" s="17"/>
      <c r="M204" s="18"/>
    </row>
  </sheetData>
  <conditionalFormatting sqref="K5:K204">
    <cfRule type="expression" dxfId="16" priority="2">
      <formula>AND($A5&lt;&gt;"",$K5&lt;&gt;"Xong")</formula>
    </cfRule>
  </conditionalFormatting>
  <dataValidations count="2">
    <dataValidation type="list" allowBlank="1" sqref="H5:H204" xr:uid="{00000000-0002-0000-0500-000004000000}">
      <formula1>"Công ty,Tài xế"</formula1>
      <formula2>0</formula2>
    </dataValidation>
    <dataValidation type="list" allowBlank="1" sqref="K5:K204" xr:uid="{00000000-0002-0000-0500-000006000000}">
      <formula1>"Mới,Đang xử lý,Xong"</formula1>
      <formula2>0</formula2>
    </dataValidation>
  </dataValidations>
  <pageMargins left="0.75" right="0.75" top="1" bottom="1" header="0.511811023622047" footer="0.511811023622047"/>
  <pageSetup paperSize="9" orientation="portrait" horizontalDpi="300" verticalDpi="300"/>
  <extLst>
    <ext xmlns:x14="http://schemas.microsoft.com/office/spreadsheetml/2009/9/main" uri="{CCE6A557-97BC-4b89-ADB6-D9C93CAAB3DF}">
      <x14:dataValidations xmlns:xm="http://schemas.microsoft.com/office/excel/2006/main" count="5">
        <x14:dataValidation type="list" allowBlank="1" xr:uid="{00000000-0002-0000-0500-000000000000}">
          <x14:formula1>
            <xm:f>'THAM SỐ'!$A$5:$A$7</xm:f>
          </x14:formula1>
          <x14:formula2>
            <xm:f>0</xm:f>
          </x14:formula2>
          <xm:sqref>B5:B204</xm:sqref>
        </x14:dataValidation>
        <x14:dataValidation type="list" allowBlank="1" xr:uid="{00000000-0002-0000-0500-000001000000}">
          <x14:formula1>
            <xm:f>'THAM SỐ'!$A$11:$A$14</xm:f>
          </x14:formula1>
          <x14:formula2>
            <xm:f>0</xm:f>
          </x14:formula2>
          <xm:sqref>C5:C204</xm:sqref>
        </x14:dataValidation>
        <x14:dataValidation type="list" allowBlank="1" xr:uid="{00000000-0002-0000-0500-000002000000}">
          <x14:formula1>
            <xm:f>'THAM SỐ'!$J$5:$J$7</xm:f>
          </x14:formula1>
          <x14:formula2>
            <xm:f>0</xm:f>
          </x14:formula2>
          <xm:sqref>D5:D204</xm:sqref>
        </x14:dataValidation>
        <x14:dataValidation type="list" allowBlank="1" xr:uid="{00000000-0002-0000-0500-000003000000}">
          <x14:formula1>
            <xm:f>'THAM SỐ'!$K$5:$K$16</xm:f>
          </x14:formula1>
          <x14:formula2>
            <xm:f>0</xm:f>
          </x14:formula2>
          <xm:sqref>E5:E204</xm:sqref>
        </x14:dataValidation>
        <x14:dataValidation type="list" allowBlank="1" xr:uid="{00000000-0002-0000-0500-000005000000}">
          <x14:formula1>
            <xm:f>'THAM SỐ'!$M$5:$M$34</xm:f>
          </x14:formula1>
          <x14:formula2>
            <xm:f>0</xm:f>
          </x14:formula2>
          <xm:sqref>I5:I204</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2E75B6"/>
  </sheetPr>
  <dimension ref="A1:L44"/>
  <sheetViews>
    <sheetView showGridLines="0" zoomScaleNormal="100" workbookViewId="0">
      <pane xSplit="2" ySplit="4" topLeftCell="C5" activePane="bottomRight" state="frozen"/>
      <selection pane="topRight" activeCell="C1" sqref="C1"/>
      <selection pane="bottomLeft" activeCell="A5" sqref="A5"/>
      <selection pane="bottomRight" activeCell="B1" sqref="B1"/>
    </sheetView>
  </sheetViews>
  <sheetFormatPr defaultColWidth="8.6640625" defaultRowHeight="14.25" x14ac:dyDescent="0.45"/>
  <cols>
    <col min="1" max="1" width="13.796875" customWidth="1"/>
    <col min="2" max="2" width="32" customWidth="1"/>
    <col min="3" max="3" width="11" customWidth="1"/>
    <col min="4" max="5" width="13" customWidth="1"/>
    <col min="6" max="6" width="12" customWidth="1"/>
    <col min="7" max="7" width="10" customWidth="1"/>
    <col min="8" max="8" width="14" customWidth="1"/>
    <col min="9" max="9" width="11" customWidth="1"/>
    <col min="10" max="10" width="12" customWidth="1"/>
    <col min="11" max="11" width="13" customWidth="1"/>
    <col min="12" max="12" width="44" customWidth="1"/>
  </cols>
  <sheetData>
    <row r="1" spans="1:12" ht="17.649999999999999" x14ac:dyDescent="0.5">
      <c r="A1" s="5" t="s">
        <v>204</v>
      </c>
    </row>
    <row r="2" spans="1:12" x14ac:dyDescent="0.45">
      <c r="A2" s="6" t="s">
        <v>205</v>
      </c>
    </row>
    <row r="3" spans="1:12" x14ac:dyDescent="0.45">
      <c r="A3" s="4" t="s">
        <v>53</v>
      </c>
      <c r="B3" s="4"/>
      <c r="C3" s="4"/>
      <c r="D3" s="4"/>
      <c r="E3" s="4"/>
      <c r="F3" s="4"/>
      <c r="G3" s="4"/>
      <c r="H3" s="4"/>
      <c r="I3" s="3" t="s">
        <v>52</v>
      </c>
      <c r="J3" s="3"/>
      <c r="K3" s="3"/>
    </row>
    <row r="4" spans="1:12" ht="39.75" customHeight="1" x14ac:dyDescent="0.45">
      <c r="A4" s="15" t="s">
        <v>206</v>
      </c>
      <c r="B4" s="15" t="s">
        <v>207</v>
      </c>
      <c r="C4" s="15" t="s">
        <v>208</v>
      </c>
      <c r="D4" s="15" t="s">
        <v>209</v>
      </c>
      <c r="E4" s="15" t="s">
        <v>210</v>
      </c>
      <c r="F4" s="15" t="s">
        <v>211</v>
      </c>
      <c r="G4" s="15" t="s">
        <v>212</v>
      </c>
      <c r="H4" s="15" t="s">
        <v>213</v>
      </c>
      <c r="I4" s="14" t="s">
        <v>214</v>
      </c>
      <c r="J4" s="14" t="s">
        <v>215</v>
      </c>
      <c r="K4" s="14" t="s">
        <v>188</v>
      </c>
      <c r="L4" s="15" t="s">
        <v>75</v>
      </c>
    </row>
    <row r="5" spans="1:12" x14ac:dyDescent="0.45">
      <c r="A5" s="18" t="s">
        <v>76</v>
      </c>
      <c r="B5" s="18" t="s">
        <v>216</v>
      </c>
      <c r="C5" s="18" t="s">
        <v>217</v>
      </c>
      <c r="D5" s="17"/>
      <c r="E5" s="17"/>
      <c r="F5" s="19"/>
      <c r="G5" s="19"/>
      <c r="H5" s="18"/>
      <c r="I5" s="21" t="str">
        <f>IF(C5&lt;&gt;"Theo km","",IF(COUNTIFS('NHẬT KÝ DẦU'!$B$5:$B$204,A5)=0,"",_xlfn.MAXIFS('NHẬT KÝ DẦU'!$G$5:$G$204,'NHẬT KÝ DẦU'!$B$5:$B$204,A5)))</f>
        <v/>
      </c>
      <c r="J5" s="21" t="str">
        <f t="shared" ref="J5:J44" ca="1" si="0">IF(A5="","",IF(C5="Theo km",IF(OR(F5="",G5="",I5=""),"",F5+G5-I5),IF(E5="","",E5-TODAY())))</f>
        <v/>
      </c>
      <c r="K5" s="16" t="str">
        <f ca="1">IF(A5="","",IF(J5="","Chưa nhập",IF(J5&lt;0,"QUÁ HẠN",IF(J5&lt;=IF(C5="Theo km",'THAM SỐ'!$B$32,'THAM SỐ'!$B$31),"Sắp đến hạn","Còn hạn"))))</f>
        <v>Chưa nhập</v>
      </c>
      <c r="L5" s="18"/>
    </row>
    <row r="6" spans="1:12" x14ac:dyDescent="0.45">
      <c r="A6" s="18" t="s">
        <v>76</v>
      </c>
      <c r="B6" s="18" t="s">
        <v>218</v>
      </c>
      <c r="C6" s="18" t="s">
        <v>217</v>
      </c>
      <c r="D6" s="17"/>
      <c r="E6" s="17"/>
      <c r="F6" s="19"/>
      <c r="G6" s="19"/>
      <c r="H6" s="18"/>
      <c r="I6" s="21" t="str">
        <f>IF(C6&lt;&gt;"Theo km","",IF(COUNTIFS('NHẬT KÝ DẦU'!$B$5:$B$204,A6)=0,"",_xlfn.MAXIFS('NHẬT KÝ DẦU'!$G$5:$G$204,'NHẬT KÝ DẦU'!$B$5:$B$204,A6)))</f>
        <v/>
      </c>
      <c r="J6" s="21" t="str">
        <f t="shared" ca="1" si="0"/>
        <v/>
      </c>
      <c r="K6" s="16" t="str">
        <f ca="1">IF(A6="","",IF(J6="","Chưa nhập",IF(J6&lt;0,"QUÁ HẠN",IF(J6&lt;=IF(C6="Theo km",'THAM SỐ'!$B$32,'THAM SỐ'!$B$31),"Sắp đến hạn","Còn hạn"))))</f>
        <v>Chưa nhập</v>
      </c>
      <c r="L6" s="18"/>
    </row>
    <row r="7" spans="1:12" x14ac:dyDescent="0.45">
      <c r="A7" s="18" t="s">
        <v>76</v>
      </c>
      <c r="B7" s="18" t="s">
        <v>219</v>
      </c>
      <c r="C7" s="18" t="s">
        <v>217</v>
      </c>
      <c r="D7" s="17"/>
      <c r="E7" s="17"/>
      <c r="F7" s="19"/>
      <c r="G7" s="19"/>
      <c r="H7" s="18"/>
      <c r="I7" s="21" t="str">
        <f>IF(C7&lt;&gt;"Theo km","",IF(COUNTIFS('NHẬT KÝ DẦU'!$B$5:$B$204,A7)=0,"",_xlfn.MAXIFS('NHẬT KÝ DẦU'!$G$5:$G$204,'NHẬT KÝ DẦU'!$B$5:$B$204,A7)))</f>
        <v/>
      </c>
      <c r="J7" s="21" t="str">
        <f t="shared" ca="1" si="0"/>
        <v/>
      </c>
      <c r="K7" s="16" t="str">
        <f ca="1">IF(A7="","",IF(J7="","Chưa nhập",IF(J7&lt;0,"QUÁ HẠN",IF(J7&lt;=IF(C7="Theo km",'THAM SỐ'!$B$32,'THAM SỐ'!$B$31),"Sắp đến hạn","Còn hạn"))))</f>
        <v>Chưa nhập</v>
      </c>
      <c r="L7" s="18"/>
    </row>
    <row r="8" spans="1:12" x14ac:dyDescent="0.45">
      <c r="A8" s="18" t="s">
        <v>76</v>
      </c>
      <c r="B8" s="18" t="s">
        <v>220</v>
      </c>
      <c r="C8" s="18" t="s">
        <v>217</v>
      </c>
      <c r="D8" s="17"/>
      <c r="E8" s="17"/>
      <c r="F8" s="19"/>
      <c r="G8" s="19"/>
      <c r="H8" s="18"/>
      <c r="I8" s="21" t="str">
        <f>IF(C8&lt;&gt;"Theo km","",IF(COUNTIFS('NHẬT KÝ DẦU'!$B$5:$B$204,A8)=0,"",_xlfn.MAXIFS('NHẬT KÝ DẦU'!$G$5:$G$204,'NHẬT KÝ DẦU'!$B$5:$B$204,A8)))</f>
        <v/>
      </c>
      <c r="J8" s="21" t="str">
        <f t="shared" ca="1" si="0"/>
        <v/>
      </c>
      <c r="K8" s="16" t="str">
        <f ca="1">IF(A8="","",IF(J8="","Chưa nhập",IF(J8&lt;0,"QUÁ HẠN",IF(J8&lt;=IF(C8="Theo km",'THAM SỐ'!$B$32,'THAM SỐ'!$B$31),"Sắp đến hạn","Còn hạn"))))</f>
        <v>Chưa nhập</v>
      </c>
      <c r="L8" s="18"/>
    </row>
    <row r="9" spans="1:12" x14ac:dyDescent="0.45">
      <c r="A9" s="18" t="s">
        <v>76</v>
      </c>
      <c r="B9" s="18" t="s">
        <v>221</v>
      </c>
      <c r="C9" s="18" t="s">
        <v>217</v>
      </c>
      <c r="D9" s="17"/>
      <c r="E9" s="17"/>
      <c r="F9" s="19"/>
      <c r="G9" s="19"/>
      <c r="H9" s="18"/>
      <c r="I9" s="21" t="str">
        <f>IF(C9&lt;&gt;"Theo km","",IF(COUNTIFS('NHẬT KÝ DẦU'!$B$5:$B$204,A9)=0,"",_xlfn.MAXIFS('NHẬT KÝ DẦU'!$G$5:$G$204,'NHẬT KÝ DẦU'!$B$5:$B$204,A9)))</f>
        <v/>
      </c>
      <c r="J9" s="21" t="str">
        <f t="shared" ca="1" si="0"/>
        <v/>
      </c>
      <c r="K9" s="16" t="str">
        <f ca="1">IF(A9="","",IF(J9="","Chưa nhập",IF(J9&lt;0,"QUÁ HẠN",IF(J9&lt;=IF(C9="Theo km",'THAM SỐ'!$B$32,'THAM SỐ'!$B$31),"Sắp đến hạn","Còn hạn"))))</f>
        <v>Chưa nhập</v>
      </c>
      <c r="L9" s="18"/>
    </row>
    <row r="10" spans="1:12" x14ac:dyDescent="0.45">
      <c r="A10" s="18" t="s">
        <v>76</v>
      </c>
      <c r="B10" s="18" t="s">
        <v>222</v>
      </c>
      <c r="C10" s="18" t="s">
        <v>217</v>
      </c>
      <c r="D10" s="17"/>
      <c r="E10" s="17"/>
      <c r="F10" s="19"/>
      <c r="G10" s="19"/>
      <c r="H10" s="18"/>
      <c r="I10" s="21" t="str">
        <f>IF(C10&lt;&gt;"Theo km","",IF(COUNTIFS('NHẬT KÝ DẦU'!$B$5:$B$204,A10)=0,"",_xlfn.MAXIFS('NHẬT KÝ DẦU'!$G$5:$G$204,'NHẬT KÝ DẦU'!$B$5:$B$204,A10)))</f>
        <v/>
      </c>
      <c r="J10" s="21" t="str">
        <f t="shared" ca="1" si="0"/>
        <v/>
      </c>
      <c r="K10" s="16" t="str">
        <f ca="1">IF(A10="","",IF(J10="","Chưa nhập",IF(J10&lt;0,"QUÁ HẠN",IF(J10&lt;=IF(C10="Theo km",'THAM SỐ'!$B$32,'THAM SỐ'!$B$31),"Sắp đến hạn","Còn hạn"))))</f>
        <v>Chưa nhập</v>
      </c>
      <c r="L10" s="18"/>
    </row>
    <row r="11" spans="1:12" x14ac:dyDescent="0.45">
      <c r="A11" s="18" t="s">
        <v>76</v>
      </c>
      <c r="B11" s="18" t="s">
        <v>223</v>
      </c>
      <c r="C11" s="18" t="s">
        <v>224</v>
      </c>
      <c r="D11" s="17"/>
      <c r="E11" s="17"/>
      <c r="F11" s="19"/>
      <c r="G11" s="19">
        <v>5000</v>
      </c>
      <c r="H11" s="18"/>
      <c r="I11" s="21">
        <f>IF(C11&lt;&gt;"Theo km","",IF(COUNTIFS('NHẬT KÝ DẦU'!$B$5:$B$204,A11)=0,"",_xlfn.MAXIFS('NHẬT KÝ DẦU'!$G$5:$G$204,'NHẬT KÝ DẦU'!$B$5:$B$204,A11)))</f>
        <v>38770</v>
      </c>
      <c r="J11" s="21" t="str">
        <f t="shared" ca="1" si="0"/>
        <v/>
      </c>
      <c r="K11" s="16" t="str">
        <f ca="1">IF(A11="","",IF(J11="","Chưa nhập",IF(J11&lt;0,"QUÁ HẠN",IF(J11&lt;=IF(C11="Theo km",'THAM SỐ'!$B$32,'THAM SỐ'!$B$31),"Sắp đến hạn","Còn hạn"))))</f>
        <v>Chưa nhập</v>
      </c>
      <c r="L11" s="18" t="s">
        <v>225</v>
      </c>
    </row>
    <row r="12" spans="1:12" x14ac:dyDescent="0.45">
      <c r="A12" s="18" t="s">
        <v>76</v>
      </c>
      <c r="B12" s="18" t="s">
        <v>226</v>
      </c>
      <c r="C12" s="18" t="s">
        <v>224</v>
      </c>
      <c r="D12" s="17"/>
      <c r="E12" s="17"/>
      <c r="F12" s="19"/>
      <c r="G12" s="19">
        <v>10000</v>
      </c>
      <c r="H12" s="18"/>
      <c r="I12" s="21">
        <f>IF(C12&lt;&gt;"Theo km","",IF(COUNTIFS('NHẬT KÝ DẦU'!$B$5:$B$204,A12)=0,"",_xlfn.MAXIFS('NHẬT KÝ DẦU'!$G$5:$G$204,'NHẬT KÝ DẦU'!$B$5:$B$204,A12)))</f>
        <v>38770</v>
      </c>
      <c r="J12" s="21" t="str">
        <f t="shared" ca="1" si="0"/>
        <v/>
      </c>
      <c r="K12" s="16" t="str">
        <f ca="1">IF(A12="","",IF(J12="","Chưa nhập",IF(J12&lt;0,"QUÁ HẠN",IF(J12&lt;=IF(C12="Theo km",'THAM SỐ'!$B$32,'THAM SỐ'!$B$31),"Sắp đến hạn","Còn hạn"))))</f>
        <v>Chưa nhập</v>
      </c>
      <c r="L12" s="18" t="s">
        <v>227</v>
      </c>
    </row>
    <row r="13" spans="1:12" x14ac:dyDescent="0.45">
      <c r="A13" s="18" t="s">
        <v>85</v>
      </c>
      <c r="B13" s="18" t="s">
        <v>216</v>
      </c>
      <c r="C13" s="18" t="s">
        <v>217</v>
      </c>
      <c r="D13" s="17"/>
      <c r="E13" s="17"/>
      <c r="F13" s="19"/>
      <c r="G13" s="19"/>
      <c r="H13" s="18"/>
      <c r="I13" s="21" t="str">
        <f>IF(C13&lt;&gt;"Theo km","",IF(COUNTIFS('NHẬT KÝ DẦU'!$B$5:$B$204,A13)=0,"",_xlfn.MAXIFS('NHẬT KÝ DẦU'!$G$5:$G$204,'NHẬT KÝ DẦU'!$B$5:$B$204,A13)))</f>
        <v/>
      </c>
      <c r="J13" s="21" t="str">
        <f t="shared" ca="1" si="0"/>
        <v/>
      </c>
      <c r="K13" s="16" t="str">
        <f ca="1">IF(A13="","",IF(J13="","Chưa nhập",IF(J13&lt;0,"QUÁ HẠN",IF(J13&lt;=IF(C13="Theo km",'THAM SỐ'!$B$32,'THAM SỐ'!$B$31),"Sắp đến hạn","Còn hạn"))))</f>
        <v>Chưa nhập</v>
      </c>
      <c r="L13" s="18"/>
    </row>
    <row r="14" spans="1:12" x14ac:dyDescent="0.45">
      <c r="A14" s="18" t="s">
        <v>85</v>
      </c>
      <c r="B14" s="18" t="s">
        <v>218</v>
      </c>
      <c r="C14" s="18" t="s">
        <v>217</v>
      </c>
      <c r="D14" s="17"/>
      <c r="E14" s="17"/>
      <c r="F14" s="19"/>
      <c r="G14" s="19"/>
      <c r="H14" s="18"/>
      <c r="I14" s="21" t="str">
        <f>IF(C14&lt;&gt;"Theo km","",IF(COUNTIFS('NHẬT KÝ DẦU'!$B$5:$B$204,A14)=0,"",_xlfn.MAXIFS('NHẬT KÝ DẦU'!$G$5:$G$204,'NHẬT KÝ DẦU'!$B$5:$B$204,A14)))</f>
        <v/>
      </c>
      <c r="J14" s="21" t="str">
        <f t="shared" ca="1" si="0"/>
        <v/>
      </c>
      <c r="K14" s="16" t="str">
        <f ca="1">IF(A14="","",IF(J14="","Chưa nhập",IF(J14&lt;0,"QUÁ HẠN",IF(J14&lt;=IF(C14="Theo km",'THAM SỐ'!$B$32,'THAM SỐ'!$B$31),"Sắp đến hạn","Còn hạn"))))</f>
        <v>Chưa nhập</v>
      </c>
      <c r="L14" s="18"/>
    </row>
    <row r="15" spans="1:12" x14ac:dyDescent="0.45">
      <c r="A15" s="18" t="s">
        <v>85</v>
      </c>
      <c r="B15" s="18" t="s">
        <v>219</v>
      </c>
      <c r="C15" s="18" t="s">
        <v>217</v>
      </c>
      <c r="D15" s="17"/>
      <c r="E15" s="17"/>
      <c r="F15" s="19"/>
      <c r="G15" s="19"/>
      <c r="H15" s="18"/>
      <c r="I15" s="21" t="str">
        <f>IF(C15&lt;&gt;"Theo km","",IF(COUNTIFS('NHẬT KÝ DẦU'!$B$5:$B$204,A15)=0,"",_xlfn.MAXIFS('NHẬT KÝ DẦU'!$G$5:$G$204,'NHẬT KÝ DẦU'!$B$5:$B$204,A15)))</f>
        <v/>
      </c>
      <c r="J15" s="21" t="str">
        <f t="shared" ca="1" si="0"/>
        <v/>
      </c>
      <c r="K15" s="16" t="str">
        <f ca="1">IF(A15="","",IF(J15="","Chưa nhập",IF(J15&lt;0,"QUÁ HẠN",IF(J15&lt;=IF(C15="Theo km",'THAM SỐ'!$B$32,'THAM SỐ'!$B$31),"Sắp đến hạn","Còn hạn"))))</f>
        <v>Chưa nhập</v>
      </c>
      <c r="L15" s="18"/>
    </row>
    <row r="16" spans="1:12" x14ac:dyDescent="0.45">
      <c r="A16" s="18" t="s">
        <v>85</v>
      </c>
      <c r="B16" s="18" t="s">
        <v>220</v>
      </c>
      <c r="C16" s="18" t="s">
        <v>217</v>
      </c>
      <c r="D16" s="17"/>
      <c r="E16" s="17"/>
      <c r="F16" s="19"/>
      <c r="G16" s="19"/>
      <c r="H16" s="18"/>
      <c r="I16" s="21" t="str">
        <f>IF(C16&lt;&gt;"Theo km","",IF(COUNTIFS('NHẬT KÝ DẦU'!$B$5:$B$204,A16)=0,"",_xlfn.MAXIFS('NHẬT KÝ DẦU'!$G$5:$G$204,'NHẬT KÝ DẦU'!$B$5:$B$204,A16)))</f>
        <v/>
      </c>
      <c r="J16" s="21" t="str">
        <f t="shared" ca="1" si="0"/>
        <v/>
      </c>
      <c r="K16" s="16" t="str">
        <f ca="1">IF(A16="","",IF(J16="","Chưa nhập",IF(J16&lt;0,"QUÁ HẠN",IF(J16&lt;=IF(C16="Theo km",'THAM SỐ'!$B$32,'THAM SỐ'!$B$31),"Sắp đến hạn","Còn hạn"))))</f>
        <v>Chưa nhập</v>
      </c>
      <c r="L16" s="18"/>
    </row>
    <row r="17" spans="1:12" x14ac:dyDescent="0.45">
      <c r="A17" s="18" t="s">
        <v>85</v>
      </c>
      <c r="B17" s="18" t="s">
        <v>221</v>
      </c>
      <c r="C17" s="18" t="s">
        <v>217</v>
      </c>
      <c r="D17" s="17"/>
      <c r="E17" s="17"/>
      <c r="F17" s="19"/>
      <c r="G17" s="19"/>
      <c r="H17" s="18"/>
      <c r="I17" s="21" t="str">
        <f>IF(C17&lt;&gt;"Theo km","",IF(COUNTIFS('NHẬT KÝ DẦU'!$B$5:$B$204,A17)=0,"",_xlfn.MAXIFS('NHẬT KÝ DẦU'!$G$5:$G$204,'NHẬT KÝ DẦU'!$B$5:$B$204,A17)))</f>
        <v/>
      </c>
      <c r="J17" s="21" t="str">
        <f t="shared" ca="1" si="0"/>
        <v/>
      </c>
      <c r="K17" s="16" t="str">
        <f ca="1">IF(A17="","",IF(J17="","Chưa nhập",IF(J17&lt;0,"QUÁ HẠN",IF(J17&lt;=IF(C17="Theo km",'THAM SỐ'!$B$32,'THAM SỐ'!$B$31),"Sắp đến hạn","Còn hạn"))))</f>
        <v>Chưa nhập</v>
      </c>
      <c r="L17" s="18"/>
    </row>
    <row r="18" spans="1:12" x14ac:dyDescent="0.45">
      <c r="A18" s="18" t="s">
        <v>85</v>
      </c>
      <c r="B18" s="18" t="s">
        <v>222</v>
      </c>
      <c r="C18" s="18" t="s">
        <v>217</v>
      </c>
      <c r="D18" s="17"/>
      <c r="E18" s="17"/>
      <c r="F18" s="19"/>
      <c r="G18" s="19"/>
      <c r="H18" s="18"/>
      <c r="I18" s="21" t="str">
        <f>IF(C18&lt;&gt;"Theo km","",IF(COUNTIFS('NHẬT KÝ DẦU'!$B$5:$B$204,A18)=0,"",_xlfn.MAXIFS('NHẬT KÝ DẦU'!$G$5:$G$204,'NHẬT KÝ DẦU'!$B$5:$B$204,A18)))</f>
        <v/>
      </c>
      <c r="J18" s="21" t="str">
        <f t="shared" ca="1" si="0"/>
        <v/>
      </c>
      <c r="K18" s="16" t="str">
        <f ca="1">IF(A18="","",IF(J18="","Chưa nhập",IF(J18&lt;0,"QUÁ HẠN",IF(J18&lt;=IF(C18="Theo km",'THAM SỐ'!$B$32,'THAM SỐ'!$B$31),"Sắp đến hạn","Còn hạn"))))</f>
        <v>Chưa nhập</v>
      </c>
      <c r="L18" s="18"/>
    </row>
    <row r="19" spans="1:12" x14ac:dyDescent="0.45">
      <c r="A19" s="18" t="s">
        <v>85</v>
      </c>
      <c r="B19" s="18" t="s">
        <v>223</v>
      </c>
      <c r="C19" s="18" t="s">
        <v>224</v>
      </c>
      <c r="D19" s="17"/>
      <c r="E19" s="17"/>
      <c r="F19" s="19"/>
      <c r="G19" s="19">
        <v>5000</v>
      </c>
      <c r="H19" s="18"/>
      <c r="I19" s="21">
        <f>IF(C19&lt;&gt;"Theo km","",IF(COUNTIFS('NHẬT KÝ DẦU'!$B$5:$B$204,A19)=0,"",_xlfn.MAXIFS('NHẬT KÝ DẦU'!$G$5:$G$204,'NHẬT KÝ DẦU'!$B$5:$B$204,A19)))</f>
        <v>61540</v>
      </c>
      <c r="J19" s="21" t="str">
        <f t="shared" ca="1" si="0"/>
        <v/>
      </c>
      <c r="K19" s="16" t="str">
        <f ca="1">IF(A19="","",IF(J19="","Chưa nhập",IF(J19&lt;0,"QUÁ HẠN",IF(J19&lt;=IF(C19="Theo km",'THAM SỐ'!$B$32,'THAM SỐ'!$B$31),"Sắp đến hạn","Còn hạn"))))</f>
        <v>Chưa nhập</v>
      </c>
      <c r="L19" s="18"/>
    </row>
    <row r="20" spans="1:12" x14ac:dyDescent="0.45">
      <c r="A20" s="18" t="s">
        <v>85</v>
      </c>
      <c r="B20" s="18" t="s">
        <v>226</v>
      </c>
      <c r="C20" s="18" t="s">
        <v>224</v>
      </c>
      <c r="D20" s="17"/>
      <c r="E20" s="17"/>
      <c r="F20" s="19"/>
      <c r="G20" s="19">
        <v>10000</v>
      </c>
      <c r="H20" s="18"/>
      <c r="I20" s="21">
        <f>IF(C20&lt;&gt;"Theo km","",IF(COUNTIFS('NHẬT KÝ DẦU'!$B$5:$B$204,A20)=0,"",_xlfn.MAXIFS('NHẬT KÝ DẦU'!$G$5:$G$204,'NHẬT KÝ DẦU'!$B$5:$B$204,A20)))</f>
        <v>61540</v>
      </c>
      <c r="J20" s="21" t="str">
        <f t="shared" ca="1" si="0"/>
        <v/>
      </c>
      <c r="K20" s="16" t="str">
        <f ca="1">IF(A20="","",IF(J20="","Chưa nhập",IF(J20&lt;0,"QUÁ HẠN",IF(J20&lt;=IF(C20="Theo km",'THAM SỐ'!$B$32,'THAM SỐ'!$B$31),"Sắp đến hạn","Còn hạn"))))</f>
        <v>Chưa nhập</v>
      </c>
      <c r="L20" s="18"/>
    </row>
    <row r="21" spans="1:12" x14ac:dyDescent="0.45">
      <c r="A21" s="18" t="s">
        <v>77</v>
      </c>
      <c r="B21" s="18" t="s">
        <v>228</v>
      </c>
      <c r="C21" s="18" t="s">
        <v>217</v>
      </c>
      <c r="D21" s="17"/>
      <c r="E21" s="17">
        <v>47813</v>
      </c>
      <c r="F21" s="19"/>
      <c r="G21" s="19"/>
      <c r="H21" s="18"/>
      <c r="I21" s="21" t="str">
        <f>IF(C21&lt;&gt;"Theo km","",IF(COUNTIFS('NHẬT KÝ DẦU'!$B$5:$B$204,A21)=0,"",_xlfn.MAXIFS('NHẬT KÝ DẦU'!$G$5:$G$204,'NHẬT KÝ DẦU'!$B$5:$B$204,A21)))</f>
        <v/>
      </c>
      <c r="J21" s="21">
        <f t="shared" ca="1" si="0"/>
        <v>1508</v>
      </c>
      <c r="K21" s="16" t="str">
        <f ca="1">IF(A21="","",IF(J21="","Chưa nhập",IF(J21&lt;0,"QUÁ HẠN",IF(J21&lt;=IF(C21="Theo km",'THAM SỐ'!$B$32,'THAM SỐ'!$B$31),"Sắp đến hạn","Còn hạn"))))</f>
        <v>Còn hạn</v>
      </c>
      <c r="L21" s="18" t="s">
        <v>229</v>
      </c>
    </row>
    <row r="22" spans="1:12" x14ac:dyDescent="0.45">
      <c r="A22" s="18" t="s">
        <v>77</v>
      </c>
      <c r="B22" s="18" t="s">
        <v>230</v>
      </c>
      <c r="C22" s="18" t="s">
        <v>217</v>
      </c>
      <c r="D22" s="17"/>
      <c r="E22" s="17"/>
      <c r="F22" s="19"/>
      <c r="G22" s="19"/>
      <c r="H22" s="18"/>
      <c r="I22" s="21" t="str">
        <f>IF(C22&lt;&gt;"Theo km","",IF(COUNTIFS('NHẬT KÝ DẦU'!$B$5:$B$204,A22)=0,"",_xlfn.MAXIFS('NHẬT KÝ DẦU'!$G$5:$G$204,'NHẬT KÝ DẦU'!$B$5:$B$204,A22)))</f>
        <v/>
      </c>
      <c r="J22" s="21" t="str">
        <f t="shared" ca="1" si="0"/>
        <v/>
      </c>
      <c r="K22" s="16" t="str">
        <f ca="1">IF(A22="","",IF(J22="","Chưa nhập",IF(J22&lt;0,"QUÁ HẠN",IF(J22&lt;=IF(C22="Theo km",'THAM SỐ'!$B$32,'THAM SỐ'!$B$31),"Sắp đến hạn","Còn hạn"))))</f>
        <v>Chưa nhập</v>
      </c>
      <c r="L22" s="18"/>
    </row>
    <row r="23" spans="1:12" x14ac:dyDescent="0.45">
      <c r="A23" s="18" t="s">
        <v>86</v>
      </c>
      <c r="B23" s="18" t="s">
        <v>228</v>
      </c>
      <c r="C23" s="18" t="s">
        <v>217</v>
      </c>
      <c r="D23" s="17"/>
      <c r="E23" s="17"/>
      <c r="F23" s="19"/>
      <c r="G23" s="19"/>
      <c r="H23" s="18"/>
      <c r="I23" s="21" t="str">
        <f>IF(C23&lt;&gt;"Theo km","",IF(COUNTIFS('NHẬT KÝ DẦU'!$B$5:$B$204,A23)=0,"",_xlfn.MAXIFS('NHẬT KÝ DẦU'!$G$5:$G$204,'NHẬT KÝ DẦU'!$B$5:$B$204,A23)))</f>
        <v/>
      </c>
      <c r="J23" s="21" t="str">
        <f t="shared" ca="1" si="0"/>
        <v/>
      </c>
      <c r="K23" s="16" t="str">
        <f ca="1">IF(A23="","",IF(J23="","Chưa nhập",IF(J23&lt;0,"QUÁ HẠN",IF(J23&lt;=IF(C23="Theo km",'THAM SỐ'!$B$32,'THAM SỐ'!$B$31),"Sắp đến hạn","Còn hạn"))))</f>
        <v>Chưa nhập</v>
      </c>
      <c r="L23" s="18"/>
    </row>
    <row r="24" spans="1:12" x14ac:dyDescent="0.45">
      <c r="A24" s="18" t="s">
        <v>86</v>
      </c>
      <c r="B24" s="18" t="s">
        <v>230</v>
      </c>
      <c r="C24" s="18" t="s">
        <v>217</v>
      </c>
      <c r="D24" s="17"/>
      <c r="E24" s="17"/>
      <c r="F24" s="19"/>
      <c r="G24" s="19"/>
      <c r="H24" s="18"/>
      <c r="I24" s="21" t="str">
        <f>IF(C24&lt;&gt;"Theo km","",IF(COUNTIFS('NHẬT KÝ DẦU'!$B$5:$B$204,A24)=0,"",_xlfn.MAXIFS('NHẬT KÝ DẦU'!$G$5:$G$204,'NHẬT KÝ DẦU'!$B$5:$B$204,A24)))</f>
        <v/>
      </c>
      <c r="J24" s="21" t="str">
        <f t="shared" ca="1" si="0"/>
        <v/>
      </c>
      <c r="K24" s="16" t="str">
        <f ca="1">IF(A24="","",IF(J24="","Chưa nhập",IF(J24&lt;0,"QUÁ HẠN",IF(J24&lt;=IF(C24="Theo km",'THAM SỐ'!$B$32,'THAM SỐ'!$B$31),"Sắp đến hạn","Còn hạn"))))</f>
        <v>Chưa nhập</v>
      </c>
      <c r="L24" s="18"/>
    </row>
    <row r="25" spans="1:12" x14ac:dyDescent="0.45">
      <c r="A25" s="18"/>
      <c r="B25" s="18"/>
      <c r="C25" s="18"/>
      <c r="D25" s="17"/>
      <c r="E25" s="17"/>
      <c r="F25" s="19"/>
      <c r="G25" s="19"/>
      <c r="H25" s="18"/>
      <c r="I25" s="21" t="str">
        <f>IF(C25&lt;&gt;"Theo km","",IF(COUNTIFS('NHẬT KÝ DẦU'!$B$5:$B$204,A25)=0,"",_xlfn.MAXIFS('NHẬT KÝ DẦU'!$G$5:$G$204,'NHẬT KÝ DẦU'!$B$5:$B$204,A25)))</f>
        <v/>
      </c>
      <c r="J25" s="21" t="str">
        <f t="shared" ca="1" si="0"/>
        <v/>
      </c>
      <c r="K25" s="16" t="str">
        <f>IF(A25="","",IF(J25="","Chưa nhập",IF(J25&lt;0,"QUÁ HẠN",IF(J25&lt;=IF(C25="Theo km",'THAM SỐ'!$B$32,'THAM SỐ'!$B$31),"Sắp đến hạn","Còn hạn"))))</f>
        <v/>
      </c>
      <c r="L25" s="18"/>
    </row>
    <row r="26" spans="1:12" x14ac:dyDescent="0.45">
      <c r="A26" s="18"/>
      <c r="B26" s="18"/>
      <c r="C26" s="18"/>
      <c r="D26" s="17"/>
      <c r="E26" s="17"/>
      <c r="F26" s="19"/>
      <c r="G26" s="19"/>
      <c r="H26" s="18"/>
      <c r="I26" s="21" t="str">
        <f>IF(C26&lt;&gt;"Theo km","",IF(COUNTIFS('NHẬT KÝ DẦU'!$B$5:$B$204,A26)=0,"",_xlfn.MAXIFS('NHẬT KÝ DẦU'!$G$5:$G$204,'NHẬT KÝ DẦU'!$B$5:$B$204,A26)))</f>
        <v/>
      </c>
      <c r="J26" s="21" t="str">
        <f t="shared" ca="1" si="0"/>
        <v/>
      </c>
      <c r="K26" s="16" t="str">
        <f>IF(A26="","",IF(J26="","Chưa nhập",IF(J26&lt;0,"QUÁ HẠN",IF(J26&lt;=IF(C26="Theo km",'THAM SỐ'!$B$32,'THAM SỐ'!$B$31),"Sắp đến hạn","Còn hạn"))))</f>
        <v/>
      </c>
      <c r="L26" s="18"/>
    </row>
    <row r="27" spans="1:12" x14ac:dyDescent="0.45">
      <c r="A27" s="18"/>
      <c r="B27" s="18"/>
      <c r="C27" s="18"/>
      <c r="D27" s="17"/>
      <c r="E27" s="17"/>
      <c r="F27" s="19"/>
      <c r="G27" s="19"/>
      <c r="H27" s="18"/>
      <c r="I27" s="21" t="str">
        <f>IF(C27&lt;&gt;"Theo km","",IF(COUNTIFS('NHẬT KÝ DẦU'!$B$5:$B$204,A27)=0,"",_xlfn.MAXIFS('NHẬT KÝ DẦU'!$G$5:$G$204,'NHẬT KÝ DẦU'!$B$5:$B$204,A27)))</f>
        <v/>
      </c>
      <c r="J27" s="21" t="str">
        <f t="shared" ca="1" si="0"/>
        <v/>
      </c>
      <c r="K27" s="16" t="str">
        <f>IF(A27="","",IF(J27="","Chưa nhập",IF(J27&lt;0,"QUÁ HẠN",IF(J27&lt;=IF(C27="Theo km",'THAM SỐ'!$B$32,'THAM SỐ'!$B$31),"Sắp đến hạn","Còn hạn"))))</f>
        <v/>
      </c>
      <c r="L27" s="18"/>
    </row>
    <row r="28" spans="1:12" x14ac:dyDescent="0.45">
      <c r="A28" s="18"/>
      <c r="B28" s="18"/>
      <c r="C28" s="18"/>
      <c r="D28" s="17"/>
      <c r="E28" s="17"/>
      <c r="F28" s="19"/>
      <c r="G28" s="19"/>
      <c r="H28" s="18"/>
      <c r="I28" s="21" t="str">
        <f>IF(C28&lt;&gt;"Theo km","",IF(COUNTIFS('NHẬT KÝ DẦU'!$B$5:$B$204,A28)=0,"",_xlfn.MAXIFS('NHẬT KÝ DẦU'!$G$5:$G$204,'NHẬT KÝ DẦU'!$B$5:$B$204,A28)))</f>
        <v/>
      </c>
      <c r="J28" s="21" t="str">
        <f t="shared" ca="1" si="0"/>
        <v/>
      </c>
      <c r="K28" s="16" t="str">
        <f>IF(A28="","",IF(J28="","Chưa nhập",IF(J28&lt;0,"QUÁ HẠN",IF(J28&lt;=IF(C28="Theo km",'THAM SỐ'!$B$32,'THAM SỐ'!$B$31),"Sắp đến hạn","Còn hạn"))))</f>
        <v/>
      </c>
      <c r="L28" s="18"/>
    </row>
    <row r="29" spans="1:12" x14ac:dyDescent="0.45">
      <c r="A29" s="18"/>
      <c r="B29" s="18"/>
      <c r="C29" s="18"/>
      <c r="D29" s="17"/>
      <c r="E29" s="17"/>
      <c r="F29" s="19"/>
      <c r="G29" s="19"/>
      <c r="H29" s="18"/>
      <c r="I29" s="21" t="str">
        <f>IF(C29&lt;&gt;"Theo km","",IF(COUNTIFS('NHẬT KÝ DẦU'!$B$5:$B$204,A29)=0,"",_xlfn.MAXIFS('NHẬT KÝ DẦU'!$G$5:$G$204,'NHẬT KÝ DẦU'!$B$5:$B$204,A29)))</f>
        <v/>
      </c>
      <c r="J29" s="21" t="str">
        <f t="shared" ca="1" si="0"/>
        <v/>
      </c>
      <c r="K29" s="16" t="str">
        <f>IF(A29="","",IF(J29="","Chưa nhập",IF(J29&lt;0,"QUÁ HẠN",IF(J29&lt;=IF(C29="Theo km",'THAM SỐ'!$B$32,'THAM SỐ'!$B$31),"Sắp đến hạn","Còn hạn"))))</f>
        <v/>
      </c>
      <c r="L29" s="18"/>
    </row>
    <row r="30" spans="1:12" x14ac:dyDescent="0.45">
      <c r="A30" s="18"/>
      <c r="B30" s="18"/>
      <c r="C30" s="18"/>
      <c r="D30" s="17"/>
      <c r="E30" s="17"/>
      <c r="F30" s="19"/>
      <c r="G30" s="19"/>
      <c r="H30" s="18"/>
      <c r="I30" s="21" t="str">
        <f>IF(C30&lt;&gt;"Theo km","",IF(COUNTIFS('NHẬT KÝ DẦU'!$B$5:$B$204,A30)=0,"",_xlfn.MAXIFS('NHẬT KÝ DẦU'!$G$5:$G$204,'NHẬT KÝ DẦU'!$B$5:$B$204,A30)))</f>
        <v/>
      </c>
      <c r="J30" s="21" t="str">
        <f t="shared" ca="1" si="0"/>
        <v/>
      </c>
      <c r="K30" s="16" t="str">
        <f>IF(A30="","",IF(J30="","Chưa nhập",IF(J30&lt;0,"QUÁ HẠN",IF(J30&lt;=IF(C30="Theo km",'THAM SỐ'!$B$32,'THAM SỐ'!$B$31),"Sắp đến hạn","Còn hạn"))))</f>
        <v/>
      </c>
      <c r="L30" s="18"/>
    </row>
    <row r="31" spans="1:12" x14ac:dyDescent="0.45">
      <c r="A31" s="18"/>
      <c r="B31" s="18"/>
      <c r="C31" s="18"/>
      <c r="D31" s="17"/>
      <c r="E31" s="17"/>
      <c r="F31" s="19"/>
      <c r="G31" s="19"/>
      <c r="H31" s="18"/>
      <c r="I31" s="21" t="str">
        <f>IF(C31&lt;&gt;"Theo km","",IF(COUNTIFS('NHẬT KÝ DẦU'!$B$5:$B$204,A31)=0,"",_xlfn.MAXIFS('NHẬT KÝ DẦU'!$G$5:$G$204,'NHẬT KÝ DẦU'!$B$5:$B$204,A31)))</f>
        <v/>
      </c>
      <c r="J31" s="21" t="str">
        <f t="shared" ca="1" si="0"/>
        <v/>
      </c>
      <c r="K31" s="16" t="str">
        <f>IF(A31="","",IF(J31="","Chưa nhập",IF(J31&lt;0,"QUÁ HẠN",IF(J31&lt;=IF(C31="Theo km",'THAM SỐ'!$B$32,'THAM SỐ'!$B$31),"Sắp đến hạn","Còn hạn"))))</f>
        <v/>
      </c>
      <c r="L31" s="18"/>
    </row>
    <row r="32" spans="1:12" x14ac:dyDescent="0.45">
      <c r="A32" s="18"/>
      <c r="B32" s="18"/>
      <c r="C32" s="18"/>
      <c r="D32" s="17"/>
      <c r="E32" s="17"/>
      <c r="F32" s="19"/>
      <c r="G32" s="19"/>
      <c r="H32" s="18"/>
      <c r="I32" s="21" t="str">
        <f>IF(C32&lt;&gt;"Theo km","",IF(COUNTIFS('NHẬT KÝ DẦU'!$B$5:$B$204,A32)=0,"",_xlfn.MAXIFS('NHẬT KÝ DẦU'!$G$5:$G$204,'NHẬT KÝ DẦU'!$B$5:$B$204,A32)))</f>
        <v/>
      </c>
      <c r="J32" s="21" t="str">
        <f t="shared" ca="1" si="0"/>
        <v/>
      </c>
      <c r="K32" s="16" t="str">
        <f>IF(A32="","",IF(J32="","Chưa nhập",IF(J32&lt;0,"QUÁ HẠN",IF(J32&lt;=IF(C32="Theo km",'THAM SỐ'!$B$32,'THAM SỐ'!$B$31),"Sắp đến hạn","Còn hạn"))))</f>
        <v/>
      </c>
      <c r="L32" s="18"/>
    </row>
    <row r="33" spans="1:12" x14ac:dyDescent="0.45">
      <c r="A33" s="18"/>
      <c r="B33" s="18"/>
      <c r="C33" s="18"/>
      <c r="D33" s="17"/>
      <c r="E33" s="17"/>
      <c r="F33" s="19"/>
      <c r="G33" s="19"/>
      <c r="H33" s="18"/>
      <c r="I33" s="21" t="str">
        <f>IF(C33&lt;&gt;"Theo km","",IF(COUNTIFS('NHẬT KÝ DẦU'!$B$5:$B$204,A33)=0,"",_xlfn.MAXIFS('NHẬT KÝ DẦU'!$G$5:$G$204,'NHẬT KÝ DẦU'!$B$5:$B$204,A33)))</f>
        <v/>
      </c>
      <c r="J33" s="21" t="str">
        <f t="shared" ca="1" si="0"/>
        <v/>
      </c>
      <c r="K33" s="16" t="str">
        <f>IF(A33="","",IF(J33="","Chưa nhập",IF(J33&lt;0,"QUÁ HẠN",IF(J33&lt;=IF(C33="Theo km",'THAM SỐ'!$B$32,'THAM SỐ'!$B$31),"Sắp đến hạn","Còn hạn"))))</f>
        <v/>
      </c>
      <c r="L33" s="18"/>
    </row>
    <row r="34" spans="1:12" x14ac:dyDescent="0.45">
      <c r="A34" s="18"/>
      <c r="B34" s="18"/>
      <c r="C34" s="18"/>
      <c r="D34" s="17"/>
      <c r="E34" s="17"/>
      <c r="F34" s="19"/>
      <c r="G34" s="19"/>
      <c r="H34" s="18"/>
      <c r="I34" s="21" t="str">
        <f>IF(C34&lt;&gt;"Theo km","",IF(COUNTIFS('NHẬT KÝ DẦU'!$B$5:$B$204,A34)=0,"",_xlfn.MAXIFS('NHẬT KÝ DẦU'!$G$5:$G$204,'NHẬT KÝ DẦU'!$B$5:$B$204,A34)))</f>
        <v/>
      </c>
      <c r="J34" s="21" t="str">
        <f t="shared" ca="1" si="0"/>
        <v/>
      </c>
      <c r="K34" s="16" t="str">
        <f>IF(A34="","",IF(J34="","Chưa nhập",IF(J34&lt;0,"QUÁ HẠN",IF(J34&lt;=IF(C34="Theo km",'THAM SỐ'!$B$32,'THAM SỐ'!$B$31),"Sắp đến hạn","Còn hạn"))))</f>
        <v/>
      </c>
      <c r="L34" s="18"/>
    </row>
    <row r="35" spans="1:12" x14ac:dyDescent="0.45">
      <c r="A35" s="18"/>
      <c r="B35" s="18"/>
      <c r="C35" s="18"/>
      <c r="D35" s="17"/>
      <c r="E35" s="17"/>
      <c r="F35" s="19"/>
      <c r="G35" s="19"/>
      <c r="H35" s="18"/>
      <c r="I35" s="21" t="str">
        <f>IF(C35&lt;&gt;"Theo km","",IF(COUNTIFS('NHẬT KÝ DẦU'!$B$5:$B$204,A35)=0,"",_xlfn.MAXIFS('NHẬT KÝ DẦU'!$G$5:$G$204,'NHẬT KÝ DẦU'!$B$5:$B$204,A35)))</f>
        <v/>
      </c>
      <c r="J35" s="21" t="str">
        <f t="shared" ca="1" si="0"/>
        <v/>
      </c>
      <c r="K35" s="16" t="str">
        <f>IF(A35="","",IF(J35="","Chưa nhập",IF(J35&lt;0,"QUÁ HẠN",IF(J35&lt;=IF(C35="Theo km",'THAM SỐ'!$B$32,'THAM SỐ'!$B$31),"Sắp đến hạn","Còn hạn"))))</f>
        <v/>
      </c>
      <c r="L35" s="18"/>
    </row>
    <row r="36" spans="1:12" x14ac:dyDescent="0.45">
      <c r="A36" s="18"/>
      <c r="B36" s="18"/>
      <c r="C36" s="18"/>
      <c r="D36" s="17"/>
      <c r="E36" s="17"/>
      <c r="F36" s="19"/>
      <c r="G36" s="19"/>
      <c r="H36" s="18"/>
      <c r="I36" s="21" t="str">
        <f>IF(C36&lt;&gt;"Theo km","",IF(COUNTIFS('NHẬT KÝ DẦU'!$B$5:$B$204,A36)=0,"",_xlfn.MAXIFS('NHẬT KÝ DẦU'!$G$5:$G$204,'NHẬT KÝ DẦU'!$B$5:$B$204,A36)))</f>
        <v/>
      </c>
      <c r="J36" s="21" t="str">
        <f t="shared" ca="1" si="0"/>
        <v/>
      </c>
      <c r="K36" s="16" t="str">
        <f>IF(A36="","",IF(J36="","Chưa nhập",IF(J36&lt;0,"QUÁ HẠN",IF(J36&lt;=IF(C36="Theo km",'THAM SỐ'!$B$32,'THAM SỐ'!$B$31),"Sắp đến hạn","Còn hạn"))))</f>
        <v/>
      </c>
      <c r="L36" s="18"/>
    </row>
    <row r="37" spans="1:12" x14ac:dyDescent="0.45">
      <c r="A37" s="18"/>
      <c r="B37" s="18"/>
      <c r="C37" s="18"/>
      <c r="D37" s="17"/>
      <c r="E37" s="17"/>
      <c r="F37" s="19"/>
      <c r="G37" s="19"/>
      <c r="H37" s="18"/>
      <c r="I37" s="21" t="str">
        <f>IF(C37&lt;&gt;"Theo km","",IF(COUNTIFS('NHẬT KÝ DẦU'!$B$5:$B$204,A37)=0,"",_xlfn.MAXIFS('NHẬT KÝ DẦU'!$G$5:$G$204,'NHẬT KÝ DẦU'!$B$5:$B$204,A37)))</f>
        <v/>
      </c>
      <c r="J37" s="21" t="str">
        <f t="shared" ca="1" si="0"/>
        <v/>
      </c>
      <c r="K37" s="16" t="str">
        <f>IF(A37="","",IF(J37="","Chưa nhập",IF(J37&lt;0,"QUÁ HẠN",IF(J37&lt;=IF(C37="Theo km",'THAM SỐ'!$B$32,'THAM SỐ'!$B$31),"Sắp đến hạn","Còn hạn"))))</f>
        <v/>
      </c>
      <c r="L37" s="18"/>
    </row>
    <row r="38" spans="1:12" x14ac:dyDescent="0.45">
      <c r="A38" s="18"/>
      <c r="B38" s="18"/>
      <c r="C38" s="18"/>
      <c r="D38" s="17"/>
      <c r="E38" s="17"/>
      <c r="F38" s="19"/>
      <c r="G38" s="19"/>
      <c r="H38" s="18"/>
      <c r="I38" s="21" t="str">
        <f>IF(C38&lt;&gt;"Theo km","",IF(COUNTIFS('NHẬT KÝ DẦU'!$B$5:$B$204,A38)=0,"",_xlfn.MAXIFS('NHẬT KÝ DẦU'!$G$5:$G$204,'NHẬT KÝ DẦU'!$B$5:$B$204,A38)))</f>
        <v/>
      </c>
      <c r="J38" s="21" t="str">
        <f t="shared" ca="1" si="0"/>
        <v/>
      </c>
      <c r="K38" s="16" t="str">
        <f>IF(A38="","",IF(J38="","Chưa nhập",IF(J38&lt;0,"QUÁ HẠN",IF(J38&lt;=IF(C38="Theo km",'THAM SỐ'!$B$32,'THAM SỐ'!$B$31),"Sắp đến hạn","Còn hạn"))))</f>
        <v/>
      </c>
      <c r="L38" s="18"/>
    </row>
    <row r="39" spans="1:12" x14ac:dyDescent="0.45">
      <c r="A39" s="18"/>
      <c r="B39" s="18"/>
      <c r="C39" s="18"/>
      <c r="D39" s="17"/>
      <c r="E39" s="17"/>
      <c r="F39" s="19"/>
      <c r="G39" s="19"/>
      <c r="H39" s="18"/>
      <c r="I39" s="21" t="str">
        <f>IF(C39&lt;&gt;"Theo km","",IF(COUNTIFS('NHẬT KÝ DẦU'!$B$5:$B$204,A39)=0,"",_xlfn.MAXIFS('NHẬT KÝ DẦU'!$G$5:$G$204,'NHẬT KÝ DẦU'!$B$5:$B$204,A39)))</f>
        <v/>
      </c>
      <c r="J39" s="21" t="str">
        <f t="shared" ca="1" si="0"/>
        <v/>
      </c>
      <c r="K39" s="16" t="str">
        <f>IF(A39="","",IF(J39="","Chưa nhập",IF(J39&lt;0,"QUÁ HẠN",IF(J39&lt;=IF(C39="Theo km",'THAM SỐ'!$B$32,'THAM SỐ'!$B$31),"Sắp đến hạn","Còn hạn"))))</f>
        <v/>
      </c>
      <c r="L39" s="18"/>
    </row>
    <row r="40" spans="1:12" x14ac:dyDescent="0.45">
      <c r="A40" s="18"/>
      <c r="B40" s="18"/>
      <c r="C40" s="18"/>
      <c r="D40" s="17"/>
      <c r="E40" s="17"/>
      <c r="F40" s="19"/>
      <c r="G40" s="19"/>
      <c r="H40" s="18"/>
      <c r="I40" s="21" t="str">
        <f>IF(C40&lt;&gt;"Theo km","",IF(COUNTIFS('NHẬT KÝ DẦU'!$B$5:$B$204,A40)=0,"",_xlfn.MAXIFS('NHẬT KÝ DẦU'!$G$5:$G$204,'NHẬT KÝ DẦU'!$B$5:$B$204,A40)))</f>
        <v/>
      </c>
      <c r="J40" s="21" t="str">
        <f t="shared" ca="1" si="0"/>
        <v/>
      </c>
      <c r="K40" s="16" t="str">
        <f>IF(A40="","",IF(J40="","Chưa nhập",IF(J40&lt;0,"QUÁ HẠN",IF(J40&lt;=IF(C40="Theo km",'THAM SỐ'!$B$32,'THAM SỐ'!$B$31),"Sắp đến hạn","Còn hạn"))))</f>
        <v/>
      </c>
      <c r="L40" s="18"/>
    </row>
    <row r="41" spans="1:12" x14ac:dyDescent="0.45">
      <c r="A41" s="18"/>
      <c r="B41" s="18"/>
      <c r="C41" s="18"/>
      <c r="D41" s="17"/>
      <c r="E41" s="17"/>
      <c r="F41" s="19"/>
      <c r="G41" s="19"/>
      <c r="H41" s="18"/>
      <c r="I41" s="21" t="str">
        <f>IF(C41&lt;&gt;"Theo km","",IF(COUNTIFS('NHẬT KÝ DẦU'!$B$5:$B$204,A41)=0,"",_xlfn.MAXIFS('NHẬT KÝ DẦU'!$G$5:$G$204,'NHẬT KÝ DẦU'!$B$5:$B$204,A41)))</f>
        <v/>
      </c>
      <c r="J41" s="21" t="str">
        <f t="shared" ca="1" si="0"/>
        <v/>
      </c>
      <c r="K41" s="16" t="str">
        <f>IF(A41="","",IF(J41="","Chưa nhập",IF(J41&lt;0,"QUÁ HẠN",IF(J41&lt;=IF(C41="Theo km",'THAM SỐ'!$B$32,'THAM SỐ'!$B$31),"Sắp đến hạn","Còn hạn"))))</f>
        <v/>
      </c>
      <c r="L41" s="18"/>
    </row>
    <row r="42" spans="1:12" x14ac:dyDescent="0.45">
      <c r="A42" s="18"/>
      <c r="B42" s="18"/>
      <c r="C42" s="18"/>
      <c r="D42" s="17"/>
      <c r="E42" s="17"/>
      <c r="F42" s="19"/>
      <c r="G42" s="19"/>
      <c r="H42" s="18"/>
      <c r="I42" s="21" t="str">
        <f>IF(C42&lt;&gt;"Theo km","",IF(COUNTIFS('NHẬT KÝ DẦU'!$B$5:$B$204,A42)=0,"",_xlfn.MAXIFS('NHẬT KÝ DẦU'!$G$5:$G$204,'NHẬT KÝ DẦU'!$B$5:$B$204,A42)))</f>
        <v/>
      </c>
      <c r="J42" s="21" t="str">
        <f t="shared" ca="1" si="0"/>
        <v/>
      </c>
      <c r="K42" s="16" t="str">
        <f>IF(A42="","",IF(J42="","Chưa nhập",IF(J42&lt;0,"QUÁ HẠN",IF(J42&lt;=IF(C42="Theo km",'THAM SỐ'!$B$32,'THAM SỐ'!$B$31),"Sắp đến hạn","Còn hạn"))))</f>
        <v/>
      </c>
      <c r="L42" s="18"/>
    </row>
    <row r="43" spans="1:12" x14ac:dyDescent="0.45">
      <c r="A43" s="18"/>
      <c r="B43" s="18"/>
      <c r="C43" s="18"/>
      <c r="D43" s="17"/>
      <c r="E43" s="17"/>
      <c r="F43" s="19"/>
      <c r="G43" s="19"/>
      <c r="H43" s="18"/>
      <c r="I43" s="21" t="str">
        <f>IF(C43&lt;&gt;"Theo km","",IF(COUNTIFS('NHẬT KÝ DẦU'!$B$5:$B$204,A43)=0,"",_xlfn.MAXIFS('NHẬT KÝ DẦU'!$G$5:$G$204,'NHẬT KÝ DẦU'!$B$5:$B$204,A43)))</f>
        <v/>
      </c>
      <c r="J43" s="21" t="str">
        <f t="shared" ca="1" si="0"/>
        <v/>
      </c>
      <c r="K43" s="16" t="str">
        <f>IF(A43="","",IF(J43="","Chưa nhập",IF(J43&lt;0,"QUÁ HẠN",IF(J43&lt;=IF(C43="Theo km",'THAM SỐ'!$B$32,'THAM SỐ'!$B$31),"Sắp đến hạn","Còn hạn"))))</f>
        <v/>
      </c>
      <c r="L43" s="18"/>
    </row>
    <row r="44" spans="1:12" x14ac:dyDescent="0.45">
      <c r="A44" s="18"/>
      <c r="B44" s="18"/>
      <c r="C44" s="18"/>
      <c r="D44" s="17"/>
      <c r="E44" s="17"/>
      <c r="F44" s="19"/>
      <c r="G44" s="19"/>
      <c r="H44" s="18"/>
      <c r="I44" s="21" t="str">
        <f>IF(C44&lt;&gt;"Theo km","",IF(COUNTIFS('NHẬT KÝ DẦU'!$B$5:$B$204,A44)=0,"",_xlfn.MAXIFS('NHẬT KÝ DẦU'!$G$5:$G$204,'NHẬT KÝ DẦU'!$B$5:$B$204,A44)))</f>
        <v/>
      </c>
      <c r="J44" s="21" t="str">
        <f t="shared" ca="1" si="0"/>
        <v/>
      </c>
      <c r="K44" s="16" t="str">
        <f>IF(A44="","",IF(J44="","Chưa nhập",IF(J44&lt;0,"QUÁ HẠN",IF(J44&lt;=IF(C44="Theo km",'THAM SỐ'!$B$32,'THAM SỐ'!$B$31),"Sắp đến hạn","Còn hạn"))))</f>
        <v/>
      </c>
      <c r="L44" s="18"/>
    </row>
  </sheetData>
  <mergeCells count="2">
    <mergeCell ref="A3:H3"/>
    <mergeCell ref="I3:K3"/>
  </mergeCells>
  <conditionalFormatting sqref="K5:K44">
    <cfRule type="expression" dxfId="15" priority="2">
      <formula>$K5="QUÁ HẠN"</formula>
    </cfRule>
    <cfRule type="expression" dxfId="14" priority="3">
      <formula>OR($K5="Sắp đến hạn",$K5="Chưa nhập")</formula>
    </cfRule>
    <cfRule type="expression" dxfId="13" priority="4">
      <formula>$K5="Còn hạn"</formula>
    </cfRule>
  </conditionalFormatting>
  <dataValidations count="1">
    <dataValidation type="list" allowBlank="1" sqref="C5:C44" xr:uid="{00000000-0002-0000-0600-000000000000}">
      <formula1>"Theo ngày,Theo km"</formula1>
      <formula2>0</formula2>
    </dataValidation>
  </dataValidations>
  <pageMargins left="0.75" right="0.75" top="1" bottom="1" header="0.511811023622047" footer="0.511811023622047"/>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C55A11"/>
  </sheetPr>
  <dimension ref="A1:H39"/>
  <sheetViews>
    <sheetView showGridLines="0" zoomScaleNormal="100" workbookViewId="0">
      <pane xSplit="1" ySplit="5" topLeftCell="B15" activePane="bottomRight" state="frozen"/>
      <selection pane="topRight" activeCell="B1" sqref="B1"/>
      <selection pane="bottomLeft" activeCell="A6" sqref="A6"/>
      <selection pane="bottomRight"/>
    </sheetView>
  </sheetViews>
  <sheetFormatPr defaultColWidth="8.6640625" defaultRowHeight="14.25" x14ac:dyDescent="0.45"/>
  <cols>
    <col min="1" max="1" width="38" customWidth="1"/>
    <col min="2" max="3" width="17" customWidth="1"/>
    <col min="4" max="5" width="14" customWidth="1"/>
    <col min="6" max="6" width="13" customWidth="1"/>
    <col min="7" max="7" width="10" customWidth="1"/>
    <col min="8" max="8" width="52" customWidth="1"/>
  </cols>
  <sheetData>
    <row r="1" spans="1:8" ht="17.649999999999999" x14ac:dyDescent="0.5">
      <c r="A1" s="5" t="s">
        <v>231</v>
      </c>
    </row>
    <row r="2" spans="1:8" x14ac:dyDescent="0.45">
      <c r="A2" s="6" t="s">
        <v>232</v>
      </c>
    </row>
    <row r="3" spans="1:8" x14ac:dyDescent="0.45">
      <c r="A3" s="34" t="s">
        <v>233</v>
      </c>
      <c r="B3" s="35">
        <v>46300</v>
      </c>
      <c r="C3" s="34" t="s">
        <v>234</v>
      </c>
      <c r="D3" s="36">
        <f>B3+6</f>
        <v>46306</v>
      </c>
    </row>
    <row r="5" spans="1:8" ht="30" customHeight="1" x14ac:dyDescent="0.45">
      <c r="A5" s="15" t="s">
        <v>235</v>
      </c>
      <c r="B5" s="15" t="str">
        <f>IF('THAM SỐ'!A11="","-",'THAM SỐ'!A11)</f>
        <v>Nguyễn Chí Cang</v>
      </c>
      <c r="C5" s="15" t="str">
        <f>IF('THAM SỐ'!A12="","-",'THAM SỐ'!A12)</f>
        <v>Khải</v>
      </c>
      <c r="D5" s="15" t="str">
        <f>IF('THAM SỐ'!A13="","-",'THAM SỐ'!A13)</f>
        <v>-</v>
      </c>
      <c r="E5" s="15" t="str">
        <f>IF('THAM SỐ'!A14="","-",'THAM SỐ'!A14)</f>
        <v>-</v>
      </c>
      <c r="F5" s="15" t="s">
        <v>236</v>
      </c>
      <c r="G5" s="15" t="s">
        <v>237</v>
      </c>
      <c r="H5" s="15" t="s">
        <v>238</v>
      </c>
    </row>
    <row r="6" spans="1:8" x14ac:dyDescent="0.45">
      <c r="A6" s="37" t="s">
        <v>239</v>
      </c>
      <c r="B6" s="38">
        <f>IF(B$5="-","",COUNTIFS('NHẬT KÝ NGÀY'!$A$5:$A$404,"&gt;="&amp;$B$3,'NHẬT KÝ NGÀY'!$A$5:$A$404,"&lt;="&amp;$D$3,'NHẬT KÝ NGÀY'!$C$5:$C$404,B$5))</f>
        <v>5</v>
      </c>
      <c r="C6" s="38">
        <f>IF(C$5="-","",COUNTIFS('NHẬT KÝ NGÀY'!$A$5:$A$404,"&gt;="&amp;$B$3,'NHẬT KÝ NGÀY'!$A$5:$A$404,"&lt;="&amp;$D$3,'NHẬT KÝ NGÀY'!$C$5:$C$404,C$5))</f>
        <v>4</v>
      </c>
      <c r="D6" s="38" t="str">
        <f>IF(D$5="-","",COUNTIFS('NHẬT KÝ NGÀY'!$A$5:$A$404,"&gt;="&amp;$B$3,'NHẬT KÝ NGÀY'!$A$5:$A$404,"&lt;="&amp;$D$3,'NHẬT KÝ NGÀY'!$C$5:$C$404,D$5))</f>
        <v/>
      </c>
      <c r="E6" s="38" t="str">
        <f>IF(E$5="-","",COUNTIFS('NHẬT KÝ NGÀY'!$A$5:$A$404,"&gt;="&amp;$B$3,'NHẬT KÝ NGÀY'!$A$5:$A$404,"&lt;="&amp;$D$3,'NHẬT KÝ NGÀY'!$C$5:$C$404,E$5))</f>
        <v/>
      </c>
      <c r="F6" s="38">
        <f t="shared" ref="F6:F12" si="0">SUM(B6:E6)</f>
        <v>9</v>
      </c>
      <c r="G6" s="39"/>
      <c r="H6" s="40"/>
    </row>
    <row r="7" spans="1:8" x14ac:dyDescent="0.45">
      <c r="A7" s="37" t="s">
        <v>240</v>
      </c>
      <c r="B7" s="38">
        <f>IF(B$5="-","",COUNTIFS('LỆNH ĐIỀU XE'!$B$5:$B$604,"&gt;="&amp;$B$3,'LỆNH ĐIỀU XE'!$B$5:$B$604,"&lt;="&amp;$D$3,'LỆNH ĐIỀU XE'!$D$5:$D$604,B$5))</f>
        <v>5</v>
      </c>
      <c r="C7" s="38">
        <f>IF(C$5="-","",COUNTIFS('LỆNH ĐIỀU XE'!$B$5:$B$604,"&gt;="&amp;$B$3,'LỆNH ĐIỀU XE'!$B$5:$B$604,"&lt;="&amp;$D$3,'LỆNH ĐIỀU XE'!$D$5:$D$604,C$5))</f>
        <v>4</v>
      </c>
      <c r="D7" s="38" t="str">
        <f>IF(D$5="-","",COUNTIFS('LỆNH ĐIỀU XE'!$B$5:$B$604,"&gt;="&amp;$B$3,'LỆNH ĐIỀU XE'!$B$5:$B$604,"&lt;="&amp;$D$3,'LỆNH ĐIỀU XE'!$D$5:$D$604,D$5))</f>
        <v/>
      </c>
      <c r="E7" s="38" t="str">
        <f>IF(E$5="-","",COUNTIFS('LỆNH ĐIỀU XE'!$B$5:$B$604,"&gt;="&amp;$B$3,'LỆNH ĐIỀU XE'!$B$5:$B$604,"&lt;="&amp;$D$3,'LỆNH ĐIỀU XE'!$D$5:$D$604,E$5))</f>
        <v/>
      </c>
      <c r="F7" s="38">
        <f t="shared" si="0"/>
        <v>9</v>
      </c>
      <c r="G7" s="39"/>
      <c r="H7" s="40"/>
    </row>
    <row r="8" spans="1:8" x14ac:dyDescent="0.45">
      <c r="A8" s="37" t="s">
        <v>241</v>
      </c>
      <c r="B8" s="38">
        <f>IF(B$5="-","",COUNTIFS('NHẬT KÝ NGÀY'!$A$5:$A$404,"&gt;="&amp;$B$3,'NHẬT KÝ NGÀY'!$A$5:$A$404,"&lt;="&amp;$D$3,'NHẬT KÝ NGÀY'!$C$5:$C$404,B$5,'NHẬT KÝ NGÀY'!$T$5:$T$404,0))</f>
        <v>0</v>
      </c>
      <c r="C8" s="38">
        <f>IF(C$5="-","",COUNTIFS('NHẬT KÝ NGÀY'!$A$5:$A$404,"&gt;="&amp;$B$3,'NHẬT KÝ NGÀY'!$A$5:$A$404,"&lt;="&amp;$D$3,'NHẬT KÝ NGÀY'!$C$5:$C$404,C$5,'NHẬT KÝ NGÀY'!$T$5:$T$404,0))</f>
        <v>0</v>
      </c>
      <c r="D8" s="38" t="str">
        <f>IF(D$5="-","",COUNTIFS('NHẬT KÝ NGÀY'!$A$5:$A$404,"&gt;="&amp;$B$3,'NHẬT KÝ NGÀY'!$A$5:$A$404,"&lt;="&amp;$D$3,'NHẬT KÝ NGÀY'!$C$5:$C$404,D$5,'NHẬT KÝ NGÀY'!$T$5:$T$404,0))</f>
        <v/>
      </c>
      <c r="E8" s="38" t="str">
        <f>IF(E$5="-","",COUNTIFS('NHẬT KÝ NGÀY'!$A$5:$A$404,"&gt;="&amp;$B$3,'NHẬT KÝ NGÀY'!$A$5:$A$404,"&lt;="&amp;$D$3,'NHẬT KÝ NGÀY'!$C$5:$C$404,E$5,'NHẬT KÝ NGÀY'!$T$5:$T$404,0))</f>
        <v/>
      </c>
      <c r="F8" s="38">
        <f t="shared" si="0"/>
        <v>0</v>
      </c>
      <c r="G8" s="39">
        <v>0</v>
      </c>
      <c r="H8" s="40" t="s">
        <v>242</v>
      </c>
    </row>
    <row r="9" spans="1:8" x14ac:dyDescent="0.45">
      <c r="A9" s="37" t="s">
        <v>109</v>
      </c>
      <c r="B9" s="21">
        <f>IF(B$5="-","",SUMIFS('NHẬT KÝ NGÀY'!$D$5:$D$404,'NHẬT KÝ NGÀY'!$A$5:$A$404,"&gt;="&amp;$B$3,'NHẬT KÝ NGÀY'!$A$5:$A$404,"&lt;="&amp;$D$3,'NHẬT KÝ NGÀY'!$C$5:$C$404,B$5))</f>
        <v>930</v>
      </c>
      <c r="C9" s="21">
        <f>IF(C$5="-","",SUMIFS('NHẬT KÝ NGÀY'!$D$5:$D$404,'NHẬT KÝ NGÀY'!$A$5:$A$404,"&gt;="&amp;$B$3,'NHẬT KÝ NGÀY'!$A$5:$A$404,"&lt;="&amp;$D$3,'NHẬT KÝ NGÀY'!$C$5:$C$404,C$5))</f>
        <v>237</v>
      </c>
      <c r="D9" s="21" t="str">
        <f>IF(D$5="-","",SUMIFS('NHẬT KÝ NGÀY'!$D$5:$D$404,'NHẬT KÝ NGÀY'!$A$5:$A$404,"&gt;="&amp;$B$3,'NHẬT KÝ NGÀY'!$A$5:$A$404,"&lt;="&amp;$D$3,'NHẬT KÝ NGÀY'!$C$5:$C$404,D$5))</f>
        <v/>
      </c>
      <c r="E9" s="21" t="str">
        <f>IF(E$5="-","",SUMIFS('NHẬT KÝ NGÀY'!$D$5:$D$404,'NHẬT KÝ NGÀY'!$A$5:$A$404,"&gt;="&amp;$B$3,'NHẬT KÝ NGÀY'!$A$5:$A$404,"&lt;="&amp;$D$3,'NHẬT KÝ NGÀY'!$C$5:$C$404,E$5))</f>
        <v/>
      </c>
      <c r="F9" s="21">
        <f t="shared" si="0"/>
        <v>1167</v>
      </c>
      <c r="G9" s="41"/>
      <c r="H9" s="40"/>
    </row>
    <row r="10" spans="1:8" x14ac:dyDescent="0.45">
      <c r="A10" s="37" t="s">
        <v>243</v>
      </c>
      <c r="B10" s="21">
        <f>IF(B$5="-","",SUMIFS('NHẬT KÝ NGÀY'!$U$5:$U$404,'NHẬT KÝ NGÀY'!$A$5:$A$404,"&gt;="&amp;$B$3,'NHẬT KÝ NGÀY'!$A$5:$A$404,"&lt;="&amp;$D$3,'NHẬT KÝ NGÀY'!$C$5:$C$404,B$5))</f>
        <v>906</v>
      </c>
      <c r="C10" s="21">
        <f>IF(C$5="-","",SUMIFS('NHẬT KÝ NGÀY'!$U$5:$U$404,'NHẬT KÝ NGÀY'!$A$5:$A$404,"&gt;="&amp;$B$3,'NHẬT KÝ NGÀY'!$A$5:$A$404,"&lt;="&amp;$D$3,'NHẬT KÝ NGÀY'!$C$5:$C$404,C$5))</f>
        <v>217</v>
      </c>
      <c r="D10" s="21" t="str">
        <f>IF(D$5="-","",SUMIFS('NHẬT KÝ NGÀY'!$U$5:$U$404,'NHẬT KÝ NGÀY'!$A$5:$A$404,"&gt;="&amp;$B$3,'NHẬT KÝ NGÀY'!$A$5:$A$404,"&lt;="&amp;$D$3,'NHẬT KÝ NGÀY'!$C$5:$C$404,D$5))</f>
        <v/>
      </c>
      <c r="E10" s="21" t="str">
        <f>IF(E$5="-","",SUMIFS('NHẬT KÝ NGÀY'!$U$5:$U$404,'NHẬT KÝ NGÀY'!$A$5:$A$404,"&gt;="&amp;$B$3,'NHẬT KÝ NGÀY'!$A$5:$A$404,"&lt;="&amp;$D$3,'NHẬT KÝ NGÀY'!$C$5:$C$404,E$5))</f>
        <v/>
      </c>
      <c r="F10" s="21">
        <f t="shared" si="0"/>
        <v>1123</v>
      </c>
      <c r="G10" s="41"/>
      <c r="H10" s="40"/>
    </row>
    <row r="11" spans="1:8" x14ac:dyDescent="0.45">
      <c r="A11" s="37" t="s">
        <v>127</v>
      </c>
      <c r="B11" s="28">
        <f>IF(B$5="-","",SUMIFS('NHẬT KÝ NGÀY'!$W$5:$W$404,'NHẬT KÝ NGÀY'!$A$5:$A$404,"&gt;="&amp;$B$3,'NHẬT KÝ NGÀY'!$A$5:$A$404,"&lt;="&amp;$D$3,'NHẬT KÝ NGÀY'!$C$5:$C$404,B$5))</f>
        <v>55.85</v>
      </c>
      <c r="C11" s="28">
        <f>IF(C$5="-","",SUMIFS('NHẬT KÝ NGÀY'!$W$5:$W$404,'NHẬT KÝ NGÀY'!$A$5:$A$404,"&gt;="&amp;$B$3,'NHẬT KÝ NGÀY'!$A$5:$A$404,"&lt;="&amp;$D$3,'NHẬT KÝ NGÀY'!$C$5:$C$404,C$5))</f>
        <v>29.67</v>
      </c>
      <c r="D11" s="28" t="str">
        <f>IF(D$5="-","",SUMIFS('NHẬT KÝ NGÀY'!$W$5:$W$404,'NHẬT KÝ NGÀY'!$A$5:$A$404,"&gt;="&amp;$B$3,'NHẬT KÝ NGÀY'!$A$5:$A$404,"&lt;="&amp;$D$3,'NHẬT KÝ NGÀY'!$C$5:$C$404,D$5))</f>
        <v/>
      </c>
      <c r="E11" s="28" t="str">
        <f>IF(E$5="-","",SUMIFS('NHẬT KÝ NGÀY'!$W$5:$W$404,'NHẬT KÝ NGÀY'!$A$5:$A$404,"&gt;="&amp;$B$3,'NHẬT KÝ NGÀY'!$A$5:$A$404,"&lt;="&amp;$D$3,'NHẬT KÝ NGÀY'!$C$5:$C$404,E$5))</f>
        <v/>
      </c>
      <c r="F11" s="28">
        <f t="shared" si="0"/>
        <v>85.52000000000001</v>
      </c>
      <c r="G11" s="42"/>
      <c r="H11" s="40" t="s">
        <v>244</v>
      </c>
    </row>
    <row r="12" spans="1:8" x14ac:dyDescent="0.45">
      <c r="A12" s="37" t="s">
        <v>245</v>
      </c>
      <c r="B12" s="28">
        <f>IF(B$5="-","",SUMIFS('NHẬT KÝ NGÀY'!$X$5:$X$404,'NHẬT KÝ NGÀY'!$A$5:$A$404,"&gt;="&amp;$B$3,'NHẬT KÝ NGÀY'!$A$5:$A$404,"&lt;="&amp;$D$3,'NHẬT KÝ NGÀY'!$C$5:$C$404,B$5))</f>
        <v>23.92</v>
      </c>
      <c r="C12" s="28">
        <f>IF(C$5="-","",SUMIFS('NHẬT KÝ NGÀY'!$X$5:$X$404,'NHẬT KÝ NGÀY'!$A$5:$A$404,"&gt;="&amp;$B$3,'NHẬT KÝ NGÀY'!$A$5:$A$404,"&lt;="&amp;$D$3,'NHẬT KÝ NGÀY'!$C$5:$C$404,C$5))</f>
        <v>9.91</v>
      </c>
      <c r="D12" s="28" t="str">
        <f>IF(D$5="-","",SUMIFS('NHẬT KÝ NGÀY'!$X$5:$X$404,'NHẬT KÝ NGÀY'!$A$5:$A$404,"&gt;="&amp;$B$3,'NHẬT KÝ NGÀY'!$A$5:$A$404,"&lt;="&amp;$D$3,'NHẬT KÝ NGÀY'!$C$5:$C$404,D$5))</f>
        <v/>
      </c>
      <c r="E12" s="28" t="str">
        <f>IF(E$5="-","",SUMIFS('NHẬT KÝ NGÀY'!$X$5:$X$404,'NHẬT KÝ NGÀY'!$A$5:$A$404,"&gt;="&amp;$B$3,'NHẬT KÝ NGÀY'!$A$5:$A$404,"&lt;="&amp;$D$3,'NHẬT KÝ NGÀY'!$C$5:$C$404,E$5))</f>
        <v/>
      </c>
      <c r="F12" s="28">
        <f t="shared" si="0"/>
        <v>33.83</v>
      </c>
      <c r="G12" s="42">
        <f>'THAM SỐ'!$B$26</f>
        <v>48</v>
      </c>
      <c r="H12" s="40" t="s">
        <v>246</v>
      </c>
    </row>
    <row r="13" spans="1:8" x14ac:dyDescent="0.45">
      <c r="A13" s="37" t="s">
        <v>130</v>
      </c>
      <c r="B13" s="22">
        <f>IF(OR(B$5="-",N(B11)=0),"",B12/B11)</f>
        <v>0.42829006266786035</v>
      </c>
      <c r="C13" s="22">
        <f>IF(OR(C$5="-",N(C11)=0),"",C12/C11)</f>
        <v>0.33400741489720254</v>
      </c>
      <c r="D13" s="22" t="str">
        <f>IF(OR(D$5="-",N(D11)=0),"",D12/D11)</f>
        <v/>
      </c>
      <c r="E13" s="22" t="str">
        <f>IF(OR(E$5="-",N(E11)=0),"",E12/E11)</f>
        <v/>
      </c>
      <c r="F13" s="22">
        <f>IF(N(F11)=0,"",F12/F11)</f>
        <v>0.39557998129092603</v>
      </c>
      <c r="G13" s="43">
        <f>'THAM SỐ'!$B$33</f>
        <v>0.5</v>
      </c>
      <c r="H13" s="40" t="s">
        <v>247</v>
      </c>
    </row>
    <row r="14" spans="1:8" x14ac:dyDescent="0.45">
      <c r="A14" s="37" t="s">
        <v>129</v>
      </c>
      <c r="B14" s="28">
        <f>IF(B$5="-","",SUMIFS('NHẬT KÝ NGÀY'!$Y$5:$Y$404,'NHẬT KÝ NGÀY'!$A$5:$A$404,"&gt;="&amp;$B$3,'NHẬT KÝ NGÀY'!$A$5:$A$404,"&lt;="&amp;$D$3,'NHẬT KÝ NGÀY'!$C$5:$C$404,B$5))</f>
        <v>31.93</v>
      </c>
      <c r="C14" s="28">
        <f>IF(C$5="-","",SUMIFS('NHẬT KÝ NGÀY'!$Y$5:$Y$404,'NHẬT KÝ NGÀY'!$A$5:$A$404,"&gt;="&amp;$B$3,'NHẬT KÝ NGÀY'!$A$5:$A$404,"&lt;="&amp;$D$3,'NHẬT KÝ NGÀY'!$C$5:$C$404,C$5))</f>
        <v>19.759999999999998</v>
      </c>
      <c r="D14" s="28" t="str">
        <f>IF(D$5="-","",SUMIFS('NHẬT KÝ NGÀY'!$Y$5:$Y$404,'NHẬT KÝ NGÀY'!$A$5:$A$404,"&gt;="&amp;$B$3,'NHẬT KÝ NGÀY'!$A$5:$A$404,"&lt;="&amp;$D$3,'NHẬT KÝ NGÀY'!$C$5:$C$404,D$5))</f>
        <v/>
      </c>
      <c r="E14" s="28" t="str">
        <f>IF(E$5="-","",SUMIFS('NHẬT KÝ NGÀY'!$Y$5:$Y$404,'NHẬT KÝ NGÀY'!$A$5:$A$404,"&gt;="&amp;$B$3,'NHẬT KÝ NGÀY'!$A$5:$A$404,"&lt;="&amp;$D$3,'NHẬT KÝ NGÀY'!$C$5:$C$404,E$5))</f>
        <v/>
      </c>
      <c r="F14" s="28">
        <f t="shared" ref="F14:F24" si="1">SUM(B14:E14)</f>
        <v>51.69</v>
      </c>
      <c r="G14" s="42"/>
      <c r="H14" s="40" t="s">
        <v>248</v>
      </c>
    </row>
    <row r="15" spans="1:8" x14ac:dyDescent="0.45">
      <c r="A15" s="37" t="s">
        <v>131</v>
      </c>
      <c r="B15" s="28">
        <f>IF(B$5="-","",SUMIFS('NHẬT KÝ NGÀY'!$AA$5:$AA$404,'NHẬT KÝ NGÀY'!$A$5:$A$404,"&gt;="&amp;$B$3,'NHẬT KÝ NGÀY'!$A$5:$A$404,"&lt;="&amp;$D$3,'NHẬT KÝ NGÀY'!$C$5:$C$404,B$5))</f>
        <v>5.16</v>
      </c>
      <c r="C15" s="28">
        <f>IF(C$5="-","",SUMIFS('NHẬT KÝ NGÀY'!$AA$5:$AA$404,'NHẬT KÝ NGÀY'!$A$5:$A$404,"&gt;="&amp;$B$3,'NHẬT KÝ NGÀY'!$A$5:$A$404,"&lt;="&amp;$D$3,'NHẬT KÝ NGÀY'!$C$5:$C$404,C$5))</f>
        <v>4.84</v>
      </c>
      <c r="D15" s="28" t="str">
        <f>IF(D$5="-","",SUMIFS('NHẬT KÝ NGÀY'!$AA$5:$AA$404,'NHẬT KÝ NGÀY'!$A$5:$A$404,"&gt;="&amp;$B$3,'NHẬT KÝ NGÀY'!$A$5:$A$404,"&lt;="&amp;$D$3,'NHẬT KÝ NGÀY'!$C$5:$C$404,D$5))</f>
        <v/>
      </c>
      <c r="E15" s="28" t="str">
        <f>IF(E$5="-","",SUMIFS('NHẬT KÝ NGÀY'!$AA$5:$AA$404,'NHẬT KÝ NGÀY'!$A$5:$A$404,"&gt;="&amp;$B$3,'NHẬT KÝ NGÀY'!$A$5:$A$404,"&lt;="&amp;$D$3,'NHẬT KÝ NGÀY'!$C$5:$C$404,E$5))</f>
        <v/>
      </c>
      <c r="F15" s="28">
        <f t="shared" si="1"/>
        <v>10</v>
      </c>
      <c r="G15" s="42"/>
      <c r="H15" s="40"/>
    </row>
    <row r="16" spans="1:8" x14ac:dyDescent="0.45">
      <c r="A16" s="37" t="s">
        <v>249</v>
      </c>
      <c r="B16" s="38">
        <f>IF(B$5="-","",COUNTIFS('NHẬT KÝ NGÀY'!$A$5:$A$404,"&gt;="&amp;$B$3,'NHẬT KÝ NGÀY'!$A$5:$A$404,"&lt;="&amp;$D$3,'NHẬT KÝ NGÀY'!$C$5:$C$404,B$5,'NHẬT KÝ NGÀY'!$X$5:$X$404,"&gt;"&amp;'THAM SỐ'!$B$25))</f>
        <v>0</v>
      </c>
      <c r="C16" s="38">
        <f>IF(C$5="-","",COUNTIFS('NHẬT KÝ NGÀY'!$A$5:$A$404,"&gt;="&amp;$B$3,'NHẬT KÝ NGÀY'!$A$5:$A$404,"&lt;="&amp;$D$3,'NHẬT KÝ NGÀY'!$C$5:$C$404,C$5,'NHẬT KÝ NGÀY'!$X$5:$X$404,"&gt;"&amp;'THAM SỐ'!$B$25))</f>
        <v>0</v>
      </c>
      <c r="D16" s="38" t="str">
        <f>IF(D$5="-","",COUNTIFS('NHẬT KÝ NGÀY'!$A$5:$A$404,"&gt;="&amp;$B$3,'NHẬT KÝ NGÀY'!$A$5:$A$404,"&lt;="&amp;$D$3,'NHẬT KÝ NGÀY'!$C$5:$C$404,D$5,'NHẬT KÝ NGÀY'!$X$5:$X$404,"&gt;"&amp;'THAM SỐ'!$B$25))</f>
        <v/>
      </c>
      <c r="E16" s="38" t="str">
        <f>IF(E$5="-","",COUNTIFS('NHẬT KÝ NGÀY'!$A$5:$A$404,"&gt;="&amp;$B$3,'NHẬT KÝ NGÀY'!$A$5:$A$404,"&lt;="&amp;$D$3,'NHẬT KÝ NGÀY'!$C$5:$C$404,E$5,'NHẬT KÝ NGÀY'!$X$5:$X$404,"&gt;"&amp;'THAM SỐ'!$B$25))</f>
        <v/>
      </c>
      <c r="F16" s="38">
        <f t="shared" si="1"/>
        <v>0</v>
      </c>
      <c r="G16" s="39">
        <v>0</v>
      </c>
      <c r="H16" s="40"/>
    </row>
    <row r="17" spans="1:8" x14ac:dyDescent="0.45">
      <c r="A17" s="37" t="s">
        <v>250</v>
      </c>
      <c r="B17" s="38">
        <f>IF(B$5="-","",COUNTIFS('NHẬT KÝ NGÀY'!$A$5:$A$404,"&gt;="&amp;$B$3,'NHẬT KÝ NGÀY'!$A$5:$A$404,"&lt;="&amp;$D$3,'NHẬT KÝ NGÀY'!$C$5:$C$404,B$5,'NHẬT KÝ NGÀY'!$W$5:$W$404,"&gt;"&amp;'THAM SỐ'!$B$27))</f>
        <v>2</v>
      </c>
      <c r="C17" s="38">
        <f>IF(C$5="-","",COUNTIFS('NHẬT KÝ NGÀY'!$A$5:$A$404,"&gt;="&amp;$B$3,'NHẬT KÝ NGÀY'!$A$5:$A$404,"&lt;="&amp;$D$3,'NHẬT KÝ NGÀY'!$C$5:$C$404,C$5,'NHẬT KÝ NGÀY'!$W$5:$W$404,"&gt;"&amp;'THAM SỐ'!$B$27))</f>
        <v>0</v>
      </c>
      <c r="D17" s="38" t="str">
        <f>IF(D$5="-","",COUNTIFS('NHẬT KÝ NGÀY'!$A$5:$A$404,"&gt;="&amp;$B$3,'NHẬT KÝ NGÀY'!$A$5:$A$404,"&lt;="&amp;$D$3,'NHẬT KÝ NGÀY'!$C$5:$C$404,D$5,'NHẬT KÝ NGÀY'!$W$5:$W$404,"&gt;"&amp;'THAM SỐ'!$B$27))</f>
        <v/>
      </c>
      <c r="E17" s="38" t="str">
        <f>IF(E$5="-","",COUNTIFS('NHẬT KÝ NGÀY'!$A$5:$A$404,"&gt;="&amp;$B$3,'NHẬT KÝ NGÀY'!$A$5:$A$404,"&lt;="&amp;$D$3,'NHẬT KÝ NGÀY'!$C$5:$C$404,E$5,'NHẬT KÝ NGÀY'!$W$5:$W$404,"&gt;"&amp;'THAM SỐ'!$B$27))</f>
        <v/>
      </c>
      <c r="F17" s="38">
        <f t="shared" si="1"/>
        <v>2</v>
      </c>
      <c r="G17" s="39">
        <v>0</v>
      </c>
      <c r="H17" s="40" t="s">
        <v>251</v>
      </c>
    </row>
    <row r="18" spans="1:8" x14ac:dyDescent="0.45">
      <c r="A18" s="37" t="s">
        <v>115</v>
      </c>
      <c r="B18" s="38">
        <f>IF(B$5="-","",SUMIFS('NHẬT KÝ NGÀY'!$J$5:$J$404,'NHẬT KÝ NGÀY'!$A$5:$A$404,"&gt;="&amp;$B$3,'NHẬT KÝ NGÀY'!$A$5:$A$404,"&lt;="&amp;$D$3,'NHẬT KÝ NGÀY'!$C$5:$C$404,B$5))</f>
        <v>3</v>
      </c>
      <c r="C18" s="38">
        <f>IF(C$5="-","",SUMIFS('NHẬT KÝ NGÀY'!$J$5:$J$404,'NHẬT KÝ NGÀY'!$A$5:$A$404,"&gt;="&amp;$B$3,'NHẬT KÝ NGÀY'!$A$5:$A$404,"&lt;="&amp;$D$3,'NHẬT KÝ NGÀY'!$C$5:$C$404,C$5))</f>
        <v>0</v>
      </c>
      <c r="D18" s="38" t="str">
        <f>IF(D$5="-","",SUMIFS('NHẬT KÝ NGÀY'!$J$5:$J$404,'NHẬT KÝ NGÀY'!$A$5:$A$404,"&gt;="&amp;$B$3,'NHẬT KÝ NGÀY'!$A$5:$A$404,"&lt;="&amp;$D$3,'NHẬT KÝ NGÀY'!$C$5:$C$404,D$5))</f>
        <v/>
      </c>
      <c r="E18" s="38" t="str">
        <f>IF(E$5="-","",SUMIFS('NHẬT KÝ NGÀY'!$J$5:$J$404,'NHẬT KÝ NGÀY'!$A$5:$A$404,"&gt;="&amp;$B$3,'NHẬT KÝ NGÀY'!$A$5:$A$404,"&lt;="&amp;$D$3,'NHẬT KÝ NGÀY'!$C$5:$C$404,E$5))</f>
        <v/>
      </c>
      <c r="F18" s="38">
        <f t="shared" si="1"/>
        <v>3</v>
      </c>
      <c r="G18" s="39">
        <v>0</v>
      </c>
      <c r="H18" s="40"/>
    </row>
    <row r="19" spans="1:8" x14ac:dyDescent="0.45">
      <c r="A19" s="37" t="s">
        <v>252</v>
      </c>
      <c r="B19" s="38">
        <f>IF(B$5="-","",SUMIFS('NHẬT KÝ NGÀY'!$K$5:$K$404,'NHẬT KÝ NGÀY'!$A$5:$A$404,"&gt;="&amp;$B$3,'NHẬT KÝ NGÀY'!$A$5:$A$404,"&lt;="&amp;$D$3,'NHẬT KÝ NGÀY'!$C$5:$C$404,B$5))</f>
        <v>2</v>
      </c>
      <c r="C19" s="38">
        <f>IF(C$5="-","",SUMIFS('NHẬT KÝ NGÀY'!$K$5:$K$404,'NHẬT KÝ NGÀY'!$A$5:$A$404,"&gt;="&amp;$B$3,'NHẬT KÝ NGÀY'!$A$5:$A$404,"&lt;="&amp;$D$3,'NHẬT KÝ NGÀY'!$C$5:$C$404,C$5))</f>
        <v>0</v>
      </c>
      <c r="D19" s="38" t="str">
        <f>IF(D$5="-","",SUMIFS('NHẬT KÝ NGÀY'!$K$5:$K$404,'NHẬT KÝ NGÀY'!$A$5:$A$404,"&gt;="&amp;$B$3,'NHẬT KÝ NGÀY'!$A$5:$A$404,"&lt;="&amp;$D$3,'NHẬT KÝ NGÀY'!$C$5:$C$404,D$5))</f>
        <v/>
      </c>
      <c r="E19" s="38" t="str">
        <f>IF(E$5="-","",SUMIFS('NHẬT KÝ NGÀY'!$K$5:$K$404,'NHẬT KÝ NGÀY'!$A$5:$A$404,"&gt;="&amp;$B$3,'NHẬT KÝ NGÀY'!$A$5:$A$404,"&lt;="&amp;$D$3,'NHẬT KÝ NGÀY'!$C$5:$C$404,E$5))</f>
        <v/>
      </c>
      <c r="F19" s="38">
        <f t="shared" si="1"/>
        <v>2</v>
      </c>
      <c r="G19" s="39">
        <v>0</v>
      </c>
      <c r="H19" s="40"/>
    </row>
    <row r="20" spans="1:8" x14ac:dyDescent="0.45">
      <c r="A20" s="37" t="s">
        <v>253</v>
      </c>
      <c r="B20" s="38">
        <f>IF(B$5="-","",SUMIFS('NHẬT KÝ NGÀY'!$L$5:$L$404,'NHẬT KÝ NGÀY'!$A$5:$A$404,"&gt;="&amp;$B$3,'NHẬT KÝ NGÀY'!$A$5:$A$404,"&lt;="&amp;$D$3,'NHẬT KÝ NGÀY'!$C$5:$C$404,B$5))</f>
        <v>1</v>
      </c>
      <c r="C20" s="38">
        <f>IF(C$5="-","",SUMIFS('NHẬT KÝ NGÀY'!$L$5:$L$404,'NHẬT KÝ NGÀY'!$A$5:$A$404,"&gt;="&amp;$B$3,'NHẬT KÝ NGÀY'!$A$5:$A$404,"&lt;="&amp;$D$3,'NHẬT KÝ NGÀY'!$C$5:$C$404,C$5))</f>
        <v>3</v>
      </c>
      <c r="D20" s="38" t="str">
        <f>IF(D$5="-","",SUMIFS('NHẬT KÝ NGÀY'!$L$5:$L$404,'NHẬT KÝ NGÀY'!$A$5:$A$404,"&gt;="&amp;$B$3,'NHẬT KÝ NGÀY'!$A$5:$A$404,"&lt;="&amp;$D$3,'NHẬT KÝ NGÀY'!$C$5:$C$404,D$5))</f>
        <v/>
      </c>
      <c r="E20" s="38" t="str">
        <f>IF(E$5="-","",SUMIFS('NHẬT KÝ NGÀY'!$L$5:$L$404,'NHẬT KÝ NGÀY'!$A$5:$A$404,"&gt;="&amp;$B$3,'NHẬT KÝ NGÀY'!$A$5:$A$404,"&lt;="&amp;$D$3,'NHẬT KÝ NGÀY'!$C$5:$C$404,E$5))</f>
        <v/>
      </c>
      <c r="F20" s="38">
        <f t="shared" si="1"/>
        <v>4</v>
      </c>
      <c r="G20" s="39">
        <f>'THAM SỐ'!$B$34</f>
        <v>0</v>
      </c>
      <c r="H20" s="40"/>
    </row>
    <row r="21" spans="1:8" x14ac:dyDescent="0.45">
      <c r="A21" s="37" t="s">
        <v>254</v>
      </c>
      <c r="B21" s="38">
        <f>IF(B$5="-","",SUMIFS('NHẬT KÝ NGÀY'!$N$5:$N$404,'NHẬT KÝ NGÀY'!$A$5:$A$404,"&gt;="&amp;$B$3,'NHẬT KÝ NGÀY'!$A$5:$A$404,"&lt;="&amp;$D$3,'NHẬT KÝ NGÀY'!$C$5:$C$404,B$5))</f>
        <v>0</v>
      </c>
      <c r="C21" s="38">
        <f>IF(C$5="-","",SUMIFS('NHẬT KÝ NGÀY'!$N$5:$N$404,'NHẬT KÝ NGÀY'!$A$5:$A$404,"&gt;="&amp;$B$3,'NHẬT KÝ NGÀY'!$A$5:$A$404,"&lt;="&amp;$D$3,'NHẬT KÝ NGÀY'!$C$5:$C$404,C$5))</f>
        <v>1</v>
      </c>
      <c r="D21" s="38" t="str">
        <f>IF(D$5="-","",SUMIFS('NHẬT KÝ NGÀY'!$N$5:$N$404,'NHẬT KÝ NGÀY'!$A$5:$A$404,"&gt;="&amp;$B$3,'NHẬT KÝ NGÀY'!$A$5:$A$404,"&lt;="&amp;$D$3,'NHẬT KÝ NGÀY'!$C$5:$C$404,D$5))</f>
        <v/>
      </c>
      <c r="E21" s="38" t="str">
        <f>IF(E$5="-","",SUMIFS('NHẬT KÝ NGÀY'!$N$5:$N$404,'NHẬT KÝ NGÀY'!$A$5:$A$404,"&gt;="&amp;$B$3,'NHẬT KÝ NGÀY'!$A$5:$A$404,"&lt;="&amp;$D$3,'NHẬT KÝ NGÀY'!$C$5:$C$404,E$5))</f>
        <v/>
      </c>
      <c r="F21" s="38">
        <f t="shared" si="1"/>
        <v>1</v>
      </c>
      <c r="G21" s="39">
        <v>0</v>
      </c>
      <c r="H21" s="40"/>
    </row>
    <row r="22" spans="1:8" x14ac:dyDescent="0.45">
      <c r="A22" s="37" t="s">
        <v>255</v>
      </c>
      <c r="B22" s="38">
        <f>IF(B$5="-","",COUNTIFS('NHẬT KÝ NGÀY'!$A$5:$A$404,"&gt;="&amp;$B$3,'NHẬT KÝ NGÀY'!$A$5:$A$404,"&lt;="&amp;$D$3,'NHẬT KÝ NGÀY'!$C$5:$C$404,B$5,'NHẬT KÝ NGÀY'!$AL$5:$AL$404,"*Thiếu ảnh*"))</f>
        <v>1</v>
      </c>
      <c r="C22" s="38">
        <f>IF(C$5="-","",COUNTIFS('NHẬT KÝ NGÀY'!$A$5:$A$404,"&gt;="&amp;$B$3,'NHẬT KÝ NGÀY'!$A$5:$A$404,"&lt;="&amp;$D$3,'NHẬT KÝ NGÀY'!$C$5:$C$404,C$5,'NHẬT KÝ NGÀY'!$AL$5:$AL$404,"*Thiếu ảnh*"))</f>
        <v>1</v>
      </c>
      <c r="D22" s="38" t="str">
        <f>IF(D$5="-","",COUNTIFS('NHẬT KÝ NGÀY'!$A$5:$A$404,"&gt;="&amp;$B$3,'NHẬT KÝ NGÀY'!$A$5:$A$404,"&lt;="&amp;$D$3,'NHẬT KÝ NGÀY'!$C$5:$C$404,D$5,'NHẬT KÝ NGÀY'!$AL$5:$AL$404,"*Thiếu ảnh*"))</f>
        <v/>
      </c>
      <c r="E22" s="38" t="str">
        <f>IF(E$5="-","",COUNTIFS('NHẬT KÝ NGÀY'!$A$5:$A$404,"&gt;="&amp;$B$3,'NHẬT KÝ NGÀY'!$A$5:$A$404,"&lt;="&amp;$D$3,'NHẬT KÝ NGÀY'!$C$5:$C$404,E$5,'NHẬT KÝ NGÀY'!$AL$5:$AL$404,"*Thiếu ảnh*"))</f>
        <v/>
      </c>
      <c r="F22" s="38">
        <f t="shared" si="1"/>
        <v>2</v>
      </c>
      <c r="G22" s="39">
        <v>0</v>
      </c>
      <c r="H22" s="40" t="s">
        <v>256</v>
      </c>
    </row>
    <row r="23" spans="1:8" x14ac:dyDescent="0.45">
      <c r="A23" s="37" t="s">
        <v>257</v>
      </c>
      <c r="B23" s="38">
        <f>IF(B$5="-","",COUNTIFS('NHẬT KÝ NGÀY'!$A$5:$A$404,"&gt;="&amp;$B$3,'NHẬT KÝ NGÀY'!$A$5:$A$404,"&lt;="&amp;$D$3,'NHẬT KÝ NGÀY'!$C$5:$C$404,B$5,'NHẬT KÝ NGÀY'!$AL$5:$AL$404,"*Lốp chưa đạt*"))</f>
        <v>0</v>
      </c>
      <c r="C23" s="38">
        <f>IF(C$5="-","",COUNTIFS('NHẬT KÝ NGÀY'!$A$5:$A$404,"&gt;="&amp;$B$3,'NHẬT KÝ NGÀY'!$A$5:$A$404,"&lt;="&amp;$D$3,'NHẬT KÝ NGÀY'!$C$5:$C$404,C$5,'NHẬT KÝ NGÀY'!$AL$5:$AL$404,"*Lốp chưa đạt*"))</f>
        <v>1</v>
      </c>
      <c r="D23" s="38" t="str">
        <f>IF(D$5="-","",COUNTIFS('NHẬT KÝ NGÀY'!$A$5:$A$404,"&gt;="&amp;$B$3,'NHẬT KÝ NGÀY'!$A$5:$A$404,"&lt;="&amp;$D$3,'NHẬT KÝ NGÀY'!$C$5:$C$404,D$5,'NHẬT KÝ NGÀY'!$AL$5:$AL$404,"*Lốp chưa đạt*"))</f>
        <v/>
      </c>
      <c r="E23" s="38" t="str">
        <f>IF(E$5="-","",COUNTIFS('NHẬT KÝ NGÀY'!$A$5:$A$404,"&gt;="&amp;$B$3,'NHẬT KÝ NGÀY'!$A$5:$A$404,"&lt;="&amp;$D$3,'NHẬT KÝ NGÀY'!$C$5:$C$404,E$5,'NHẬT KÝ NGÀY'!$AL$5:$AL$404,"*Lốp chưa đạt*"))</f>
        <v/>
      </c>
      <c r="F23" s="38">
        <f t="shared" si="1"/>
        <v>1</v>
      </c>
      <c r="G23" s="39">
        <v>0</v>
      </c>
      <c r="H23" s="40"/>
    </row>
    <row r="24" spans="1:8" x14ac:dyDescent="0.45">
      <c r="A24" s="37" t="s">
        <v>118</v>
      </c>
      <c r="B24" s="28">
        <f>IF(B$5="-","",SUMIFS('NHẬT KÝ NGÀY'!$M$5:$M$404,'NHẬT KÝ NGÀY'!$A$5:$A$404,"&gt;="&amp;$B$3,'NHẬT KÝ NGÀY'!$A$5:$A$404,"&lt;="&amp;$D$3,'NHẬT KÝ NGÀY'!$C$5:$C$404,B$5))</f>
        <v>106.69999999999999</v>
      </c>
      <c r="C24" s="28">
        <f>IF(C$5="-","",SUMIFS('NHẬT KÝ NGÀY'!$M$5:$M$404,'NHẬT KÝ NGÀY'!$A$5:$A$404,"&gt;="&amp;$B$3,'NHẬT KÝ NGÀY'!$A$5:$A$404,"&lt;="&amp;$D$3,'NHẬT KÝ NGÀY'!$C$5:$C$404,C$5))</f>
        <v>28.5</v>
      </c>
      <c r="D24" s="28" t="str">
        <f>IF(D$5="-","",SUMIFS('NHẬT KÝ NGÀY'!$M$5:$M$404,'NHẬT KÝ NGÀY'!$A$5:$A$404,"&gt;="&amp;$B$3,'NHẬT KÝ NGÀY'!$A$5:$A$404,"&lt;="&amp;$D$3,'NHẬT KÝ NGÀY'!$C$5:$C$404,D$5))</f>
        <v/>
      </c>
      <c r="E24" s="28" t="str">
        <f>IF(E$5="-","",SUMIFS('NHẬT KÝ NGÀY'!$M$5:$M$404,'NHẬT KÝ NGÀY'!$A$5:$A$404,"&gt;="&amp;$B$3,'NHẬT KÝ NGÀY'!$A$5:$A$404,"&lt;="&amp;$D$3,'NHẬT KÝ NGÀY'!$C$5:$C$404,E$5))</f>
        <v/>
      </c>
      <c r="F24" s="28">
        <f t="shared" si="1"/>
        <v>135.19999999999999</v>
      </c>
      <c r="G24" s="42"/>
      <c r="H24" s="40"/>
    </row>
    <row r="25" spans="1:8" x14ac:dyDescent="0.45">
      <c r="A25" s="37" t="s">
        <v>132</v>
      </c>
      <c r="B25" s="28">
        <f>IF(OR(B$5="-",N(B9)=0),"",B24/B9*100)</f>
        <v>11.47311827956989</v>
      </c>
      <c r="C25" s="28">
        <f>IF(OR(C$5="-",N(C9)=0),"",C24/C9*100)</f>
        <v>12.025316455696203</v>
      </c>
      <c r="D25" s="28" t="str">
        <f>IF(OR(D$5="-",N(D9)=0),"",D24/D9*100)</f>
        <v/>
      </c>
      <c r="E25" s="28" t="str">
        <f>IF(OR(E$5="-",N(E9)=0),"",E24/E9*100)</f>
        <v/>
      </c>
      <c r="F25" s="28">
        <f>IF(N(F9)=0,"",F24/F9*100)</f>
        <v>11.585261353898884</v>
      </c>
      <c r="G25" s="42"/>
      <c r="H25" s="40" t="s">
        <v>258</v>
      </c>
    </row>
    <row r="26" spans="1:8" x14ac:dyDescent="0.45">
      <c r="A26" s="37" t="s">
        <v>259</v>
      </c>
      <c r="B26" s="28">
        <f>IF(B$5="-","",SUMIFS('NHẬT KÝ NGÀY'!$AG$5:$AG$404,'NHẬT KÝ NGÀY'!$A$5:$A$404,"&gt;="&amp;$B$3,'NHẬT KÝ NGÀY'!$A$5:$A$404,"&lt;="&amp;$D$3,'NHẬT KÝ NGÀY'!$C$5:$C$404,B$5))</f>
        <v>13.55</v>
      </c>
      <c r="C26" s="28">
        <f>IF(C$5="-","",SUMIFS('NHẬT KÝ NGÀY'!$AG$5:$AG$404,'NHẬT KÝ NGÀY'!$A$5:$A$404,"&gt;="&amp;$B$3,'NHẬT KÝ NGÀY'!$A$5:$A$404,"&lt;="&amp;$D$3,'NHẬT KÝ NGÀY'!$C$5:$C$404,C$5))</f>
        <v>0.65999999999999992</v>
      </c>
      <c r="D26" s="28" t="str">
        <f>IF(D$5="-","",SUMIFS('NHẬT KÝ NGÀY'!$AG$5:$AG$404,'NHẬT KÝ NGÀY'!$A$5:$A$404,"&gt;="&amp;$B$3,'NHẬT KÝ NGÀY'!$A$5:$A$404,"&lt;="&amp;$D$3,'NHẬT KÝ NGÀY'!$C$5:$C$404,D$5))</f>
        <v/>
      </c>
      <c r="E26" s="28" t="str">
        <f>IF(E$5="-","",SUMIFS('NHẬT KÝ NGÀY'!$AG$5:$AG$404,'NHẬT KÝ NGÀY'!$A$5:$A$404,"&gt;="&amp;$B$3,'NHẬT KÝ NGÀY'!$A$5:$A$404,"&lt;="&amp;$D$3,'NHẬT KÝ NGÀY'!$C$5:$C$404,E$5))</f>
        <v/>
      </c>
      <c r="F26" s="28">
        <f t="shared" ref="F26:F31" si="2">SUM(B26:E26)</f>
        <v>14.21</v>
      </c>
      <c r="G26" s="42"/>
      <c r="H26" s="40"/>
    </row>
    <row r="27" spans="1:8" x14ac:dyDescent="0.45">
      <c r="A27" s="37" t="s">
        <v>260</v>
      </c>
      <c r="B27" s="28">
        <f>IF(B$5="-","",SUMIFS('NHẬT KÝ NGÀY'!$AO$5:$AO$404,'NHẬT KÝ NGÀY'!$A$5:$A$404,"&gt;="&amp;$B$3,'NHẬT KÝ NGÀY'!$A$5:$A$404,"&lt;="&amp;$D$3,'NHẬT KÝ NGÀY'!$C$5:$C$404,B$5))</f>
        <v>4.3</v>
      </c>
      <c r="C27" s="28">
        <f>IF(C$5="-","",SUMIFS('NHẬT KÝ NGÀY'!$AO$5:$AO$404,'NHẬT KÝ NGÀY'!$A$5:$A$404,"&gt;="&amp;$B$3,'NHẬT KÝ NGÀY'!$A$5:$A$404,"&lt;="&amp;$D$3,'NHẬT KÝ NGÀY'!$C$5:$C$404,C$5))</f>
        <v>0</v>
      </c>
      <c r="D27" s="28" t="str">
        <f>IF(D$5="-","",SUMIFS('NHẬT KÝ NGÀY'!$AO$5:$AO$404,'NHẬT KÝ NGÀY'!$A$5:$A$404,"&gt;="&amp;$B$3,'NHẬT KÝ NGÀY'!$A$5:$A$404,"&lt;="&amp;$D$3,'NHẬT KÝ NGÀY'!$C$5:$C$404,D$5))</f>
        <v/>
      </c>
      <c r="E27" s="28" t="str">
        <f>IF(E$5="-","",SUMIFS('NHẬT KÝ NGÀY'!$AO$5:$AO$404,'NHẬT KÝ NGÀY'!$A$5:$A$404,"&gt;="&amp;$B$3,'NHẬT KÝ NGÀY'!$A$5:$A$404,"&lt;="&amp;$D$3,'NHẬT KÝ NGÀY'!$C$5:$C$404,E$5))</f>
        <v/>
      </c>
      <c r="F27" s="28">
        <f t="shared" si="2"/>
        <v>4.3</v>
      </c>
      <c r="G27" s="42"/>
      <c r="H27" s="40"/>
    </row>
    <row r="28" spans="1:8" x14ac:dyDescent="0.45">
      <c r="A28" s="37" t="s">
        <v>261</v>
      </c>
      <c r="B28" s="21">
        <f>IF(B$5="-","",SUMIFS('NHẬT KÝ NGÀY'!$AP$5:$AP$404,'NHẬT KÝ NGÀY'!$A$5:$A$404,"&gt;="&amp;$B$3,'NHẬT KÝ NGÀY'!$A$5:$A$404,"&lt;="&amp;$D$3,'NHẬT KÝ NGÀY'!$C$5:$C$404,B$5))</f>
        <v>255750</v>
      </c>
      <c r="C28" s="21">
        <f>IF(C$5="-","",SUMIFS('NHẬT KÝ NGÀY'!$AP$5:$AP$404,'NHẬT KÝ NGÀY'!$A$5:$A$404,"&gt;="&amp;$B$3,'NHẬT KÝ NGÀY'!$A$5:$A$404,"&lt;="&amp;$D$3,'NHẬT KÝ NGÀY'!$C$5:$C$404,C$5))</f>
        <v>0</v>
      </c>
      <c r="D28" s="21" t="str">
        <f>IF(D$5="-","",SUMIFS('NHẬT KÝ NGÀY'!$AP$5:$AP$404,'NHẬT KÝ NGÀY'!$A$5:$A$404,"&gt;="&amp;$B$3,'NHẬT KÝ NGÀY'!$A$5:$A$404,"&lt;="&amp;$D$3,'NHẬT KÝ NGÀY'!$C$5:$C$404,D$5))</f>
        <v/>
      </c>
      <c r="E28" s="21" t="str">
        <f>IF(E$5="-","",SUMIFS('NHẬT KÝ NGÀY'!$AP$5:$AP$404,'NHẬT KÝ NGÀY'!$A$5:$A$404,"&gt;="&amp;$B$3,'NHẬT KÝ NGÀY'!$A$5:$A$404,"&lt;="&amp;$D$3,'NHẬT KÝ NGÀY'!$C$5:$C$404,E$5))</f>
        <v/>
      </c>
      <c r="F28" s="21">
        <f t="shared" si="2"/>
        <v>255750</v>
      </c>
      <c r="G28" s="41"/>
      <c r="H28" s="40"/>
    </row>
    <row r="29" spans="1:8" x14ac:dyDescent="0.45">
      <c r="A29" s="37" t="s">
        <v>262</v>
      </c>
      <c r="B29" s="38">
        <f>IF(B$5="-","",COUNTIFS('NHẬT KÝ NGÀY'!$A$5:$A$404,"&gt;="&amp;$B$3,'NHẬT KÝ NGÀY'!$A$5:$A$404,"&lt;="&amp;$D$3,'NHẬT KÝ NGÀY'!$C$5:$C$404,B$5,'NHẬT KÝ NGÀY'!$AG$5:$AG$404,"&gt;0",'NHẬT KÝ NGÀY'!$AM$5:$AM$404,""))</f>
        <v>2</v>
      </c>
      <c r="C29" s="38">
        <f>IF(C$5="-","",COUNTIFS('NHẬT KÝ NGÀY'!$A$5:$A$404,"&gt;="&amp;$B$3,'NHẬT KÝ NGÀY'!$A$5:$A$404,"&lt;="&amp;$D$3,'NHẬT KÝ NGÀY'!$C$5:$C$404,C$5,'NHẬT KÝ NGÀY'!$AG$5:$AG$404,"&gt;0",'NHẬT KÝ NGÀY'!$AM$5:$AM$404,""))</f>
        <v>1</v>
      </c>
      <c r="D29" s="38" t="str">
        <f>IF(D$5="-","",COUNTIFS('NHẬT KÝ NGÀY'!$A$5:$A$404,"&gt;="&amp;$B$3,'NHẬT KÝ NGÀY'!$A$5:$A$404,"&lt;="&amp;$D$3,'NHẬT KÝ NGÀY'!$C$5:$C$404,D$5,'NHẬT KÝ NGÀY'!$AG$5:$AG$404,"&gt;0",'NHẬT KÝ NGÀY'!$AM$5:$AM$404,""))</f>
        <v/>
      </c>
      <c r="E29" s="38" t="str">
        <f>IF(E$5="-","",COUNTIFS('NHẬT KÝ NGÀY'!$A$5:$A$404,"&gt;="&amp;$B$3,'NHẬT KÝ NGÀY'!$A$5:$A$404,"&lt;="&amp;$D$3,'NHẬT KÝ NGÀY'!$C$5:$C$404,E$5,'NHẬT KÝ NGÀY'!$AG$5:$AG$404,"&gt;0",'NHẬT KÝ NGÀY'!$AM$5:$AM$404,""))</f>
        <v/>
      </c>
      <c r="F29" s="38">
        <f t="shared" si="2"/>
        <v>3</v>
      </c>
      <c r="G29" s="39">
        <v>0</v>
      </c>
      <c r="H29" s="40" t="s">
        <v>263</v>
      </c>
    </row>
    <row r="30" spans="1:8" x14ac:dyDescent="0.45">
      <c r="A30" s="37" t="s">
        <v>264</v>
      </c>
      <c r="B30" s="38">
        <f>IF(B$5="-","",COUNTIFS('SỔ SỰ CỐ - CHI PHÍ'!$A$5:$A$204,"&gt;="&amp;$B$3,'SỔ SỰ CỐ - CHI PHÍ'!$A$5:$A$204,"&lt;="&amp;$D$3,'SỔ SỰ CỐ - CHI PHÍ'!$C$5:$C$204,B$5,'SỔ SỰ CỐ - CHI PHÍ'!$H$5:$H$204,"Tài xế"))</f>
        <v>0</v>
      </c>
      <c r="C30" s="38">
        <f>IF(C$5="-","",COUNTIFS('SỔ SỰ CỐ - CHI PHÍ'!$A$5:$A$204,"&gt;="&amp;$B$3,'SỔ SỰ CỐ - CHI PHÍ'!$A$5:$A$204,"&lt;="&amp;$D$3,'SỔ SỰ CỐ - CHI PHÍ'!$C$5:$C$204,C$5,'SỔ SỰ CỐ - CHI PHÍ'!$H$5:$H$204,"Tài xế"))</f>
        <v>1</v>
      </c>
      <c r="D30" s="38" t="str">
        <f>IF(D$5="-","",COUNTIFS('SỔ SỰ CỐ - CHI PHÍ'!$A$5:$A$204,"&gt;="&amp;$B$3,'SỔ SỰ CỐ - CHI PHÍ'!$A$5:$A$204,"&lt;="&amp;$D$3,'SỔ SỰ CỐ - CHI PHÍ'!$C$5:$C$204,D$5,'SỔ SỰ CỐ - CHI PHÍ'!$H$5:$H$204,"Tài xế"))</f>
        <v/>
      </c>
      <c r="E30" s="38" t="str">
        <f>IF(E$5="-","",COUNTIFS('SỔ SỰ CỐ - CHI PHÍ'!$A$5:$A$204,"&gt;="&amp;$B$3,'SỔ SỰ CỐ - CHI PHÍ'!$A$5:$A$204,"&lt;="&amp;$D$3,'SỔ SỰ CỐ - CHI PHÍ'!$C$5:$C$204,E$5,'SỔ SỰ CỐ - CHI PHÍ'!$H$5:$H$204,"Tài xế"))</f>
        <v/>
      </c>
      <c r="F30" s="38">
        <f t="shared" si="2"/>
        <v>1</v>
      </c>
      <c r="G30" s="39">
        <v>0</v>
      </c>
      <c r="H30" s="40"/>
    </row>
    <row r="31" spans="1:8" x14ac:dyDescent="0.45">
      <c r="A31" s="37" t="s">
        <v>265</v>
      </c>
      <c r="B31" s="38">
        <f>IF(B$5="-","",COUNTIFS('SỔ SỰ CỐ - CHI PHÍ'!$A$5:$A$204,"&gt;="&amp;$B$3,'SỔ SỰ CỐ - CHI PHÍ'!$A$5:$A$204,"&lt;="&amp;$D$3,'SỔ SỰ CỐ - CHI PHÍ'!$C$5:$C$204,B$5,'SỔ SỰ CỐ - CHI PHÍ'!$D$5:$D$204,"&lt;&gt;Chi phí"))</f>
        <v>1</v>
      </c>
      <c r="C31" s="38">
        <f>IF(C$5="-","",COUNTIFS('SỔ SỰ CỐ - CHI PHÍ'!$A$5:$A$204,"&gt;="&amp;$B$3,'SỔ SỰ CỐ - CHI PHÍ'!$A$5:$A$204,"&lt;="&amp;$D$3,'SỔ SỰ CỐ - CHI PHÍ'!$C$5:$C$204,C$5,'SỔ SỰ CỐ - CHI PHÍ'!$D$5:$D$204,"&lt;&gt;Chi phí"))</f>
        <v>1</v>
      </c>
      <c r="D31" s="38" t="str">
        <f>IF(D$5="-","",COUNTIFS('SỔ SỰ CỐ - CHI PHÍ'!$A$5:$A$204,"&gt;="&amp;$B$3,'SỔ SỰ CỐ - CHI PHÍ'!$A$5:$A$204,"&lt;="&amp;$D$3,'SỔ SỰ CỐ - CHI PHÍ'!$C$5:$C$204,D$5,'SỔ SỰ CỐ - CHI PHÍ'!$D$5:$D$204,"&lt;&gt;Chi phí"))</f>
        <v/>
      </c>
      <c r="E31" s="38" t="str">
        <f>IF(E$5="-","",COUNTIFS('SỔ SỰ CỐ - CHI PHÍ'!$A$5:$A$204,"&gt;="&amp;$B$3,'SỔ SỰ CỐ - CHI PHÍ'!$A$5:$A$204,"&lt;="&amp;$D$3,'SỔ SỰ CỐ - CHI PHÍ'!$C$5:$C$204,E$5,'SỔ SỰ CỐ - CHI PHÍ'!$D$5:$D$204,"&lt;&gt;Chi phí"))</f>
        <v/>
      </c>
      <c r="F31" s="38">
        <f t="shared" si="2"/>
        <v>2</v>
      </c>
      <c r="G31" s="39"/>
      <c r="H31" s="40"/>
    </row>
    <row r="33" spans="1:5" x14ac:dyDescent="0.45">
      <c r="A33" s="44" t="s">
        <v>266</v>
      </c>
    </row>
    <row r="34" spans="1:5" x14ac:dyDescent="0.45">
      <c r="A34" s="40" t="s">
        <v>267</v>
      </c>
      <c r="B34" s="16" t="str">
        <f>IF(OR(B$5="-",N(B$6)=0),"",IF(B18&lt;=0,"Đạt","Không đạt"))</f>
        <v>Không đạt</v>
      </c>
      <c r="C34" s="16" t="str">
        <f>IF(OR(C$5="-",N(C$6)=0),"",IF(C18&lt;=0,"Đạt","Không đạt"))</f>
        <v>Đạt</v>
      </c>
      <c r="D34" s="16" t="str">
        <f>IF(OR(D$5="-",N(D$6)=0),"",IF(D18&lt;=0,"Đạt","Không đạt"))</f>
        <v/>
      </c>
      <c r="E34" s="16" t="str">
        <f>IF(OR(E$5="-",N(E$6)=0),"",IF(E18&lt;=0,"Đạt","Không đạt"))</f>
        <v/>
      </c>
    </row>
    <row r="35" spans="1:5" x14ac:dyDescent="0.45">
      <c r="A35" s="40" t="s">
        <v>268</v>
      </c>
      <c r="B35" s="16" t="str">
        <f>IF(OR(B$5="-",N(B$6)=0),"",IF(B20&lt;=$G20,"Đạt","Không đạt"))</f>
        <v>Không đạt</v>
      </c>
      <c r="C35" s="16" t="str">
        <f>IF(OR(C$5="-",N(C$6)=0),"",IF(C20&lt;=$G20,"Đạt","Không đạt"))</f>
        <v>Không đạt</v>
      </c>
      <c r="D35" s="16" t="str">
        <f>IF(OR(D$5="-",N(D$6)=0),"",IF(D20&lt;=$G20,"Đạt","Không đạt"))</f>
        <v/>
      </c>
      <c r="E35" s="16" t="str">
        <f>IF(OR(E$5="-",N(E$6)=0),"",IF(E20&lt;=$G20,"Đạt","Không đạt"))</f>
        <v/>
      </c>
    </row>
    <row r="36" spans="1:5" x14ac:dyDescent="0.45">
      <c r="A36" s="40" t="s">
        <v>269</v>
      </c>
      <c r="B36" s="16" t="str">
        <f>IF(OR(B$5="-",N(B$6)=0),"",IF(B21&lt;=0,"Đạt","Không đạt"))</f>
        <v>Đạt</v>
      </c>
      <c r="C36" s="16" t="str">
        <f>IF(OR(C$5="-",N(C$6)=0),"",IF(C21&lt;=0,"Đạt","Không đạt"))</f>
        <v>Không đạt</v>
      </c>
      <c r="D36" s="16" t="str">
        <f>IF(OR(D$5="-",N(D$6)=0),"",IF(D21&lt;=0,"Đạt","Không đạt"))</f>
        <v/>
      </c>
      <c r="E36" s="16" t="str">
        <f>IF(OR(E$5="-",N(E$6)=0),"",IF(E21&lt;=0,"Đạt","Không đạt"))</f>
        <v/>
      </c>
    </row>
    <row r="37" spans="1:5" x14ac:dyDescent="0.45">
      <c r="A37" s="40" t="s">
        <v>270</v>
      </c>
      <c r="B37" s="16" t="str">
        <f>IF(OR(B$5="-",N(B$6)=0),"",IF(B22+B23=0,"Đạt","Không đạt"))</f>
        <v>Không đạt</v>
      </c>
      <c r="C37" s="16" t="str">
        <f>IF(OR(C$5="-",N(C$6)=0),"",IF(C22+C23=0,"Đạt","Không đạt"))</f>
        <v>Không đạt</v>
      </c>
      <c r="D37" s="16" t="str">
        <f>IF(OR(D$5="-",N(D$6)=0),"",IF(D22+D23=0,"Đạt","Không đạt"))</f>
        <v/>
      </c>
      <c r="E37" s="16" t="str">
        <f>IF(OR(E$5="-",N(E$6)=0),"",IF(E22+E23=0,"Đạt","Không đạt"))</f>
        <v/>
      </c>
    </row>
    <row r="38" spans="1:5" x14ac:dyDescent="0.45">
      <c r="A38" s="40" t="s">
        <v>271</v>
      </c>
      <c r="B38" s="16" t="str">
        <f>IF(OR(B$5="-",N(B$6)=0),"",IF(B30&lt;=0,"Đạt","Không đạt"))</f>
        <v>Đạt</v>
      </c>
      <c r="C38" s="16" t="str">
        <f>IF(OR(C$5="-",N(C$6)=0),"",IF(C30&lt;=0,"Đạt","Không đạt"))</f>
        <v>Không đạt</v>
      </c>
      <c r="D38" s="16" t="str">
        <f>IF(OR(D$5="-",N(D$6)=0),"",IF(D30&lt;=0,"Đạt","Không đạt"))</f>
        <v/>
      </c>
      <c r="E38" s="16" t="str">
        <f>IF(OR(E$5="-",N(E$6)=0),"",IF(E30&lt;=0,"Đạt","Không đạt"))</f>
        <v/>
      </c>
    </row>
    <row r="39" spans="1:5" x14ac:dyDescent="0.45">
      <c r="A39" s="45" t="s">
        <v>272</v>
      </c>
      <c r="B39" s="46">
        <f>IF(OR(B$5="-",N(B$6)=0),"",COUNTIF(B34:B38,"Đạt"))</f>
        <v>2</v>
      </c>
      <c r="C39" s="46">
        <f>IF(OR(C$5="-",N(C$6)=0),"",COUNTIF(C34:C38,"Đạt"))</f>
        <v>1</v>
      </c>
      <c r="D39" s="46" t="str">
        <f>IF(OR(D$5="-",N(D$6)=0),"",COUNTIF(D34:D38,"Đạt"))</f>
        <v/>
      </c>
      <c r="E39" s="46" t="str">
        <f>IF(OR(E$5="-",N(E$6)=0),"",COUNTIF(E34:E38,"Đạt"))</f>
        <v/>
      </c>
    </row>
  </sheetData>
  <conditionalFormatting sqref="B8:E8">
    <cfRule type="expression" dxfId="12" priority="2">
      <formula>AND(ISNUMBER(B8),B8&gt;$G8)</formula>
    </cfRule>
  </conditionalFormatting>
  <conditionalFormatting sqref="B12:E12">
    <cfRule type="expression" dxfId="11" priority="13">
      <formula>AND(ISNUMBER(B12),B12&gt;$G12)</formula>
    </cfRule>
  </conditionalFormatting>
  <conditionalFormatting sqref="B13:E13">
    <cfRule type="expression" dxfId="10" priority="14">
      <formula>AND(ISNUMBER(B13),B13&lt;$G13)</formula>
    </cfRule>
  </conditionalFormatting>
  <conditionalFormatting sqref="B16:E23">
    <cfRule type="expression" dxfId="9" priority="3">
      <formula>AND(ISNUMBER(B16),B16&gt;$G16)</formula>
    </cfRule>
  </conditionalFormatting>
  <conditionalFormatting sqref="B29:E30">
    <cfRule type="expression" dxfId="8" priority="11">
      <formula>AND(ISNUMBER(B29),B29&gt;$G29)</formula>
    </cfRule>
  </conditionalFormatting>
  <conditionalFormatting sqref="B34:E38">
    <cfRule type="expression" dxfId="7" priority="15">
      <formula>B34="Không đạt"</formula>
    </cfRule>
    <cfRule type="expression" dxfId="6" priority="16">
      <formula>B34="Đạt"</formula>
    </cfRule>
  </conditionalFormatting>
  <pageMargins left="0.75" right="0.75" top="1" bottom="1" header="0.511811023622047" footer="0.511811023622047"/>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C55A11"/>
  </sheetPr>
  <dimension ref="A1:H67"/>
  <sheetViews>
    <sheetView showGridLines="0" tabSelected="1" zoomScaleNormal="100" workbookViewId="0">
      <pane xSplit="1" ySplit="5" topLeftCell="F6" activePane="bottomRight" state="frozen"/>
      <selection pane="topRight" activeCell="B1" sqref="B1"/>
      <selection pane="bottomLeft" activeCell="A6" sqref="A6"/>
      <selection pane="bottomRight"/>
    </sheetView>
  </sheetViews>
  <sheetFormatPr defaultColWidth="8.6640625" defaultRowHeight="14.25" x14ac:dyDescent="0.45"/>
  <cols>
    <col min="1" max="1" width="40" customWidth="1"/>
    <col min="2" max="4" width="16" customWidth="1"/>
    <col min="5" max="5" width="20" customWidth="1"/>
    <col min="6" max="6" width="50" customWidth="1"/>
  </cols>
  <sheetData>
    <row r="1" spans="1:8" ht="17.649999999999999" x14ac:dyDescent="0.5">
      <c r="A1" s="5" t="s">
        <v>273</v>
      </c>
    </row>
    <row r="2" spans="1:8" x14ac:dyDescent="0.45">
      <c r="A2" s="6" t="s">
        <v>274</v>
      </c>
    </row>
    <row r="3" spans="1:8" x14ac:dyDescent="0.45">
      <c r="A3" s="34" t="s">
        <v>275</v>
      </c>
      <c r="B3" s="47">
        <v>10</v>
      </c>
      <c r="C3" s="34" t="s">
        <v>276</v>
      </c>
      <c r="D3" s="47">
        <v>2026</v>
      </c>
      <c r="E3" s="34" t="s">
        <v>277</v>
      </c>
      <c r="F3" s="48">
        <f>DATE(D3,B3,1)</f>
        <v>46296</v>
      </c>
      <c r="G3" s="34" t="s">
        <v>278</v>
      </c>
      <c r="H3" s="48">
        <f>EOMONTH(F3,0)</f>
        <v>46326</v>
      </c>
    </row>
    <row r="5" spans="1:8" ht="25.5" customHeight="1" x14ac:dyDescent="0.45">
      <c r="A5" s="15" t="s">
        <v>235</v>
      </c>
      <c r="B5" s="15" t="str">
        <f>IF('THAM SỐ'!A5="","-",'THAM SỐ'!A5)</f>
        <v>51D98246</v>
      </c>
      <c r="C5" s="15" t="str">
        <f>IF('THAM SỐ'!A6="","-",'THAM SỐ'!A6)</f>
        <v>51D69998</v>
      </c>
      <c r="D5" s="15" t="str">
        <f>IF('THAM SỐ'!A7="","-",'THAM SỐ'!A7)</f>
        <v>-</v>
      </c>
      <c r="E5" s="15" t="s">
        <v>236</v>
      </c>
      <c r="F5" s="15" t="s">
        <v>75</v>
      </c>
    </row>
    <row r="6" spans="1:8" x14ac:dyDescent="0.45">
      <c r="A6" s="49" t="s">
        <v>279</v>
      </c>
      <c r="B6" s="50"/>
      <c r="C6" s="50"/>
      <c r="D6" s="50"/>
      <c r="E6" s="50"/>
      <c r="F6" s="50"/>
    </row>
    <row r="7" spans="1:8" x14ac:dyDescent="0.45">
      <c r="A7" s="40" t="s">
        <v>280</v>
      </c>
      <c r="B7" s="38">
        <f>IF(B$5="-","",COUNTIFS('LỆNH ĐIỀU XE'!$B$5:$B$604,"&gt;="&amp;$F$3,'LỆNH ĐIỀU XE'!$B$5:$B$604,"&lt;="&amp;$H$3,'LỆNH ĐIỀU XE'!$C$5:$C$604,B$5))</f>
        <v>5</v>
      </c>
      <c r="C7" s="38">
        <f>IF(C$5="-","",COUNTIFS('LỆNH ĐIỀU XE'!$B$5:$B$604,"&gt;="&amp;$F$3,'LỆNH ĐIỀU XE'!$B$5:$B$604,"&lt;="&amp;$H$3,'LỆNH ĐIỀU XE'!$C$5:$C$604,C$5))</f>
        <v>4</v>
      </c>
      <c r="D7" s="38" t="str">
        <f>IF(D$5="-","",COUNTIFS('LỆNH ĐIỀU XE'!$B$5:$B$604,"&gt;="&amp;$F$3,'LỆNH ĐIỀU XE'!$B$5:$B$604,"&lt;="&amp;$H$3,'LỆNH ĐIỀU XE'!$C$5:$C$604,D$5))</f>
        <v/>
      </c>
      <c r="E7" s="38">
        <f t="shared" ref="E7:E15" si="0">SUM(B7:D7)</f>
        <v>9</v>
      </c>
      <c r="F7" s="40"/>
    </row>
    <row r="8" spans="1:8" x14ac:dyDescent="0.45">
      <c r="A8" s="40" t="s">
        <v>281</v>
      </c>
      <c r="B8" s="38">
        <f>IF(B$5="-","",COUNTIFS('LỆNH ĐIỀU XE'!$B$5:$B$604,"&gt;="&amp;$F$3,'LỆNH ĐIỀU XE'!$B$5:$B$604,"&lt;="&amp;$H$3,'LỆNH ĐIỀU XE'!$C$5:$C$604,B$5,'LỆNH ĐIỀU XE'!$E$5:$E$604,"Trung chuyển kho"))</f>
        <v>3</v>
      </c>
      <c r="C8" s="38">
        <f>IF(C$5="-","",COUNTIFS('LỆNH ĐIỀU XE'!$B$5:$B$604,"&gt;="&amp;$F$3,'LỆNH ĐIỀU XE'!$B$5:$B$604,"&lt;="&amp;$H$3,'LỆNH ĐIỀU XE'!$C$5:$C$604,C$5,'LỆNH ĐIỀU XE'!$E$5:$E$604,"Trung chuyển kho"))</f>
        <v>0</v>
      </c>
      <c r="D8" s="38" t="str">
        <f>IF(D$5="-","",COUNTIFS('LỆNH ĐIỀU XE'!$B$5:$B$604,"&gt;="&amp;$F$3,'LỆNH ĐIỀU XE'!$B$5:$B$604,"&lt;="&amp;$H$3,'LỆNH ĐIỀU XE'!$C$5:$C$604,D$5,'LỆNH ĐIỀU XE'!$E$5:$E$604,"Trung chuyển kho"))</f>
        <v/>
      </c>
      <c r="E8" s="38">
        <f t="shared" si="0"/>
        <v>3</v>
      </c>
      <c r="F8" s="40"/>
    </row>
    <row r="9" spans="1:8" x14ac:dyDescent="0.45">
      <c r="A9" s="40" t="s">
        <v>282</v>
      </c>
      <c r="B9" s="38">
        <f>IF(B$5="-","",COUNTIFS('LỆNH ĐIỀU XE'!$B$5:$B$604,"&gt;="&amp;$F$3,'LỆNH ĐIỀU XE'!$B$5:$B$604,"&lt;="&amp;$H$3,'LỆNH ĐIỀU XE'!$C$5:$C$604,B$5,'LỆNH ĐIỀU XE'!$E$5:$E$604,"Rải vật tư công trình"))</f>
        <v>1</v>
      </c>
      <c r="C9" s="38">
        <f>IF(C$5="-","",COUNTIFS('LỆNH ĐIỀU XE'!$B$5:$B$604,"&gt;="&amp;$F$3,'LỆNH ĐIỀU XE'!$B$5:$B$604,"&lt;="&amp;$H$3,'LỆNH ĐIỀU XE'!$C$5:$C$604,C$5,'LỆNH ĐIỀU XE'!$E$5:$E$604,"Rải vật tư công trình"))</f>
        <v>2</v>
      </c>
      <c r="D9" s="38" t="str">
        <f>IF(D$5="-","",COUNTIFS('LỆNH ĐIỀU XE'!$B$5:$B$604,"&gt;="&amp;$F$3,'LỆNH ĐIỀU XE'!$B$5:$B$604,"&lt;="&amp;$H$3,'LỆNH ĐIỀU XE'!$C$5:$C$604,D$5,'LỆNH ĐIỀU XE'!$E$5:$E$604,"Rải vật tư công trình"))</f>
        <v/>
      </c>
      <c r="E9" s="38">
        <f t="shared" si="0"/>
        <v>3</v>
      </c>
      <c r="F9" s="40"/>
    </row>
    <row r="10" spans="1:8" x14ac:dyDescent="0.45">
      <c r="A10" s="40" t="s">
        <v>283</v>
      </c>
      <c r="B10" s="38">
        <f>IF(B$5="-","",COUNTIFS('LỆNH ĐIỀU XE'!$B$5:$B$604,"&gt;="&amp;$F$3,'LỆNH ĐIỀU XE'!$B$5:$B$604,"&lt;="&amp;$H$3,'LỆNH ĐIỀU XE'!$C$5:$C$604,B$5,'LỆNH ĐIỀU XE'!$E$5:$E$604,"Giao hàng dự án"))</f>
        <v>1</v>
      </c>
      <c r="C10" s="38">
        <f>IF(C$5="-","",COUNTIFS('LỆNH ĐIỀU XE'!$B$5:$B$604,"&gt;="&amp;$F$3,'LỆNH ĐIỀU XE'!$B$5:$B$604,"&lt;="&amp;$H$3,'LỆNH ĐIỀU XE'!$C$5:$C$604,C$5,'LỆNH ĐIỀU XE'!$E$5:$E$604,"Giao hàng dự án"))</f>
        <v>2</v>
      </c>
      <c r="D10" s="38" t="str">
        <f>IF(D$5="-","",COUNTIFS('LỆNH ĐIỀU XE'!$B$5:$B$604,"&gt;="&amp;$F$3,'LỆNH ĐIỀU XE'!$B$5:$B$604,"&lt;="&amp;$H$3,'LỆNH ĐIỀU XE'!$C$5:$C$604,D$5,'LỆNH ĐIỀU XE'!$E$5:$E$604,"Giao hàng dự án"))</f>
        <v/>
      </c>
      <c r="E10" s="38">
        <f t="shared" si="0"/>
        <v>3</v>
      </c>
      <c r="F10" s="40"/>
    </row>
    <row r="11" spans="1:8" x14ac:dyDescent="0.45">
      <c r="A11" s="40" t="s">
        <v>284</v>
      </c>
      <c r="B11" s="38">
        <f>IF(B$5="-","",COUNTIFS('LỆNH ĐIỀU XE'!$B$5:$B$604,"&gt;="&amp;$F$3,'LỆNH ĐIỀU XE'!$B$5:$B$604,"&lt;="&amp;$H$3,'LỆNH ĐIỀU XE'!$C$5:$C$604,B$5,'LỆNH ĐIỀU XE'!$Q$5:$Q$604,"Lập bù"))</f>
        <v>0</v>
      </c>
      <c r="C11" s="38">
        <f>IF(C$5="-","",COUNTIFS('LỆNH ĐIỀU XE'!$B$5:$B$604,"&gt;="&amp;$F$3,'LỆNH ĐIỀU XE'!$B$5:$B$604,"&lt;="&amp;$H$3,'LỆNH ĐIỀU XE'!$C$5:$C$604,C$5,'LỆNH ĐIỀU XE'!$Q$5:$Q$604,"Lập bù"))</f>
        <v>1</v>
      </c>
      <c r="D11" s="38" t="str">
        <f>IF(D$5="-","",COUNTIFS('LỆNH ĐIỀU XE'!$B$5:$B$604,"&gt;="&amp;$F$3,'LỆNH ĐIỀU XE'!$B$5:$B$604,"&lt;="&amp;$H$3,'LỆNH ĐIỀU XE'!$C$5:$C$604,D$5,'LỆNH ĐIỀU XE'!$Q$5:$Q$604,"Lập bù"))</f>
        <v/>
      </c>
      <c r="E11" s="38">
        <f t="shared" si="0"/>
        <v>1</v>
      </c>
      <c r="F11" s="40" t="s">
        <v>285</v>
      </c>
    </row>
    <row r="12" spans="1:8" x14ac:dyDescent="0.45">
      <c r="A12" s="40" t="s">
        <v>286</v>
      </c>
      <c r="B12" s="38">
        <f>IF(B$5="-","",COUNTIFS('LỆNH ĐIỀU XE'!$B$5:$B$604,"&gt;="&amp;$F$3,'LỆNH ĐIỀU XE'!$B$5:$B$604,"&lt;="&amp;$H$3,'LỆNH ĐIỀU XE'!$C$5:$C$604,B$5,'LỆNH ĐIỀU XE'!$T$5:$T$604,"QUÁ TẢI"))</f>
        <v>1</v>
      </c>
      <c r="C12" s="38">
        <f>IF(C$5="-","",COUNTIFS('LỆNH ĐIỀU XE'!$B$5:$B$604,"&gt;="&amp;$F$3,'LỆNH ĐIỀU XE'!$B$5:$B$604,"&lt;="&amp;$H$3,'LỆNH ĐIỀU XE'!$C$5:$C$604,C$5,'LỆNH ĐIỀU XE'!$T$5:$T$604,"QUÁ TẢI"))</f>
        <v>0</v>
      </c>
      <c r="D12" s="38" t="str">
        <f>IF(D$5="-","",COUNTIFS('LỆNH ĐIỀU XE'!$B$5:$B$604,"&gt;="&amp;$F$3,'LỆNH ĐIỀU XE'!$B$5:$B$604,"&lt;="&amp;$H$3,'LỆNH ĐIỀU XE'!$C$5:$C$604,D$5,'LỆNH ĐIỀU XE'!$T$5:$T$604,"QUÁ TẢI"))</f>
        <v/>
      </c>
      <c r="E12" s="38">
        <f t="shared" si="0"/>
        <v>1</v>
      </c>
      <c r="F12" s="40" t="s">
        <v>287</v>
      </c>
    </row>
    <row r="13" spans="1:8" x14ac:dyDescent="0.45">
      <c r="A13" s="40" t="s">
        <v>109</v>
      </c>
      <c r="B13" s="21">
        <f>IF(B$5="-","",SUMIFS('NHẬT KÝ NGÀY'!$D$5:$D$404,'NHẬT KÝ NGÀY'!$A$5:$A$404,"&gt;="&amp;$F$3,'NHẬT KÝ NGÀY'!$A$5:$A$404,"&lt;="&amp;$H$3,'NHẬT KÝ NGÀY'!$B$5:$B$404,B$5))</f>
        <v>930</v>
      </c>
      <c r="C13" s="21">
        <f>IF(C$5="-","",SUMIFS('NHẬT KÝ NGÀY'!$D$5:$D$404,'NHẬT KÝ NGÀY'!$A$5:$A$404,"&gt;="&amp;$F$3,'NHẬT KÝ NGÀY'!$A$5:$A$404,"&lt;="&amp;$H$3,'NHẬT KÝ NGÀY'!$B$5:$B$404,C$5))</f>
        <v>237</v>
      </c>
      <c r="D13" s="21" t="str">
        <f>IF(D$5="-","",SUMIFS('NHẬT KÝ NGÀY'!$D$5:$D$404,'NHẬT KÝ NGÀY'!$A$5:$A$404,"&gt;="&amp;$F$3,'NHẬT KÝ NGÀY'!$A$5:$A$404,"&lt;="&amp;$H$3,'NHẬT KÝ NGÀY'!$B$5:$B$404,D$5))</f>
        <v/>
      </c>
      <c r="E13" s="21">
        <f t="shared" si="0"/>
        <v>1167</v>
      </c>
      <c r="F13" s="40"/>
    </row>
    <row r="14" spans="1:8" x14ac:dyDescent="0.45">
      <c r="A14" s="40" t="s">
        <v>127</v>
      </c>
      <c r="B14" s="28">
        <f>IF(B$5="-","",SUMIFS('NHẬT KÝ NGÀY'!$W$5:$W$404,'NHẬT KÝ NGÀY'!$A$5:$A$404,"&gt;="&amp;$F$3,'NHẬT KÝ NGÀY'!$A$5:$A$404,"&lt;="&amp;$H$3,'NHẬT KÝ NGÀY'!$B$5:$B$404,B$5))</f>
        <v>55.85</v>
      </c>
      <c r="C14" s="28">
        <f>IF(C$5="-","",SUMIFS('NHẬT KÝ NGÀY'!$W$5:$W$404,'NHẬT KÝ NGÀY'!$A$5:$A$404,"&gt;="&amp;$F$3,'NHẬT KÝ NGÀY'!$A$5:$A$404,"&lt;="&amp;$H$3,'NHẬT KÝ NGÀY'!$B$5:$B$404,C$5))</f>
        <v>29.67</v>
      </c>
      <c r="D14" s="28" t="str">
        <f>IF(D$5="-","",SUMIFS('NHẬT KÝ NGÀY'!$W$5:$W$404,'NHẬT KÝ NGÀY'!$A$5:$A$404,"&gt;="&amp;$F$3,'NHẬT KÝ NGÀY'!$A$5:$A$404,"&lt;="&amp;$H$3,'NHẬT KÝ NGÀY'!$B$5:$B$404,D$5))</f>
        <v/>
      </c>
      <c r="E14" s="28">
        <f t="shared" si="0"/>
        <v>85.52000000000001</v>
      </c>
      <c r="F14" s="40"/>
    </row>
    <row r="15" spans="1:8" x14ac:dyDescent="0.45">
      <c r="A15" s="40" t="s">
        <v>128</v>
      </c>
      <c r="B15" s="28">
        <f>IF(B$5="-","",SUMIFS('NHẬT KÝ NGÀY'!$X$5:$X$404,'NHẬT KÝ NGÀY'!$A$5:$A$404,"&gt;="&amp;$F$3,'NHẬT KÝ NGÀY'!$A$5:$A$404,"&lt;="&amp;$H$3,'NHẬT KÝ NGÀY'!$B$5:$B$404,B$5))</f>
        <v>23.92</v>
      </c>
      <c r="C15" s="28">
        <f>IF(C$5="-","",SUMIFS('NHẬT KÝ NGÀY'!$X$5:$X$404,'NHẬT KÝ NGÀY'!$A$5:$A$404,"&gt;="&amp;$F$3,'NHẬT KÝ NGÀY'!$A$5:$A$404,"&lt;="&amp;$H$3,'NHẬT KÝ NGÀY'!$B$5:$B$404,C$5))</f>
        <v>9.91</v>
      </c>
      <c r="D15" s="28" t="str">
        <f>IF(D$5="-","",SUMIFS('NHẬT KÝ NGÀY'!$X$5:$X$404,'NHẬT KÝ NGÀY'!$A$5:$A$404,"&gt;="&amp;$F$3,'NHẬT KÝ NGÀY'!$A$5:$A$404,"&lt;="&amp;$H$3,'NHẬT KÝ NGÀY'!$B$5:$B$404,D$5))</f>
        <v/>
      </c>
      <c r="E15" s="28">
        <f t="shared" si="0"/>
        <v>33.83</v>
      </c>
      <c r="F15" s="40"/>
    </row>
    <row r="16" spans="1:8" x14ac:dyDescent="0.45">
      <c r="A16" s="40" t="s">
        <v>130</v>
      </c>
      <c r="B16" s="22">
        <f>IF(N(B14)=0,"",B15/B14*1)</f>
        <v>0.42829006266786035</v>
      </c>
      <c r="C16" s="22">
        <f>IF(N(C14)=0,"",C15/C14*1)</f>
        <v>0.33400741489720254</v>
      </c>
      <c r="D16" s="22" t="str">
        <f>IF(N(D14)=0,"",D15/D14*1)</f>
        <v/>
      </c>
      <c r="E16" s="22">
        <f>IF(N(E14)=0,"",E15/E14*1)</f>
        <v>0.39557998129092603</v>
      </c>
      <c r="F16" s="40" t="s">
        <v>288</v>
      </c>
    </row>
    <row r="17" spans="1:6" x14ac:dyDescent="0.45">
      <c r="A17" s="40" t="s">
        <v>129</v>
      </c>
      <c r="B17" s="28">
        <f>IF(B$5="-","",SUMIFS('NHẬT KÝ NGÀY'!$Y$5:$Y$404,'NHẬT KÝ NGÀY'!$A$5:$A$404,"&gt;="&amp;$F$3,'NHẬT KÝ NGÀY'!$A$5:$A$404,"&lt;="&amp;$H$3,'NHẬT KÝ NGÀY'!$B$5:$B$404,B$5))</f>
        <v>31.93</v>
      </c>
      <c r="C17" s="28">
        <f>IF(C$5="-","",SUMIFS('NHẬT KÝ NGÀY'!$Y$5:$Y$404,'NHẬT KÝ NGÀY'!$A$5:$A$404,"&gt;="&amp;$F$3,'NHẬT KÝ NGÀY'!$A$5:$A$404,"&lt;="&amp;$H$3,'NHẬT KÝ NGÀY'!$B$5:$B$404,C$5))</f>
        <v>19.759999999999998</v>
      </c>
      <c r="D17" s="28" t="str">
        <f>IF(D$5="-","",SUMIFS('NHẬT KÝ NGÀY'!$Y$5:$Y$404,'NHẬT KÝ NGÀY'!$A$5:$A$404,"&gt;="&amp;$F$3,'NHẬT KÝ NGÀY'!$A$5:$A$404,"&lt;="&amp;$H$3,'NHẬT KÝ NGÀY'!$B$5:$B$404,D$5))</f>
        <v/>
      </c>
      <c r="E17" s="28">
        <f>SUM(B17:D17)</f>
        <v>51.69</v>
      </c>
      <c r="F17" s="40"/>
    </row>
    <row r="18" spans="1:6" x14ac:dyDescent="0.45">
      <c r="A18" s="40" t="s">
        <v>131</v>
      </c>
      <c r="B18" s="28">
        <f>IF(B$5="-","",SUMIFS('NHẬT KÝ NGÀY'!$AA$5:$AA$404,'NHẬT KÝ NGÀY'!$A$5:$A$404,"&gt;="&amp;$F$3,'NHẬT KÝ NGÀY'!$A$5:$A$404,"&lt;="&amp;$H$3,'NHẬT KÝ NGÀY'!$B$5:$B$404,B$5))</f>
        <v>5.16</v>
      </c>
      <c r="C18" s="28">
        <f>IF(C$5="-","",SUMIFS('NHẬT KÝ NGÀY'!$AA$5:$AA$404,'NHẬT KÝ NGÀY'!$A$5:$A$404,"&gt;="&amp;$F$3,'NHẬT KÝ NGÀY'!$A$5:$A$404,"&lt;="&amp;$H$3,'NHẬT KÝ NGÀY'!$B$5:$B$404,C$5))</f>
        <v>4.84</v>
      </c>
      <c r="D18" s="28" t="str">
        <f>IF(D$5="-","",SUMIFS('NHẬT KÝ NGÀY'!$AA$5:$AA$404,'NHẬT KÝ NGÀY'!$A$5:$A$404,"&gt;="&amp;$F$3,'NHẬT KÝ NGÀY'!$A$5:$A$404,"&lt;="&amp;$H$3,'NHẬT KÝ NGÀY'!$B$5:$B$404,D$5))</f>
        <v/>
      </c>
      <c r="E18" s="28">
        <f>SUM(B18:D18)</f>
        <v>10</v>
      </c>
      <c r="F18" s="40"/>
    </row>
    <row r="19" spans="1:6" x14ac:dyDescent="0.45">
      <c r="A19" s="49" t="s">
        <v>289</v>
      </c>
      <c r="B19" s="50"/>
      <c r="C19" s="50"/>
      <c r="D19" s="50"/>
      <c r="E19" s="50"/>
      <c r="F19" s="50"/>
    </row>
    <row r="20" spans="1:6" x14ac:dyDescent="0.45">
      <c r="A20" s="40" t="s">
        <v>290</v>
      </c>
      <c r="B20" s="28">
        <f>IF(B$5="-","",SUMIFS('NHẬT KÝ DẦU'!$E$5:$E$204,'NHẬT KÝ DẦU'!$A$5:$A$204,"&gt;="&amp;$F$3,'NHẬT KÝ DẦU'!$A$5:$A$204,"&lt;="&amp;$H$3,'NHẬT KÝ DẦU'!$B$5:$B$204,B$5))</f>
        <v>103</v>
      </c>
      <c r="C20" s="28">
        <f>IF(C$5="-","",SUMIFS('NHẬT KÝ DẦU'!$E$5:$E$204,'NHẬT KÝ DẦU'!$A$5:$A$204,"&gt;="&amp;$F$3,'NHẬT KÝ DẦU'!$A$5:$A$204,"&lt;="&amp;$H$3,'NHẬT KÝ DẦU'!$B$5:$B$204,C$5))</f>
        <v>30</v>
      </c>
      <c r="D20" s="28" t="str">
        <f>IF(D$5="-","",SUMIFS('NHẬT KÝ DẦU'!$E$5:$E$204,'NHẬT KÝ DẦU'!$A$5:$A$204,"&gt;="&amp;$F$3,'NHẬT KÝ DẦU'!$A$5:$A$204,"&lt;="&amp;$H$3,'NHẬT KÝ DẦU'!$B$5:$B$204,D$5))</f>
        <v/>
      </c>
      <c r="E20" s="28">
        <f>SUM(B20:D20)</f>
        <v>133</v>
      </c>
      <c r="F20" s="40"/>
    </row>
    <row r="21" spans="1:6" x14ac:dyDescent="0.45">
      <c r="A21" s="40" t="s">
        <v>291</v>
      </c>
      <c r="B21" s="28">
        <f>IF(N(B13)=0,"",B20/B13*100)</f>
        <v>11.0752688172043</v>
      </c>
      <c r="C21" s="28">
        <f>IF(N(C13)=0,"",C20/C13*100)</f>
        <v>12.658227848101266</v>
      </c>
      <c r="D21" s="28" t="str">
        <f>IF(N(D13)=0,"",D20/D13*100)</f>
        <v/>
      </c>
      <c r="E21" s="28">
        <f>IF(N(E13)=0,"",E20/E13*100)</f>
        <v>11.396743787489289</v>
      </c>
      <c r="F21" s="40" t="s">
        <v>292</v>
      </c>
    </row>
    <row r="22" spans="1:6" x14ac:dyDescent="0.45">
      <c r="A22" s="40" t="s">
        <v>293</v>
      </c>
      <c r="B22" s="28">
        <f>IF(B$5="-","",'THAM SỐ'!D5)</f>
        <v>10</v>
      </c>
      <c r="C22" s="28">
        <f>IF(C$5="-","",'THAM SỐ'!D6)</f>
        <v>9</v>
      </c>
      <c r="D22" s="28" t="str">
        <f>IF(D$5="-","",'THAM SỐ'!D7)</f>
        <v/>
      </c>
      <c r="E22" s="28" t="str">
        <f>""</f>
        <v/>
      </c>
      <c r="F22" s="40" t="s">
        <v>294</v>
      </c>
    </row>
    <row r="23" spans="1:6" x14ac:dyDescent="0.45">
      <c r="A23" s="40" t="s">
        <v>295</v>
      </c>
      <c r="B23" s="22">
        <f>IF(OR(B21="",N(B22)=0),"",B21/B22-1)</f>
        <v>0.10752688172043001</v>
      </c>
      <c r="C23" s="22">
        <f>IF(OR(C21="",N(C22)=0),"",C21/C22-1)</f>
        <v>0.40646976090014064</v>
      </c>
      <c r="D23" s="22" t="str">
        <f>IF(OR(D21="",N(D22)=0),"",D21/D22-1)</f>
        <v/>
      </c>
      <c r="E23" s="22" t="str">
        <f>""</f>
        <v/>
      </c>
      <c r="F23" s="40" t="s">
        <v>296</v>
      </c>
    </row>
    <row r="24" spans="1:6" x14ac:dyDescent="0.45">
      <c r="A24" s="49" t="s">
        <v>297</v>
      </c>
      <c r="B24" s="50"/>
      <c r="C24" s="50"/>
      <c r="D24" s="50"/>
      <c r="E24" s="50"/>
      <c r="F24" s="50"/>
    </row>
    <row r="25" spans="1:6" x14ac:dyDescent="0.45">
      <c r="A25" s="40" t="s">
        <v>115</v>
      </c>
      <c r="B25" s="38">
        <f>IF(B$5="-","",SUMIFS('NHẬT KÝ NGÀY'!$J$5:$J$404,'NHẬT KÝ NGÀY'!$A$5:$A$404,"&gt;="&amp;$F$3,'NHẬT KÝ NGÀY'!$A$5:$A$404,"&lt;="&amp;$H$3,'NHẬT KÝ NGÀY'!$B$5:$B$404,B$5))</f>
        <v>3</v>
      </c>
      <c r="C25" s="38">
        <f>IF(C$5="-","",SUMIFS('NHẬT KÝ NGÀY'!$J$5:$J$404,'NHẬT KÝ NGÀY'!$A$5:$A$404,"&gt;="&amp;$F$3,'NHẬT KÝ NGÀY'!$A$5:$A$404,"&lt;="&amp;$H$3,'NHẬT KÝ NGÀY'!$B$5:$B$404,C$5))</f>
        <v>0</v>
      </c>
      <c r="D25" s="38" t="str">
        <f>IF(D$5="-","",SUMIFS('NHẬT KÝ NGÀY'!$J$5:$J$404,'NHẬT KÝ NGÀY'!$A$5:$A$404,"&gt;="&amp;$F$3,'NHẬT KÝ NGÀY'!$A$5:$A$404,"&lt;="&amp;$H$3,'NHẬT KÝ NGÀY'!$B$5:$B$404,D$5))</f>
        <v/>
      </c>
      <c r="E25" s="38">
        <f t="shared" ref="E25:E32" si="1">SUM(B25:D25)</f>
        <v>3</v>
      </c>
      <c r="F25" s="40"/>
    </row>
    <row r="26" spans="1:6" x14ac:dyDescent="0.45">
      <c r="A26" s="40" t="s">
        <v>252</v>
      </c>
      <c r="B26" s="38">
        <f>IF(B$5="-","",SUMIFS('NHẬT KÝ NGÀY'!$K$5:$K$404,'NHẬT KÝ NGÀY'!$A$5:$A$404,"&gt;="&amp;$F$3,'NHẬT KÝ NGÀY'!$A$5:$A$404,"&lt;="&amp;$H$3,'NHẬT KÝ NGÀY'!$B$5:$B$404,B$5))</f>
        <v>2</v>
      </c>
      <c r="C26" s="38">
        <f>IF(C$5="-","",SUMIFS('NHẬT KÝ NGÀY'!$K$5:$K$404,'NHẬT KÝ NGÀY'!$A$5:$A$404,"&gt;="&amp;$F$3,'NHẬT KÝ NGÀY'!$A$5:$A$404,"&lt;="&amp;$H$3,'NHẬT KÝ NGÀY'!$B$5:$B$404,C$5))</f>
        <v>0</v>
      </c>
      <c r="D26" s="38" t="str">
        <f>IF(D$5="-","",SUMIFS('NHẬT KÝ NGÀY'!$K$5:$K$404,'NHẬT KÝ NGÀY'!$A$5:$A$404,"&gt;="&amp;$F$3,'NHẬT KÝ NGÀY'!$A$5:$A$404,"&lt;="&amp;$H$3,'NHẬT KÝ NGÀY'!$B$5:$B$404,D$5))</f>
        <v/>
      </c>
      <c r="E26" s="38">
        <f t="shared" si="1"/>
        <v>2</v>
      </c>
      <c r="F26" s="40"/>
    </row>
    <row r="27" spans="1:6" x14ac:dyDescent="0.45">
      <c r="A27" s="40" t="s">
        <v>253</v>
      </c>
      <c r="B27" s="38">
        <f>IF(B$5="-","",SUMIFS('NHẬT KÝ NGÀY'!$L$5:$L$404,'NHẬT KÝ NGÀY'!$A$5:$A$404,"&gt;="&amp;$F$3,'NHẬT KÝ NGÀY'!$A$5:$A$404,"&lt;="&amp;$H$3,'NHẬT KÝ NGÀY'!$B$5:$B$404,B$5))</f>
        <v>1</v>
      </c>
      <c r="C27" s="38">
        <f>IF(C$5="-","",SUMIFS('NHẬT KÝ NGÀY'!$L$5:$L$404,'NHẬT KÝ NGÀY'!$A$5:$A$404,"&gt;="&amp;$F$3,'NHẬT KÝ NGÀY'!$A$5:$A$404,"&lt;="&amp;$H$3,'NHẬT KÝ NGÀY'!$B$5:$B$404,C$5))</f>
        <v>3</v>
      </c>
      <c r="D27" s="38" t="str">
        <f>IF(D$5="-","",SUMIFS('NHẬT KÝ NGÀY'!$L$5:$L$404,'NHẬT KÝ NGÀY'!$A$5:$A$404,"&gt;="&amp;$F$3,'NHẬT KÝ NGÀY'!$A$5:$A$404,"&lt;="&amp;$H$3,'NHẬT KÝ NGÀY'!$B$5:$B$404,D$5))</f>
        <v/>
      </c>
      <c r="E27" s="38">
        <f t="shared" si="1"/>
        <v>4</v>
      </c>
      <c r="F27" s="40"/>
    </row>
    <row r="28" spans="1:6" x14ac:dyDescent="0.45">
      <c r="A28" s="40" t="s">
        <v>254</v>
      </c>
      <c r="B28" s="38">
        <f>IF(B$5="-","",SUMIFS('NHẬT KÝ NGÀY'!$N$5:$N$404,'NHẬT KÝ NGÀY'!$A$5:$A$404,"&gt;="&amp;$F$3,'NHẬT KÝ NGÀY'!$A$5:$A$404,"&lt;="&amp;$H$3,'NHẬT KÝ NGÀY'!$B$5:$B$404,B$5))</f>
        <v>0</v>
      </c>
      <c r="C28" s="38">
        <f>IF(C$5="-","",SUMIFS('NHẬT KÝ NGÀY'!$N$5:$N$404,'NHẬT KÝ NGÀY'!$A$5:$A$404,"&gt;="&amp;$F$3,'NHẬT KÝ NGÀY'!$A$5:$A$404,"&lt;="&amp;$H$3,'NHẬT KÝ NGÀY'!$B$5:$B$404,C$5))</f>
        <v>1</v>
      </c>
      <c r="D28" s="38" t="str">
        <f>IF(D$5="-","",SUMIFS('NHẬT KÝ NGÀY'!$N$5:$N$404,'NHẬT KÝ NGÀY'!$A$5:$A$404,"&gt;="&amp;$F$3,'NHẬT KÝ NGÀY'!$A$5:$A$404,"&lt;="&amp;$H$3,'NHẬT KÝ NGÀY'!$B$5:$B$404,D$5))</f>
        <v/>
      </c>
      <c r="E28" s="38">
        <f t="shared" si="1"/>
        <v>1</v>
      </c>
      <c r="F28" s="40"/>
    </row>
    <row r="29" spans="1:6" x14ac:dyDescent="0.45">
      <c r="A29" s="40" t="s">
        <v>250</v>
      </c>
      <c r="B29" s="38">
        <f>IF(B$5="-","",COUNTIFS('NHẬT KÝ NGÀY'!$A$5:$A$404,"&gt;="&amp;$F$3,'NHẬT KÝ NGÀY'!$A$5:$A$404,"&lt;="&amp;$H$3,'NHẬT KÝ NGÀY'!$B$5:$B$404,B$5,'NHẬT KÝ NGÀY'!$W$5:$W$404,"&gt;"&amp;'THAM SỐ'!$B$27))</f>
        <v>2</v>
      </c>
      <c r="C29" s="38">
        <f>IF(C$5="-","",COUNTIFS('NHẬT KÝ NGÀY'!$A$5:$A$404,"&gt;="&amp;$F$3,'NHẬT KÝ NGÀY'!$A$5:$A$404,"&lt;="&amp;$H$3,'NHẬT KÝ NGÀY'!$B$5:$B$404,C$5,'NHẬT KÝ NGÀY'!$W$5:$W$404,"&gt;"&amp;'THAM SỐ'!$B$27))</f>
        <v>0</v>
      </c>
      <c r="D29" s="38" t="str">
        <f>IF(D$5="-","",COUNTIFS('NHẬT KÝ NGÀY'!$A$5:$A$404,"&gt;="&amp;$F$3,'NHẬT KÝ NGÀY'!$A$5:$A$404,"&lt;="&amp;$H$3,'NHẬT KÝ NGÀY'!$B$5:$B$404,D$5,'NHẬT KÝ NGÀY'!$W$5:$W$404,"&gt;"&amp;'THAM SỐ'!$B$27))</f>
        <v/>
      </c>
      <c r="E29" s="38">
        <f t="shared" si="1"/>
        <v>2</v>
      </c>
      <c r="F29" s="40"/>
    </row>
    <row r="30" spans="1:6" x14ac:dyDescent="0.45">
      <c r="A30" s="40" t="s">
        <v>298</v>
      </c>
      <c r="B30" s="38">
        <f>IF(B$5="-","",COUNTIFS('SỔ SỰ CỐ - CHI PHÍ'!$A$5:$A$204,"&gt;="&amp;$F$3,'SỔ SỰ CỐ - CHI PHÍ'!$A$5:$A$204,"&lt;="&amp;$H$3,'SỔ SỰ CỐ - CHI PHÍ'!$B$5:$B$204,B$5,'SỔ SỰ CỐ - CHI PHÍ'!$E$5:$E$204,"Nổ lốp"))</f>
        <v>1</v>
      </c>
      <c r="C30" s="38">
        <f>IF(C$5="-","",COUNTIFS('SỔ SỰ CỐ - CHI PHÍ'!$A$5:$A$204,"&gt;="&amp;$F$3,'SỔ SỰ CỐ - CHI PHÍ'!$A$5:$A$204,"&lt;="&amp;$H$3,'SỔ SỰ CỐ - CHI PHÍ'!$B$5:$B$204,C$5,'SỔ SỰ CỐ - CHI PHÍ'!$E$5:$E$204,"Nổ lốp"))</f>
        <v>0</v>
      </c>
      <c r="D30" s="38" t="str">
        <f>IF(D$5="-","",COUNTIFS('SỔ SỰ CỐ - CHI PHÍ'!$A$5:$A$204,"&gt;="&amp;$F$3,'SỔ SỰ CỐ - CHI PHÍ'!$A$5:$A$204,"&lt;="&amp;$H$3,'SỔ SỰ CỐ - CHI PHÍ'!$B$5:$B$204,D$5,'SỔ SỰ CỐ - CHI PHÍ'!$E$5:$E$204,"Nổ lốp"))</f>
        <v/>
      </c>
      <c r="E30" s="38">
        <f t="shared" si="1"/>
        <v>1</v>
      </c>
      <c r="F30" s="40"/>
    </row>
    <row r="31" spans="1:6" x14ac:dyDescent="0.45">
      <c r="A31" s="40" t="s">
        <v>299</v>
      </c>
      <c r="B31" s="38">
        <f>IF(B$5="-","",COUNTIFS('SỔ SỰ CỐ - CHI PHÍ'!$A$5:$A$204,"&gt;="&amp;$F$3,'SỔ SỰ CỐ - CHI PHÍ'!$A$5:$A$204,"&lt;="&amp;$H$3,'SỔ SỰ CỐ - CHI PHÍ'!$B$5:$B$204,B$5,'SỔ SỰ CỐ - CHI PHÍ'!$D$5:$D$204,"Sự cố xe")-COUNTIFS('SỔ SỰ CỐ - CHI PHÍ'!$A$5:$A$204,"&gt;="&amp;$F$3,'SỔ SỰ CỐ - CHI PHÍ'!$A$5:$A$204,"&lt;="&amp;$H$3,'SỔ SỰ CỐ - CHI PHÍ'!$B$5:$B$204,B$5,'SỔ SỰ CỐ - CHI PHÍ'!$E$5:$E$204,"Nổ lốp"))</f>
        <v>0</v>
      </c>
      <c r="C31" s="38">
        <f>IF(C$5="-","",COUNTIFS('SỔ SỰ CỐ - CHI PHÍ'!$A$5:$A$204,"&gt;="&amp;$F$3,'SỔ SỰ CỐ - CHI PHÍ'!$A$5:$A$204,"&lt;="&amp;$H$3,'SỔ SỰ CỐ - CHI PHÍ'!$B$5:$B$204,C$5,'SỔ SỰ CỐ - CHI PHÍ'!$D$5:$D$204,"Sự cố xe")-COUNTIFS('SỔ SỰ CỐ - CHI PHÍ'!$A$5:$A$204,"&gt;="&amp;$F$3,'SỔ SỰ CỐ - CHI PHÍ'!$A$5:$A$204,"&lt;="&amp;$H$3,'SỔ SỰ CỐ - CHI PHÍ'!$B$5:$B$204,C$5,'SỔ SỰ CỐ - CHI PHÍ'!$E$5:$E$204,"Nổ lốp"))</f>
        <v>0</v>
      </c>
      <c r="D31" s="38" t="str">
        <f>IF(D$5="-","",COUNTIFS('SỔ SỰ CỐ - CHI PHÍ'!$A$5:$A$204,"&gt;="&amp;$F$3,'SỔ SỰ CỐ - CHI PHÍ'!$A$5:$A$204,"&lt;="&amp;$H$3,'SỔ SỰ CỐ - CHI PHÍ'!$B$5:$B$204,D$5,'SỔ SỰ CỐ - CHI PHÍ'!$D$5:$D$204,"Sự cố xe")-COUNTIFS('SỔ SỰ CỐ - CHI PHÍ'!$A$5:$A$204,"&gt;="&amp;$F$3,'SỔ SỰ CỐ - CHI PHÍ'!$A$5:$A$204,"&lt;="&amp;$H$3,'SỔ SỰ CỐ - CHI PHÍ'!$B$5:$B$204,D$5,'SỔ SỰ CỐ - CHI PHÍ'!$E$5:$E$204,"Nổ lốp"))</f>
        <v/>
      </c>
      <c r="E31" s="38">
        <f t="shared" si="1"/>
        <v>0</v>
      </c>
      <c r="F31" s="40"/>
    </row>
    <row r="32" spans="1:6" x14ac:dyDescent="0.45">
      <c r="A32" s="40" t="s">
        <v>300</v>
      </c>
      <c r="B32" s="38">
        <f>IF(B$5="-","",COUNTIFS('SỔ SỰ CỐ - CHI PHÍ'!$A$5:$A$204,"&gt;="&amp;$F$3,'SỔ SỰ CỐ - CHI PHÍ'!$A$5:$A$204,"&lt;="&amp;$H$3,'SỔ SỰ CỐ - CHI PHÍ'!$B$5:$B$204,B$5,'SỔ SỰ CỐ - CHI PHÍ'!$E$5:$E$204,"Phạt nguội"))</f>
        <v>0</v>
      </c>
      <c r="C32" s="38">
        <f>IF(C$5="-","",COUNTIFS('SỔ SỰ CỐ - CHI PHÍ'!$A$5:$A$204,"&gt;="&amp;$F$3,'SỔ SỰ CỐ - CHI PHÍ'!$A$5:$A$204,"&lt;="&amp;$H$3,'SỔ SỰ CỐ - CHI PHÍ'!$B$5:$B$204,C$5,'SỔ SỰ CỐ - CHI PHÍ'!$E$5:$E$204,"Phạt nguội"))</f>
        <v>0</v>
      </c>
      <c r="D32" s="38" t="str">
        <f>IF(D$5="-","",COUNTIFS('SỔ SỰ CỐ - CHI PHÍ'!$A$5:$A$204,"&gt;="&amp;$F$3,'SỔ SỰ CỐ - CHI PHÍ'!$A$5:$A$204,"&lt;="&amp;$H$3,'SỔ SỰ CỐ - CHI PHÍ'!$B$5:$B$204,D$5,'SỔ SỰ CỐ - CHI PHÍ'!$E$5:$E$204,"Phạt nguội"))</f>
        <v/>
      </c>
      <c r="E32" s="38">
        <f t="shared" si="1"/>
        <v>0</v>
      </c>
      <c r="F32" s="40"/>
    </row>
    <row r="33" spans="1:6" x14ac:dyDescent="0.45">
      <c r="A33" s="49" t="s">
        <v>301</v>
      </c>
      <c r="B33" s="50"/>
      <c r="C33" s="50"/>
      <c r="D33" s="50"/>
      <c r="E33" s="50"/>
      <c r="F33" s="50"/>
    </row>
    <row r="34" spans="1:6" x14ac:dyDescent="0.45">
      <c r="A34" s="40" t="s">
        <v>302</v>
      </c>
      <c r="B34" s="21">
        <f>IF(B$5="-","",SUMIFS('NHẬT KÝ DẦU'!$K$5:$K$204,'NHẬT KÝ DẦU'!$A$5:$A$204,"&gt;="&amp;$F$3,'NHẬT KÝ DẦU'!$A$5:$A$204,"&lt;="&amp;$H$3,'NHẬT KÝ DẦU'!$B$5:$B$204,B$5))</f>
        <v>2008500</v>
      </c>
      <c r="C34" s="21">
        <f>IF(C$5="-","",SUMIFS('NHẬT KÝ DẦU'!$K$5:$K$204,'NHẬT KÝ DẦU'!$A$5:$A$204,"&gt;="&amp;$F$3,'NHẬT KÝ DẦU'!$A$5:$A$204,"&lt;="&amp;$H$3,'NHẬT KÝ DẦU'!$B$5:$B$204,C$5))</f>
        <v>585000</v>
      </c>
      <c r="D34" s="21" t="str">
        <f>IF(D$5="-","",SUMIFS('NHẬT KÝ DẦU'!$K$5:$K$204,'NHẬT KÝ DẦU'!$A$5:$A$204,"&gt;="&amp;$F$3,'NHẬT KÝ DẦU'!$A$5:$A$204,"&lt;="&amp;$H$3,'NHẬT KÝ DẦU'!$B$5:$B$204,D$5))</f>
        <v/>
      </c>
      <c r="E34" s="21">
        <f>SUM(B34:D34)</f>
        <v>2593500</v>
      </c>
      <c r="F34" s="40"/>
    </row>
    <row r="35" spans="1:6" x14ac:dyDescent="0.45">
      <c r="A35" s="40" t="s">
        <v>303</v>
      </c>
      <c r="B35" s="21">
        <f>IF(B$5="-","",SUMIFS('NHẬT KÝ NGÀY'!$AP$5:$AP$404,'NHẬT KÝ NGÀY'!$A$5:$A$404,"&gt;="&amp;$F$3,'NHẬT KÝ NGÀY'!$A$5:$A$404,"&lt;="&amp;$H$3,'NHẬT KÝ NGÀY'!$B$5:$B$404,B$5))</f>
        <v>255750</v>
      </c>
      <c r="C35" s="21">
        <f>IF(C$5="-","",SUMIFS('NHẬT KÝ NGÀY'!$AP$5:$AP$404,'NHẬT KÝ NGÀY'!$A$5:$A$404,"&gt;="&amp;$F$3,'NHẬT KÝ NGÀY'!$A$5:$A$404,"&lt;="&amp;$H$3,'NHẬT KÝ NGÀY'!$B$5:$B$404,C$5))</f>
        <v>0</v>
      </c>
      <c r="D35" s="21" t="str">
        <f>IF(D$5="-","",SUMIFS('NHẬT KÝ NGÀY'!$AP$5:$AP$404,'NHẬT KÝ NGÀY'!$A$5:$A$404,"&gt;="&amp;$F$3,'NHẬT KÝ NGÀY'!$A$5:$A$404,"&lt;="&amp;$H$3,'NHẬT KÝ NGÀY'!$B$5:$B$404,D$5))</f>
        <v/>
      </c>
      <c r="E35" s="21">
        <f>SUM(B35:D35)</f>
        <v>255750</v>
      </c>
      <c r="F35" s="40"/>
    </row>
    <row r="36" spans="1:6" x14ac:dyDescent="0.45">
      <c r="A36" s="40" t="s">
        <v>304</v>
      </c>
      <c r="B36" s="21">
        <f>IF(B$5="-","",SUMIFS('SỔ SỰ CỐ - CHI PHÍ'!$G$5:$G$204,'SỔ SỰ CỐ - CHI PHÍ'!$A$5:$A$204,"&gt;="&amp;$F$3,'SỔ SỰ CỐ - CHI PHÍ'!$A$5:$A$204,"&lt;="&amp;$H$3,'SỔ SỰ CỐ - CHI PHÍ'!$B$5:$B$204,B$5,'SỔ SỰ CỐ - CHI PHÍ'!$H$5:$H$204,"Công ty",'SỔ SỰ CỐ - CHI PHÍ'!$D$5:$D$204,"Sự cố xe")+SUMIFS('SỔ SỰ CỐ - CHI PHÍ'!$G$5:$G$204,'SỔ SỰ CỐ - CHI PHÍ'!$A$5:$A$204,"&gt;="&amp;$F$3,'SỔ SỰ CỐ - CHI PHÍ'!$A$5:$A$204,"&lt;="&amp;$H$3,'SỔ SỰ CỐ - CHI PHÍ'!$B$5:$B$204,B$5,'SỔ SỰ CỐ - CHI PHÍ'!$H$5:$H$204,"Công ty",'SỔ SỰ CỐ - CHI PHÍ'!$D$5:$D$204,"Vi phạm"))</f>
        <v>2400000</v>
      </c>
      <c r="C36" s="21">
        <f>IF(C$5="-","",SUMIFS('SỔ SỰ CỐ - CHI PHÍ'!$G$5:$G$204,'SỔ SỰ CỐ - CHI PHÍ'!$A$5:$A$204,"&gt;="&amp;$F$3,'SỔ SỰ CỐ - CHI PHÍ'!$A$5:$A$204,"&lt;="&amp;$H$3,'SỔ SỰ CỐ - CHI PHÍ'!$B$5:$B$204,C$5,'SỔ SỰ CỐ - CHI PHÍ'!$H$5:$H$204,"Công ty",'SỔ SỰ CỐ - CHI PHÍ'!$D$5:$D$204,"Sự cố xe")+SUMIFS('SỔ SỰ CỐ - CHI PHÍ'!$G$5:$G$204,'SỔ SỰ CỐ - CHI PHÍ'!$A$5:$A$204,"&gt;="&amp;$F$3,'SỔ SỰ CỐ - CHI PHÍ'!$A$5:$A$204,"&lt;="&amp;$H$3,'SỔ SỰ CỐ - CHI PHÍ'!$B$5:$B$204,C$5,'SỔ SỰ CỐ - CHI PHÍ'!$H$5:$H$204,"Công ty",'SỔ SỰ CỐ - CHI PHÍ'!$D$5:$D$204,"Vi phạm"))</f>
        <v>0</v>
      </c>
      <c r="D36" s="21" t="str">
        <f>IF(D$5="-","",SUMIFS('SỔ SỰ CỐ - CHI PHÍ'!$G$5:$G$204,'SỔ SỰ CỐ - CHI PHÍ'!$A$5:$A$204,"&gt;="&amp;$F$3,'SỔ SỰ CỐ - CHI PHÍ'!$A$5:$A$204,"&lt;="&amp;$H$3,'SỔ SỰ CỐ - CHI PHÍ'!$B$5:$B$204,D$5,'SỔ SỰ CỐ - CHI PHÍ'!$H$5:$H$204,"Công ty",'SỔ SỰ CỐ - CHI PHÍ'!$D$5:$D$204,"Sự cố xe")+SUMIFS('SỔ SỰ CỐ - CHI PHÍ'!$G$5:$G$204,'SỔ SỰ CỐ - CHI PHÍ'!$A$5:$A$204,"&gt;="&amp;$F$3,'SỔ SỰ CỐ - CHI PHÍ'!$A$5:$A$204,"&lt;="&amp;$H$3,'SỔ SỰ CỐ - CHI PHÍ'!$B$5:$B$204,D$5,'SỔ SỰ CỐ - CHI PHÍ'!$H$5:$H$204,"Công ty",'SỔ SỰ CỐ - CHI PHÍ'!$D$5:$D$204,"Vi phạm"))</f>
        <v/>
      </c>
      <c r="E36" s="21">
        <f>SUM(B36:D36)</f>
        <v>2400000</v>
      </c>
      <c r="F36" s="40"/>
    </row>
    <row r="37" spans="1:6" x14ac:dyDescent="0.45">
      <c r="A37" s="40" t="s">
        <v>305</v>
      </c>
      <c r="B37" s="21">
        <f>IF(B$5="-","",SUMIFS('SỔ SỰ CỐ - CHI PHÍ'!$G$5:$G$204,'SỔ SỰ CỐ - CHI PHÍ'!$A$5:$A$204,"&gt;="&amp;$F$3,'SỔ SỰ CỐ - CHI PHÍ'!$A$5:$A$204,"&lt;="&amp;$H$3,'SỔ SỰ CỐ - CHI PHÍ'!$B$5:$B$204,B$5,'SỔ SỰ CỐ - CHI PHÍ'!$H$5:$H$204,"Công ty",'SỔ SỰ CỐ - CHI PHÍ'!$D$5:$D$204,"Chi phí"))</f>
        <v>180000</v>
      </c>
      <c r="C37" s="21">
        <f>IF(C$5="-","",SUMIFS('SỔ SỰ CỐ - CHI PHÍ'!$G$5:$G$204,'SỔ SỰ CỐ - CHI PHÍ'!$A$5:$A$204,"&gt;="&amp;$F$3,'SỔ SỰ CỐ - CHI PHÍ'!$A$5:$A$204,"&lt;="&amp;$H$3,'SỔ SỰ CỐ - CHI PHÍ'!$B$5:$B$204,C$5,'SỔ SỰ CỐ - CHI PHÍ'!$H$5:$H$204,"Công ty",'SỔ SỰ CỐ - CHI PHÍ'!$D$5:$D$204,"Chi phí"))</f>
        <v>0</v>
      </c>
      <c r="D37" s="21" t="str">
        <f>IF(D$5="-","",SUMIFS('SỔ SỰ CỐ - CHI PHÍ'!$G$5:$G$204,'SỔ SỰ CỐ - CHI PHÍ'!$A$5:$A$204,"&gt;="&amp;$F$3,'SỔ SỰ CỐ - CHI PHÍ'!$A$5:$A$204,"&lt;="&amp;$H$3,'SỔ SỰ CỐ - CHI PHÍ'!$B$5:$B$204,D$5,'SỔ SỰ CỐ - CHI PHÍ'!$H$5:$H$204,"Công ty",'SỔ SỰ CỐ - CHI PHÍ'!$D$5:$D$204,"Chi phí"))</f>
        <v/>
      </c>
      <c r="E37" s="21">
        <f>SUM(B37:D37)</f>
        <v>180000</v>
      </c>
      <c r="F37" s="40"/>
    </row>
    <row r="38" spans="1:6" x14ac:dyDescent="0.45">
      <c r="A38" s="37" t="s">
        <v>306</v>
      </c>
      <c r="B38" s="51">
        <f>IF(B$5="-","",SUM(B34:B37))</f>
        <v>4844250</v>
      </c>
      <c r="C38" s="51">
        <f>IF(C$5="-","",SUM(C34:C37))</f>
        <v>585000</v>
      </c>
      <c r="D38" s="51" t="str">
        <f>IF(D$5="-","",SUM(D34:D37))</f>
        <v/>
      </c>
      <c r="E38" s="51">
        <f>SUM(B38:D38)</f>
        <v>5429250</v>
      </c>
      <c r="F38" s="40" t="s">
        <v>307</v>
      </c>
    </row>
    <row r="39" spans="1:6" x14ac:dyDescent="0.45">
      <c r="A39" s="37" t="s">
        <v>308</v>
      </c>
      <c r="B39" s="51">
        <f>IF(N(B13)=0,"",B38/B13*1)</f>
        <v>5208.8709677419356</v>
      </c>
      <c r="C39" s="51">
        <f>IF(N(C13)=0,"",C38/C13*1)</f>
        <v>2468.3544303797466</v>
      </c>
      <c r="D39" s="51" t="str">
        <f>IF(N(D13)=0,"",D38/D13*1)</f>
        <v/>
      </c>
      <c r="E39" s="51">
        <f>IF(N(E13)=0,"",E38/E13*1)</f>
        <v>4652.3136246786635</v>
      </c>
      <c r="F39" s="40" t="s">
        <v>309</v>
      </c>
    </row>
    <row r="41" spans="1:6" x14ac:dyDescent="0.45">
      <c r="A41" s="44" t="s">
        <v>310</v>
      </c>
    </row>
    <row r="42" spans="1:6" x14ac:dyDescent="0.45">
      <c r="A42" s="15" t="s">
        <v>59</v>
      </c>
      <c r="B42" s="15" t="s">
        <v>311</v>
      </c>
      <c r="C42" s="15" t="s">
        <v>63</v>
      </c>
      <c r="D42" s="15" t="s">
        <v>312</v>
      </c>
      <c r="E42" s="15" t="s">
        <v>313</v>
      </c>
    </row>
    <row r="43" spans="1:6" x14ac:dyDescent="0.45">
      <c r="A43" s="16" t="str">
        <f>IF('THAM SỐ'!M5="","",'THAM SỐ'!M5)</f>
        <v>Trung chuyển kho</v>
      </c>
      <c r="B43" s="21">
        <f>IF(A43="","",COUNTIFS('LỆNH ĐIỀU XE'!$B$5:$B$604,"&gt;="&amp;$F$3,'LỆNH ĐIỀU XE'!$B$5:$B$604,"&lt;="&amp;$H$3,'LỆNH ĐIỀU XE'!$F$5:$F$604,A43))</f>
        <v>3</v>
      </c>
      <c r="C43" s="21">
        <f>IF(A43="","",SUMIFS('LỆNH ĐIỀU XE'!$J$5:$J$604,'LỆNH ĐIỀU XE'!$B$5:$B$604,"&gt;="&amp;$F$3,'LỆNH ĐIỀU XE'!$B$5:$B$604,"&lt;="&amp;$H$3,'LỆNH ĐIỀU XE'!$F$5:$F$604,A43))</f>
        <v>700</v>
      </c>
      <c r="D43" s="21">
        <f>IF(A43="","",SUMIFS('LỆNH ĐIỀU XE'!$M$5:$M$604,'LỆNH ĐIỀU XE'!$B$5:$B$604,"&gt;="&amp;$F$3,'LỆNH ĐIỀU XE'!$B$5:$B$604,"&lt;="&amp;$H$3,'LỆNH ĐIỀU XE'!$F$5:$F$604,A43))</f>
        <v>4400</v>
      </c>
      <c r="E43" s="21">
        <f>IF(A43="","",IF(SUMIFS('LỆNH ĐIỀU XE'!$J$5:$J$604,'LỆNH ĐIỀU XE'!$B$5:$B$604,"&gt;="&amp;$F$3,'LỆNH ĐIỀU XE'!$B$5:$B$604,"&lt;="&amp;$H$3)=0,0,ROUND(C43/SUMIFS('LỆNH ĐIỀU XE'!$J$5:$J$604,'LỆNH ĐIỀU XE'!$B$5:$B$604,"&gt;="&amp;$F$3,'LỆNH ĐIỀU XE'!$B$5:$B$604,"&lt;="&amp;$H$3)*$E$38,0)))</f>
        <v>3384216</v>
      </c>
    </row>
    <row r="44" spans="1:6" x14ac:dyDescent="0.45">
      <c r="A44" s="16" t="str">
        <f>IF('THAM SỐ'!M6="","",'THAM SỐ'!M6)</f>
        <v>Nippon Đức Tài</v>
      </c>
      <c r="B44" s="21">
        <f>IF(A44="","",COUNTIFS('LỆNH ĐIỀU XE'!$B$5:$B$604,"&gt;="&amp;$F$3,'LỆNH ĐIỀU XE'!$B$5:$B$604,"&lt;="&amp;$H$3,'LỆNH ĐIỀU XE'!$F$5:$F$604,A44))</f>
        <v>2</v>
      </c>
      <c r="C44" s="21">
        <f>IF(A44="","",SUMIFS('LỆNH ĐIỀU XE'!$J$5:$J$604,'LỆNH ĐIỀU XE'!$B$5:$B$604,"&gt;="&amp;$F$3,'LỆNH ĐIỀU XE'!$B$5:$B$604,"&lt;="&amp;$H$3,'LỆNH ĐIỀU XE'!$F$5:$F$604,A44))</f>
        <v>80</v>
      </c>
      <c r="D44" s="21">
        <f>IF(A44="","",SUMIFS('LỆNH ĐIỀU XE'!$M$5:$M$604,'LỆNH ĐIỀU XE'!$B$5:$B$604,"&gt;="&amp;$F$3,'LỆNH ĐIỀU XE'!$B$5:$B$604,"&lt;="&amp;$H$3,'LỆNH ĐIỀU XE'!$F$5:$F$604,A44))</f>
        <v>1600</v>
      </c>
      <c r="E44" s="21">
        <f>IF(A44="","",IF(SUMIFS('LỆNH ĐIỀU XE'!$J$5:$J$604,'LỆNH ĐIỀU XE'!$B$5:$B$604,"&gt;="&amp;$F$3,'LỆNH ĐIỀU XE'!$B$5:$B$604,"&lt;="&amp;$H$3)=0,0,ROUND(C44/SUMIFS('LỆNH ĐIỀU XE'!$J$5:$J$604,'LỆNH ĐIỀU XE'!$B$5:$B$604,"&gt;="&amp;$F$3,'LỆNH ĐIỀU XE'!$B$5:$B$604,"&lt;="&amp;$H$3)*$E$38,0)))</f>
        <v>386768</v>
      </c>
    </row>
    <row r="45" spans="1:6" x14ac:dyDescent="0.45">
      <c r="A45" s="16" t="str">
        <f>IF('THAM SỐ'!M7="","",'THAM SỐ'!M7)</f>
        <v>POSM CENTURY 2026</v>
      </c>
      <c r="B45" s="21">
        <f>IF(A45="","",COUNTIFS('LỆNH ĐIỀU XE'!$B$5:$B$604,"&gt;="&amp;$F$3,'LỆNH ĐIỀU XE'!$B$5:$B$604,"&lt;="&amp;$H$3,'LỆNH ĐIỀU XE'!$F$5:$F$604,A45))</f>
        <v>2</v>
      </c>
      <c r="C45" s="21">
        <f>IF(A45="","",SUMIFS('LỆNH ĐIỀU XE'!$J$5:$J$604,'LỆNH ĐIỀU XE'!$B$5:$B$604,"&gt;="&amp;$F$3,'LỆNH ĐIỀU XE'!$B$5:$B$604,"&lt;="&amp;$H$3,'LỆNH ĐIỀU XE'!$F$5:$F$604,A45))</f>
        <v>245</v>
      </c>
      <c r="D45" s="21">
        <f>IF(A45="","",SUMIFS('LỆNH ĐIỀU XE'!$M$5:$M$604,'LỆNH ĐIỀU XE'!$B$5:$B$604,"&gt;="&amp;$F$3,'LỆNH ĐIỀU XE'!$B$5:$B$604,"&lt;="&amp;$H$3,'LỆNH ĐIỀU XE'!$F$5:$F$604,A45))</f>
        <v>3000</v>
      </c>
      <c r="E45" s="21">
        <f>IF(A45="","",IF(SUMIFS('LỆNH ĐIỀU XE'!$J$5:$J$604,'LỆNH ĐIỀU XE'!$B$5:$B$604,"&gt;="&amp;$F$3,'LỆNH ĐIỀU XE'!$B$5:$B$604,"&lt;="&amp;$H$3)=0,0,ROUND(C45/SUMIFS('LỆNH ĐIỀU XE'!$J$5:$J$604,'LỆNH ĐIỀU XE'!$B$5:$B$604,"&gt;="&amp;$F$3,'LỆNH ĐIỀU XE'!$B$5:$B$604,"&lt;="&amp;$H$3)*$E$38,0)))</f>
        <v>1184476</v>
      </c>
    </row>
    <row r="46" spans="1:6" x14ac:dyDescent="0.45">
      <c r="A46" s="16" t="str">
        <f>IF('THAM SỐ'!M8="","",'THAM SỐ'!M8)</f>
        <v>Galaxy</v>
      </c>
      <c r="B46" s="21">
        <f>IF(A46="","",COUNTIFS('LỆNH ĐIỀU XE'!$B$5:$B$604,"&gt;="&amp;$F$3,'LỆNH ĐIỀU XE'!$B$5:$B$604,"&lt;="&amp;$H$3,'LỆNH ĐIỀU XE'!$F$5:$F$604,A46))</f>
        <v>2</v>
      </c>
      <c r="C46" s="21">
        <f>IF(A46="","",SUMIFS('LỆNH ĐIỀU XE'!$J$5:$J$604,'LỆNH ĐIỀU XE'!$B$5:$B$604,"&gt;="&amp;$F$3,'LỆNH ĐIỀU XE'!$B$5:$B$604,"&lt;="&amp;$H$3,'LỆNH ĐIỀU XE'!$F$5:$F$604,A46))</f>
        <v>98</v>
      </c>
      <c r="D46" s="21">
        <f>IF(A46="","",SUMIFS('LỆNH ĐIỀU XE'!$M$5:$M$604,'LỆNH ĐIỀU XE'!$B$5:$B$604,"&gt;="&amp;$F$3,'LỆNH ĐIỀU XE'!$B$5:$B$604,"&lt;="&amp;$H$3,'LỆNH ĐIỀU XE'!$F$5:$F$604,A46))</f>
        <v>3000</v>
      </c>
      <c r="E46" s="21">
        <f>IF(A46="","",IF(SUMIFS('LỆNH ĐIỀU XE'!$J$5:$J$604,'LỆNH ĐIỀU XE'!$B$5:$B$604,"&gt;="&amp;$F$3,'LỆNH ĐIỀU XE'!$B$5:$B$604,"&lt;="&amp;$H$3)=0,0,ROUND(C46/SUMIFS('LỆNH ĐIỀU XE'!$J$5:$J$604,'LỆNH ĐIỀU XE'!$B$5:$B$604,"&gt;="&amp;$F$3,'LỆNH ĐIỀU XE'!$B$5:$B$604,"&lt;="&amp;$H$3)*$E$38,0)))</f>
        <v>473790</v>
      </c>
    </row>
    <row r="47" spans="1:6" x14ac:dyDescent="0.45">
      <c r="A47" s="16" t="str">
        <f>IF('THAM SỐ'!M9="","",'THAM SỐ'!M9)</f>
        <v/>
      </c>
      <c r="B47" s="21" t="str">
        <f>IF(A47="","",COUNTIFS('LỆNH ĐIỀU XE'!$B$5:$B$604,"&gt;="&amp;$F$3,'LỆNH ĐIỀU XE'!$B$5:$B$604,"&lt;="&amp;$H$3,'LỆNH ĐIỀU XE'!$F$5:$F$604,A47))</f>
        <v/>
      </c>
      <c r="C47" s="21" t="str">
        <f>IF(A47="","",SUMIFS('LỆNH ĐIỀU XE'!$J$5:$J$604,'LỆNH ĐIỀU XE'!$B$5:$B$604,"&gt;="&amp;$F$3,'LỆNH ĐIỀU XE'!$B$5:$B$604,"&lt;="&amp;$H$3,'LỆNH ĐIỀU XE'!$F$5:$F$604,A47))</f>
        <v/>
      </c>
      <c r="D47" s="21" t="str">
        <f>IF(A47="","",SUMIFS('LỆNH ĐIỀU XE'!$M$5:$M$604,'LỆNH ĐIỀU XE'!$B$5:$B$604,"&gt;="&amp;$F$3,'LỆNH ĐIỀU XE'!$B$5:$B$604,"&lt;="&amp;$H$3,'LỆNH ĐIỀU XE'!$F$5:$F$604,A47))</f>
        <v/>
      </c>
      <c r="E47" s="21" t="str">
        <f>IF(A47="","",IF(SUMIFS('LỆNH ĐIỀU XE'!$J$5:$J$604,'LỆNH ĐIỀU XE'!$B$5:$B$604,"&gt;="&amp;$F$3,'LỆNH ĐIỀU XE'!$B$5:$B$604,"&lt;="&amp;$H$3)=0,0,ROUND(C47/SUMIFS('LỆNH ĐIỀU XE'!$J$5:$J$604,'LỆNH ĐIỀU XE'!$B$5:$B$604,"&gt;="&amp;$F$3,'LỆNH ĐIỀU XE'!$B$5:$B$604,"&lt;="&amp;$H$3)*$E$38,0)))</f>
        <v/>
      </c>
    </row>
    <row r="48" spans="1:6" x14ac:dyDescent="0.45">
      <c r="A48" s="16" t="str">
        <f>IF('THAM SỐ'!M10="","",'THAM SỐ'!M10)</f>
        <v/>
      </c>
      <c r="B48" s="21" t="str">
        <f>IF(A48="","",COUNTIFS('LỆNH ĐIỀU XE'!$B$5:$B$604,"&gt;="&amp;$F$3,'LỆNH ĐIỀU XE'!$B$5:$B$604,"&lt;="&amp;$H$3,'LỆNH ĐIỀU XE'!$F$5:$F$604,A48))</f>
        <v/>
      </c>
      <c r="C48" s="21" t="str">
        <f>IF(A48="","",SUMIFS('LỆNH ĐIỀU XE'!$J$5:$J$604,'LỆNH ĐIỀU XE'!$B$5:$B$604,"&gt;="&amp;$F$3,'LỆNH ĐIỀU XE'!$B$5:$B$604,"&lt;="&amp;$H$3,'LỆNH ĐIỀU XE'!$F$5:$F$604,A48))</f>
        <v/>
      </c>
      <c r="D48" s="21" t="str">
        <f>IF(A48="","",SUMIFS('LỆNH ĐIỀU XE'!$M$5:$M$604,'LỆNH ĐIỀU XE'!$B$5:$B$604,"&gt;="&amp;$F$3,'LỆNH ĐIỀU XE'!$B$5:$B$604,"&lt;="&amp;$H$3,'LỆNH ĐIỀU XE'!$F$5:$F$604,A48))</f>
        <v/>
      </c>
      <c r="E48" s="21" t="str">
        <f>IF(A48="","",IF(SUMIFS('LỆNH ĐIỀU XE'!$J$5:$J$604,'LỆNH ĐIỀU XE'!$B$5:$B$604,"&gt;="&amp;$F$3,'LỆNH ĐIỀU XE'!$B$5:$B$604,"&lt;="&amp;$H$3)=0,0,ROUND(C48/SUMIFS('LỆNH ĐIỀU XE'!$J$5:$J$604,'LỆNH ĐIỀU XE'!$B$5:$B$604,"&gt;="&amp;$F$3,'LỆNH ĐIỀU XE'!$B$5:$B$604,"&lt;="&amp;$H$3)*$E$38,0)))</f>
        <v/>
      </c>
    </row>
    <row r="49" spans="1:5" x14ac:dyDescent="0.45">
      <c r="A49" s="16" t="str">
        <f>IF('THAM SỐ'!M11="","",'THAM SỐ'!M11)</f>
        <v/>
      </c>
      <c r="B49" s="21" t="str">
        <f>IF(A49="","",COUNTIFS('LỆNH ĐIỀU XE'!$B$5:$B$604,"&gt;="&amp;$F$3,'LỆNH ĐIỀU XE'!$B$5:$B$604,"&lt;="&amp;$H$3,'LỆNH ĐIỀU XE'!$F$5:$F$604,A49))</f>
        <v/>
      </c>
      <c r="C49" s="21" t="str">
        <f>IF(A49="","",SUMIFS('LỆNH ĐIỀU XE'!$J$5:$J$604,'LỆNH ĐIỀU XE'!$B$5:$B$604,"&gt;="&amp;$F$3,'LỆNH ĐIỀU XE'!$B$5:$B$604,"&lt;="&amp;$H$3,'LỆNH ĐIỀU XE'!$F$5:$F$604,A49))</f>
        <v/>
      </c>
      <c r="D49" s="21" t="str">
        <f>IF(A49="","",SUMIFS('LỆNH ĐIỀU XE'!$M$5:$M$604,'LỆNH ĐIỀU XE'!$B$5:$B$604,"&gt;="&amp;$F$3,'LỆNH ĐIỀU XE'!$B$5:$B$604,"&lt;="&amp;$H$3,'LỆNH ĐIỀU XE'!$F$5:$F$604,A49))</f>
        <v/>
      </c>
      <c r="E49" s="21" t="str">
        <f>IF(A49="","",IF(SUMIFS('LỆNH ĐIỀU XE'!$J$5:$J$604,'LỆNH ĐIỀU XE'!$B$5:$B$604,"&gt;="&amp;$F$3,'LỆNH ĐIỀU XE'!$B$5:$B$604,"&lt;="&amp;$H$3)=0,0,ROUND(C49/SUMIFS('LỆNH ĐIỀU XE'!$J$5:$J$604,'LỆNH ĐIỀU XE'!$B$5:$B$604,"&gt;="&amp;$F$3,'LỆNH ĐIỀU XE'!$B$5:$B$604,"&lt;="&amp;$H$3)*$E$38,0)))</f>
        <v/>
      </c>
    </row>
    <row r="50" spans="1:5" x14ac:dyDescent="0.45">
      <c r="A50" s="16" t="str">
        <f>IF('THAM SỐ'!M12="","",'THAM SỐ'!M12)</f>
        <v/>
      </c>
      <c r="B50" s="21" t="str">
        <f>IF(A50="","",COUNTIFS('LỆNH ĐIỀU XE'!$B$5:$B$604,"&gt;="&amp;$F$3,'LỆNH ĐIỀU XE'!$B$5:$B$604,"&lt;="&amp;$H$3,'LỆNH ĐIỀU XE'!$F$5:$F$604,A50))</f>
        <v/>
      </c>
      <c r="C50" s="21" t="str">
        <f>IF(A50="","",SUMIFS('LỆNH ĐIỀU XE'!$J$5:$J$604,'LỆNH ĐIỀU XE'!$B$5:$B$604,"&gt;="&amp;$F$3,'LỆNH ĐIỀU XE'!$B$5:$B$604,"&lt;="&amp;$H$3,'LỆNH ĐIỀU XE'!$F$5:$F$604,A50))</f>
        <v/>
      </c>
      <c r="D50" s="21" t="str">
        <f>IF(A50="","",SUMIFS('LỆNH ĐIỀU XE'!$M$5:$M$604,'LỆNH ĐIỀU XE'!$B$5:$B$604,"&gt;="&amp;$F$3,'LỆNH ĐIỀU XE'!$B$5:$B$604,"&lt;="&amp;$H$3,'LỆNH ĐIỀU XE'!$F$5:$F$604,A50))</f>
        <v/>
      </c>
      <c r="E50" s="21" t="str">
        <f>IF(A50="","",IF(SUMIFS('LỆNH ĐIỀU XE'!$J$5:$J$604,'LỆNH ĐIỀU XE'!$B$5:$B$604,"&gt;="&amp;$F$3,'LỆNH ĐIỀU XE'!$B$5:$B$604,"&lt;="&amp;$H$3)=0,0,ROUND(C50/SUMIFS('LỆNH ĐIỀU XE'!$J$5:$J$604,'LỆNH ĐIỀU XE'!$B$5:$B$604,"&gt;="&amp;$F$3,'LỆNH ĐIỀU XE'!$B$5:$B$604,"&lt;="&amp;$H$3)*$E$38,0)))</f>
        <v/>
      </c>
    </row>
    <row r="51" spans="1:5" x14ac:dyDescent="0.45">
      <c r="A51" s="16" t="str">
        <f>IF('THAM SỐ'!M13="","",'THAM SỐ'!M13)</f>
        <v/>
      </c>
      <c r="B51" s="21" t="str">
        <f>IF(A51="","",COUNTIFS('LỆNH ĐIỀU XE'!$B$5:$B$604,"&gt;="&amp;$F$3,'LỆNH ĐIỀU XE'!$B$5:$B$604,"&lt;="&amp;$H$3,'LỆNH ĐIỀU XE'!$F$5:$F$604,A51))</f>
        <v/>
      </c>
      <c r="C51" s="21" t="str">
        <f>IF(A51="","",SUMIFS('LỆNH ĐIỀU XE'!$J$5:$J$604,'LỆNH ĐIỀU XE'!$B$5:$B$604,"&gt;="&amp;$F$3,'LỆNH ĐIỀU XE'!$B$5:$B$604,"&lt;="&amp;$H$3,'LỆNH ĐIỀU XE'!$F$5:$F$604,A51))</f>
        <v/>
      </c>
      <c r="D51" s="21" t="str">
        <f>IF(A51="","",SUMIFS('LỆNH ĐIỀU XE'!$M$5:$M$604,'LỆNH ĐIỀU XE'!$B$5:$B$604,"&gt;="&amp;$F$3,'LỆNH ĐIỀU XE'!$B$5:$B$604,"&lt;="&amp;$H$3,'LỆNH ĐIỀU XE'!$F$5:$F$604,A51))</f>
        <v/>
      </c>
      <c r="E51" s="21" t="str">
        <f>IF(A51="","",IF(SUMIFS('LỆNH ĐIỀU XE'!$J$5:$J$604,'LỆNH ĐIỀU XE'!$B$5:$B$604,"&gt;="&amp;$F$3,'LỆNH ĐIỀU XE'!$B$5:$B$604,"&lt;="&amp;$H$3)=0,0,ROUND(C51/SUMIFS('LỆNH ĐIỀU XE'!$J$5:$J$604,'LỆNH ĐIỀU XE'!$B$5:$B$604,"&gt;="&amp;$F$3,'LỆNH ĐIỀU XE'!$B$5:$B$604,"&lt;="&amp;$H$3)*$E$38,0)))</f>
        <v/>
      </c>
    </row>
    <row r="52" spans="1:5" x14ac:dyDescent="0.45">
      <c r="A52" s="16" t="str">
        <f>IF('THAM SỐ'!M14="","",'THAM SỐ'!M14)</f>
        <v/>
      </c>
      <c r="B52" s="21" t="str">
        <f>IF(A52="","",COUNTIFS('LỆNH ĐIỀU XE'!$B$5:$B$604,"&gt;="&amp;$F$3,'LỆNH ĐIỀU XE'!$B$5:$B$604,"&lt;="&amp;$H$3,'LỆNH ĐIỀU XE'!$F$5:$F$604,A52))</f>
        <v/>
      </c>
      <c r="C52" s="21" t="str">
        <f>IF(A52="","",SUMIFS('LỆNH ĐIỀU XE'!$J$5:$J$604,'LỆNH ĐIỀU XE'!$B$5:$B$604,"&gt;="&amp;$F$3,'LỆNH ĐIỀU XE'!$B$5:$B$604,"&lt;="&amp;$H$3,'LỆNH ĐIỀU XE'!$F$5:$F$604,A52))</f>
        <v/>
      </c>
      <c r="D52" s="21" t="str">
        <f>IF(A52="","",SUMIFS('LỆNH ĐIỀU XE'!$M$5:$M$604,'LỆNH ĐIỀU XE'!$B$5:$B$604,"&gt;="&amp;$F$3,'LỆNH ĐIỀU XE'!$B$5:$B$604,"&lt;="&amp;$H$3,'LỆNH ĐIỀU XE'!$F$5:$F$604,A52))</f>
        <v/>
      </c>
      <c r="E52" s="21" t="str">
        <f>IF(A52="","",IF(SUMIFS('LỆNH ĐIỀU XE'!$J$5:$J$604,'LỆNH ĐIỀU XE'!$B$5:$B$604,"&gt;="&amp;$F$3,'LỆNH ĐIỀU XE'!$B$5:$B$604,"&lt;="&amp;$H$3)=0,0,ROUND(C52/SUMIFS('LỆNH ĐIỀU XE'!$J$5:$J$604,'LỆNH ĐIỀU XE'!$B$5:$B$604,"&gt;="&amp;$F$3,'LỆNH ĐIỀU XE'!$B$5:$B$604,"&lt;="&amp;$H$3)*$E$38,0)))</f>
        <v/>
      </c>
    </row>
    <row r="53" spans="1:5" x14ac:dyDescent="0.45">
      <c r="A53" s="16" t="str">
        <f>IF('THAM SỐ'!M15="","",'THAM SỐ'!M15)</f>
        <v/>
      </c>
      <c r="B53" s="21" t="str">
        <f>IF(A53="","",COUNTIFS('LỆNH ĐIỀU XE'!$B$5:$B$604,"&gt;="&amp;$F$3,'LỆNH ĐIỀU XE'!$B$5:$B$604,"&lt;="&amp;$H$3,'LỆNH ĐIỀU XE'!$F$5:$F$604,A53))</f>
        <v/>
      </c>
      <c r="C53" s="21" t="str">
        <f>IF(A53="","",SUMIFS('LỆNH ĐIỀU XE'!$J$5:$J$604,'LỆNH ĐIỀU XE'!$B$5:$B$604,"&gt;="&amp;$F$3,'LỆNH ĐIỀU XE'!$B$5:$B$604,"&lt;="&amp;$H$3,'LỆNH ĐIỀU XE'!$F$5:$F$604,A53))</f>
        <v/>
      </c>
      <c r="D53" s="21" t="str">
        <f>IF(A53="","",SUMIFS('LỆNH ĐIỀU XE'!$M$5:$M$604,'LỆNH ĐIỀU XE'!$B$5:$B$604,"&gt;="&amp;$F$3,'LỆNH ĐIỀU XE'!$B$5:$B$604,"&lt;="&amp;$H$3,'LỆNH ĐIỀU XE'!$F$5:$F$604,A53))</f>
        <v/>
      </c>
      <c r="E53" s="21" t="str">
        <f>IF(A53="","",IF(SUMIFS('LỆNH ĐIỀU XE'!$J$5:$J$604,'LỆNH ĐIỀU XE'!$B$5:$B$604,"&gt;="&amp;$F$3,'LỆNH ĐIỀU XE'!$B$5:$B$604,"&lt;="&amp;$H$3)=0,0,ROUND(C53/SUMIFS('LỆNH ĐIỀU XE'!$J$5:$J$604,'LỆNH ĐIỀU XE'!$B$5:$B$604,"&gt;="&amp;$F$3,'LỆNH ĐIỀU XE'!$B$5:$B$604,"&lt;="&amp;$H$3)*$E$38,0)))</f>
        <v/>
      </c>
    </row>
    <row r="54" spans="1:5" x14ac:dyDescent="0.45">
      <c r="A54" s="16" t="str">
        <f>IF('THAM SỐ'!M16="","",'THAM SỐ'!M16)</f>
        <v/>
      </c>
      <c r="B54" s="21" t="str">
        <f>IF(A54="","",COUNTIFS('LỆNH ĐIỀU XE'!$B$5:$B$604,"&gt;="&amp;$F$3,'LỆNH ĐIỀU XE'!$B$5:$B$604,"&lt;="&amp;$H$3,'LỆNH ĐIỀU XE'!$F$5:$F$604,A54))</f>
        <v/>
      </c>
      <c r="C54" s="21" t="str">
        <f>IF(A54="","",SUMIFS('LỆNH ĐIỀU XE'!$J$5:$J$604,'LỆNH ĐIỀU XE'!$B$5:$B$604,"&gt;="&amp;$F$3,'LỆNH ĐIỀU XE'!$B$5:$B$604,"&lt;="&amp;$H$3,'LỆNH ĐIỀU XE'!$F$5:$F$604,A54))</f>
        <v/>
      </c>
      <c r="D54" s="21" t="str">
        <f>IF(A54="","",SUMIFS('LỆNH ĐIỀU XE'!$M$5:$M$604,'LỆNH ĐIỀU XE'!$B$5:$B$604,"&gt;="&amp;$F$3,'LỆNH ĐIỀU XE'!$B$5:$B$604,"&lt;="&amp;$H$3,'LỆNH ĐIỀU XE'!$F$5:$F$604,A54))</f>
        <v/>
      </c>
      <c r="E54" s="21" t="str">
        <f>IF(A54="","",IF(SUMIFS('LỆNH ĐIỀU XE'!$J$5:$J$604,'LỆNH ĐIỀU XE'!$B$5:$B$604,"&gt;="&amp;$F$3,'LỆNH ĐIỀU XE'!$B$5:$B$604,"&lt;="&amp;$H$3)=0,0,ROUND(C54/SUMIFS('LỆNH ĐIỀU XE'!$J$5:$J$604,'LỆNH ĐIỀU XE'!$B$5:$B$604,"&gt;="&amp;$F$3,'LỆNH ĐIỀU XE'!$B$5:$B$604,"&lt;="&amp;$H$3)*$E$38,0)))</f>
        <v/>
      </c>
    </row>
    <row r="55" spans="1:5" x14ac:dyDescent="0.45">
      <c r="A55" s="16" t="str">
        <f>IF('THAM SỐ'!M17="","",'THAM SỐ'!M17)</f>
        <v/>
      </c>
      <c r="B55" s="21" t="str">
        <f>IF(A55="","",COUNTIFS('LỆNH ĐIỀU XE'!$B$5:$B$604,"&gt;="&amp;$F$3,'LỆNH ĐIỀU XE'!$B$5:$B$604,"&lt;="&amp;$H$3,'LỆNH ĐIỀU XE'!$F$5:$F$604,A55))</f>
        <v/>
      </c>
      <c r="C55" s="21" t="str">
        <f>IF(A55="","",SUMIFS('LỆNH ĐIỀU XE'!$J$5:$J$604,'LỆNH ĐIỀU XE'!$B$5:$B$604,"&gt;="&amp;$F$3,'LỆNH ĐIỀU XE'!$B$5:$B$604,"&lt;="&amp;$H$3,'LỆNH ĐIỀU XE'!$F$5:$F$604,A55))</f>
        <v/>
      </c>
      <c r="D55" s="21" t="str">
        <f>IF(A55="","",SUMIFS('LỆNH ĐIỀU XE'!$M$5:$M$604,'LỆNH ĐIỀU XE'!$B$5:$B$604,"&gt;="&amp;$F$3,'LỆNH ĐIỀU XE'!$B$5:$B$604,"&lt;="&amp;$H$3,'LỆNH ĐIỀU XE'!$F$5:$F$604,A55))</f>
        <v/>
      </c>
      <c r="E55" s="21" t="str">
        <f>IF(A55="","",IF(SUMIFS('LỆNH ĐIỀU XE'!$J$5:$J$604,'LỆNH ĐIỀU XE'!$B$5:$B$604,"&gt;="&amp;$F$3,'LỆNH ĐIỀU XE'!$B$5:$B$604,"&lt;="&amp;$H$3)=0,0,ROUND(C55/SUMIFS('LỆNH ĐIỀU XE'!$J$5:$J$604,'LỆNH ĐIỀU XE'!$B$5:$B$604,"&gt;="&amp;$F$3,'LỆNH ĐIỀU XE'!$B$5:$B$604,"&lt;="&amp;$H$3)*$E$38,0)))</f>
        <v/>
      </c>
    </row>
    <row r="56" spans="1:5" x14ac:dyDescent="0.45">
      <c r="A56" s="16" t="str">
        <f>IF('THAM SỐ'!M18="","",'THAM SỐ'!M18)</f>
        <v/>
      </c>
      <c r="B56" s="21" t="str">
        <f>IF(A56="","",COUNTIFS('LỆNH ĐIỀU XE'!$B$5:$B$604,"&gt;="&amp;$F$3,'LỆNH ĐIỀU XE'!$B$5:$B$604,"&lt;="&amp;$H$3,'LỆNH ĐIỀU XE'!$F$5:$F$604,A56))</f>
        <v/>
      </c>
      <c r="C56" s="21" t="str">
        <f>IF(A56="","",SUMIFS('LỆNH ĐIỀU XE'!$J$5:$J$604,'LỆNH ĐIỀU XE'!$B$5:$B$604,"&gt;="&amp;$F$3,'LỆNH ĐIỀU XE'!$B$5:$B$604,"&lt;="&amp;$H$3,'LỆNH ĐIỀU XE'!$F$5:$F$604,A56))</f>
        <v/>
      </c>
      <c r="D56" s="21" t="str">
        <f>IF(A56="","",SUMIFS('LỆNH ĐIỀU XE'!$M$5:$M$604,'LỆNH ĐIỀU XE'!$B$5:$B$604,"&gt;="&amp;$F$3,'LỆNH ĐIỀU XE'!$B$5:$B$604,"&lt;="&amp;$H$3,'LỆNH ĐIỀU XE'!$F$5:$F$604,A56))</f>
        <v/>
      </c>
      <c r="E56" s="21" t="str">
        <f>IF(A56="","",IF(SUMIFS('LỆNH ĐIỀU XE'!$J$5:$J$604,'LỆNH ĐIỀU XE'!$B$5:$B$604,"&gt;="&amp;$F$3,'LỆNH ĐIỀU XE'!$B$5:$B$604,"&lt;="&amp;$H$3)=0,0,ROUND(C56/SUMIFS('LỆNH ĐIỀU XE'!$J$5:$J$604,'LỆNH ĐIỀU XE'!$B$5:$B$604,"&gt;="&amp;$F$3,'LỆNH ĐIỀU XE'!$B$5:$B$604,"&lt;="&amp;$H$3)*$E$38,0)))</f>
        <v/>
      </c>
    </row>
    <row r="57" spans="1:5" x14ac:dyDescent="0.45">
      <c r="A57" s="16" t="str">
        <f>IF('THAM SỐ'!M19="","",'THAM SỐ'!M19)</f>
        <v/>
      </c>
      <c r="B57" s="21" t="str">
        <f>IF(A57="","",COUNTIFS('LỆNH ĐIỀU XE'!$B$5:$B$604,"&gt;="&amp;$F$3,'LỆNH ĐIỀU XE'!$B$5:$B$604,"&lt;="&amp;$H$3,'LỆNH ĐIỀU XE'!$F$5:$F$604,A57))</f>
        <v/>
      </c>
      <c r="C57" s="21" t="str">
        <f>IF(A57="","",SUMIFS('LỆNH ĐIỀU XE'!$J$5:$J$604,'LỆNH ĐIỀU XE'!$B$5:$B$604,"&gt;="&amp;$F$3,'LỆNH ĐIỀU XE'!$B$5:$B$604,"&lt;="&amp;$H$3,'LỆNH ĐIỀU XE'!$F$5:$F$604,A57))</f>
        <v/>
      </c>
      <c r="D57" s="21" t="str">
        <f>IF(A57="","",SUMIFS('LỆNH ĐIỀU XE'!$M$5:$M$604,'LỆNH ĐIỀU XE'!$B$5:$B$604,"&gt;="&amp;$F$3,'LỆNH ĐIỀU XE'!$B$5:$B$604,"&lt;="&amp;$H$3,'LỆNH ĐIỀU XE'!$F$5:$F$604,A57))</f>
        <v/>
      </c>
      <c r="E57" s="21" t="str">
        <f>IF(A57="","",IF(SUMIFS('LỆNH ĐIỀU XE'!$J$5:$J$604,'LỆNH ĐIỀU XE'!$B$5:$B$604,"&gt;="&amp;$F$3,'LỆNH ĐIỀU XE'!$B$5:$B$604,"&lt;="&amp;$H$3)=0,0,ROUND(C57/SUMIFS('LỆNH ĐIỀU XE'!$J$5:$J$604,'LỆNH ĐIỀU XE'!$B$5:$B$604,"&gt;="&amp;$F$3,'LỆNH ĐIỀU XE'!$B$5:$B$604,"&lt;="&amp;$H$3)*$E$38,0)))</f>
        <v/>
      </c>
    </row>
    <row r="58" spans="1:5" x14ac:dyDescent="0.45">
      <c r="A58" s="16" t="str">
        <f>IF('THAM SỐ'!M20="","",'THAM SỐ'!M20)</f>
        <v/>
      </c>
      <c r="B58" s="21" t="str">
        <f>IF(A58="","",COUNTIFS('LỆNH ĐIỀU XE'!$B$5:$B$604,"&gt;="&amp;$F$3,'LỆNH ĐIỀU XE'!$B$5:$B$604,"&lt;="&amp;$H$3,'LỆNH ĐIỀU XE'!$F$5:$F$604,A58))</f>
        <v/>
      </c>
      <c r="C58" s="21" t="str">
        <f>IF(A58="","",SUMIFS('LỆNH ĐIỀU XE'!$J$5:$J$604,'LỆNH ĐIỀU XE'!$B$5:$B$604,"&gt;="&amp;$F$3,'LỆNH ĐIỀU XE'!$B$5:$B$604,"&lt;="&amp;$H$3,'LỆNH ĐIỀU XE'!$F$5:$F$604,A58))</f>
        <v/>
      </c>
      <c r="D58" s="21" t="str">
        <f>IF(A58="","",SUMIFS('LỆNH ĐIỀU XE'!$M$5:$M$604,'LỆNH ĐIỀU XE'!$B$5:$B$604,"&gt;="&amp;$F$3,'LỆNH ĐIỀU XE'!$B$5:$B$604,"&lt;="&amp;$H$3,'LỆNH ĐIỀU XE'!$F$5:$F$604,A58))</f>
        <v/>
      </c>
      <c r="E58" s="21" t="str">
        <f>IF(A58="","",IF(SUMIFS('LỆNH ĐIỀU XE'!$J$5:$J$604,'LỆNH ĐIỀU XE'!$B$5:$B$604,"&gt;="&amp;$F$3,'LỆNH ĐIỀU XE'!$B$5:$B$604,"&lt;="&amp;$H$3)=0,0,ROUND(C58/SUMIFS('LỆNH ĐIỀU XE'!$J$5:$J$604,'LỆNH ĐIỀU XE'!$B$5:$B$604,"&gt;="&amp;$F$3,'LỆNH ĐIỀU XE'!$B$5:$B$604,"&lt;="&amp;$H$3)*$E$38,0)))</f>
        <v/>
      </c>
    </row>
    <row r="59" spans="1:5" x14ac:dyDescent="0.45">
      <c r="A59" s="16" t="str">
        <f>IF('THAM SỐ'!M21="","",'THAM SỐ'!M21)</f>
        <v/>
      </c>
      <c r="B59" s="21" t="str">
        <f>IF(A59="","",COUNTIFS('LỆNH ĐIỀU XE'!$B$5:$B$604,"&gt;="&amp;$F$3,'LỆNH ĐIỀU XE'!$B$5:$B$604,"&lt;="&amp;$H$3,'LỆNH ĐIỀU XE'!$F$5:$F$604,A59))</f>
        <v/>
      </c>
      <c r="C59" s="21" t="str">
        <f>IF(A59="","",SUMIFS('LỆNH ĐIỀU XE'!$J$5:$J$604,'LỆNH ĐIỀU XE'!$B$5:$B$604,"&gt;="&amp;$F$3,'LỆNH ĐIỀU XE'!$B$5:$B$604,"&lt;="&amp;$H$3,'LỆNH ĐIỀU XE'!$F$5:$F$604,A59))</f>
        <v/>
      </c>
      <c r="D59" s="21" t="str">
        <f>IF(A59="","",SUMIFS('LỆNH ĐIỀU XE'!$M$5:$M$604,'LỆNH ĐIỀU XE'!$B$5:$B$604,"&gt;="&amp;$F$3,'LỆNH ĐIỀU XE'!$B$5:$B$604,"&lt;="&amp;$H$3,'LỆNH ĐIỀU XE'!$F$5:$F$604,A59))</f>
        <v/>
      </c>
      <c r="E59" s="21" t="str">
        <f>IF(A59="","",IF(SUMIFS('LỆNH ĐIỀU XE'!$J$5:$J$604,'LỆNH ĐIỀU XE'!$B$5:$B$604,"&gt;="&amp;$F$3,'LỆNH ĐIỀU XE'!$B$5:$B$604,"&lt;="&amp;$H$3)=0,0,ROUND(C59/SUMIFS('LỆNH ĐIỀU XE'!$J$5:$J$604,'LỆNH ĐIỀU XE'!$B$5:$B$604,"&gt;="&amp;$F$3,'LỆNH ĐIỀU XE'!$B$5:$B$604,"&lt;="&amp;$H$3)*$E$38,0)))</f>
        <v/>
      </c>
    </row>
    <row r="60" spans="1:5" x14ac:dyDescent="0.45">
      <c r="A60" s="16" t="str">
        <f>IF('THAM SỐ'!M22="","",'THAM SỐ'!M22)</f>
        <v/>
      </c>
      <c r="B60" s="21" t="str">
        <f>IF(A60="","",COUNTIFS('LỆNH ĐIỀU XE'!$B$5:$B$604,"&gt;="&amp;$F$3,'LỆNH ĐIỀU XE'!$B$5:$B$604,"&lt;="&amp;$H$3,'LỆNH ĐIỀU XE'!$F$5:$F$604,A60))</f>
        <v/>
      </c>
      <c r="C60" s="21" t="str">
        <f>IF(A60="","",SUMIFS('LỆNH ĐIỀU XE'!$J$5:$J$604,'LỆNH ĐIỀU XE'!$B$5:$B$604,"&gt;="&amp;$F$3,'LỆNH ĐIỀU XE'!$B$5:$B$604,"&lt;="&amp;$H$3,'LỆNH ĐIỀU XE'!$F$5:$F$604,A60))</f>
        <v/>
      </c>
      <c r="D60" s="21" t="str">
        <f>IF(A60="","",SUMIFS('LỆNH ĐIỀU XE'!$M$5:$M$604,'LỆNH ĐIỀU XE'!$B$5:$B$604,"&gt;="&amp;$F$3,'LỆNH ĐIỀU XE'!$B$5:$B$604,"&lt;="&amp;$H$3,'LỆNH ĐIỀU XE'!$F$5:$F$604,A60))</f>
        <v/>
      </c>
      <c r="E60" s="21" t="str">
        <f>IF(A60="","",IF(SUMIFS('LỆNH ĐIỀU XE'!$J$5:$J$604,'LỆNH ĐIỀU XE'!$B$5:$B$604,"&gt;="&amp;$F$3,'LỆNH ĐIỀU XE'!$B$5:$B$604,"&lt;="&amp;$H$3)=0,0,ROUND(C60/SUMIFS('LỆNH ĐIỀU XE'!$J$5:$J$604,'LỆNH ĐIỀU XE'!$B$5:$B$604,"&gt;="&amp;$F$3,'LỆNH ĐIỀU XE'!$B$5:$B$604,"&lt;="&amp;$H$3)*$E$38,0)))</f>
        <v/>
      </c>
    </row>
    <row r="61" spans="1:5" x14ac:dyDescent="0.45">
      <c r="A61" s="16" t="str">
        <f>IF('THAM SỐ'!M23="","",'THAM SỐ'!M23)</f>
        <v/>
      </c>
      <c r="B61" s="21" t="str">
        <f>IF(A61="","",COUNTIFS('LỆNH ĐIỀU XE'!$B$5:$B$604,"&gt;="&amp;$F$3,'LỆNH ĐIỀU XE'!$B$5:$B$604,"&lt;="&amp;$H$3,'LỆNH ĐIỀU XE'!$F$5:$F$604,A61))</f>
        <v/>
      </c>
      <c r="C61" s="21" t="str">
        <f>IF(A61="","",SUMIFS('LỆNH ĐIỀU XE'!$J$5:$J$604,'LỆNH ĐIỀU XE'!$B$5:$B$604,"&gt;="&amp;$F$3,'LỆNH ĐIỀU XE'!$B$5:$B$604,"&lt;="&amp;$H$3,'LỆNH ĐIỀU XE'!$F$5:$F$604,A61))</f>
        <v/>
      </c>
      <c r="D61" s="21" t="str">
        <f>IF(A61="","",SUMIFS('LỆNH ĐIỀU XE'!$M$5:$M$604,'LỆNH ĐIỀU XE'!$B$5:$B$604,"&gt;="&amp;$F$3,'LỆNH ĐIỀU XE'!$B$5:$B$604,"&lt;="&amp;$H$3,'LỆNH ĐIỀU XE'!$F$5:$F$604,A61))</f>
        <v/>
      </c>
      <c r="E61" s="21" t="str">
        <f>IF(A61="","",IF(SUMIFS('LỆNH ĐIỀU XE'!$J$5:$J$604,'LỆNH ĐIỀU XE'!$B$5:$B$604,"&gt;="&amp;$F$3,'LỆNH ĐIỀU XE'!$B$5:$B$604,"&lt;="&amp;$H$3)=0,0,ROUND(C61/SUMIFS('LỆNH ĐIỀU XE'!$J$5:$J$604,'LỆNH ĐIỀU XE'!$B$5:$B$604,"&gt;="&amp;$F$3,'LỆNH ĐIỀU XE'!$B$5:$B$604,"&lt;="&amp;$H$3)*$E$38,0)))</f>
        <v/>
      </c>
    </row>
    <row r="62" spans="1:5" x14ac:dyDescent="0.45">
      <c r="A62" s="16" t="str">
        <f>IF('THAM SỐ'!M24="","",'THAM SỐ'!M24)</f>
        <v/>
      </c>
      <c r="B62" s="21" t="str">
        <f>IF(A62="","",COUNTIFS('LỆNH ĐIỀU XE'!$B$5:$B$604,"&gt;="&amp;$F$3,'LỆNH ĐIỀU XE'!$B$5:$B$604,"&lt;="&amp;$H$3,'LỆNH ĐIỀU XE'!$F$5:$F$604,A62))</f>
        <v/>
      </c>
      <c r="C62" s="21" t="str">
        <f>IF(A62="","",SUMIFS('LỆNH ĐIỀU XE'!$J$5:$J$604,'LỆNH ĐIỀU XE'!$B$5:$B$604,"&gt;="&amp;$F$3,'LỆNH ĐIỀU XE'!$B$5:$B$604,"&lt;="&amp;$H$3,'LỆNH ĐIỀU XE'!$F$5:$F$604,A62))</f>
        <v/>
      </c>
      <c r="D62" s="21" t="str">
        <f>IF(A62="","",SUMIFS('LỆNH ĐIỀU XE'!$M$5:$M$604,'LỆNH ĐIỀU XE'!$B$5:$B$604,"&gt;="&amp;$F$3,'LỆNH ĐIỀU XE'!$B$5:$B$604,"&lt;="&amp;$H$3,'LỆNH ĐIỀU XE'!$F$5:$F$604,A62))</f>
        <v/>
      </c>
      <c r="E62" s="21" t="str">
        <f>IF(A62="","",IF(SUMIFS('LỆNH ĐIỀU XE'!$J$5:$J$604,'LỆNH ĐIỀU XE'!$B$5:$B$604,"&gt;="&amp;$F$3,'LỆNH ĐIỀU XE'!$B$5:$B$604,"&lt;="&amp;$H$3)=0,0,ROUND(C62/SUMIFS('LỆNH ĐIỀU XE'!$J$5:$J$604,'LỆNH ĐIỀU XE'!$B$5:$B$604,"&gt;="&amp;$F$3,'LỆNH ĐIỀU XE'!$B$5:$B$604,"&lt;="&amp;$H$3)*$E$38,0)))</f>
        <v/>
      </c>
    </row>
    <row r="64" spans="1:5" x14ac:dyDescent="0.45">
      <c r="A64" s="44" t="s">
        <v>204</v>
      </c>
    </row>
    <row r="65" spans="1:2" x14ac:dyDescent="0.45">
      <c r="A65" s="40" t="s">
        <v>314</v>
      </c>
      <c r="B65" s="38">
        <f ca="1">COUNTIF('LỊCH XE - TÀI XẾ'!$K$5:$K$44,"QUÁ HẠN")</f>
        <v>0</v>
      </c>
    </row>
    <row r="66" spans="1:2" x14ac:dyDescent="0.45">
      <c r="A66" s="40" t="s">
        <v>315</v>
      </c>
      <c r="B66" s="38">
        <f ca="1">COUNTIF('LỊCH XE - TÀI XẾ'!$K$5:$K$44,"Sắp đến hạn")</f>
        <v>0</v>
      </c>
    </row>
    <row r="67" spans="1:2" x14ac:dyDescent="0.45">
      <c r="A67" s="40" t="s">
        <v>316</v>
      </c>
      <c r="B67" s="38">
        <f ca="1">COUNTIF('LỊCH XE - TÀI XẾ'!$K$5:$K$44,"Chưa nhập")</f>
        <v>19</v>
      </c>
    </row>
  </sheetData>
  <conditionalFormatting sqref="B65">
    <cfRule type="cellIs" dxfId="5" priority="7" operator="greaterThan">
      <formula>0</formula>
    </cfRule>
  </conditionalFormatting>
  <conditionalFormatting sqref="B66:B67">
    <cfRule type="cellIs" dxfId="4" priority="8" operator="greaterThan">
      <formula>0</formula>
    </cfRule>
  </conditionalFormatting>
  <conditionalFormatting sqref="B23:D23">
    <cfRule type="expression" dxfId="3" priority="2">
      <formula>AND(ISNUMBER(B23),B23&gt;0.15)</formula>
    </cfRule>
  </conditionalFormatting>
  <conditionalFormatting sqref="B11:E12">
    <cfRule type="expression" dxfId="2" priority="4">
      <formula>AND(ISNUMBER(B11),B11&gt;0)</formula>
    </cfRule>
  </conditionalFormatting>
  <conditionalFormatting sqref="B30:E30">
    <cfRule type="expression" dxfId="0" priority="5">
      <formula>AND(ISNUMBER(B30),B30&gt;0)</formula>
    </cfRule>
  </conditionalFormatting>
  <dataValidations count="1">
    <dataValidation type="list" allowBlank="1" sqref="B3" xr:uid="{00000000-0002-0000-0800-000000000000}">
      <formula1>"1,2,3,4,5,6,7,8,9,10,11,12"</formula1>
      <formula2>0</formula2>
    </dataValidation>
  </dataValidations>
  <pageMargins left="0.75" right="0.75" top="1" bottom="1" header="0.511811023622047" footer="0.511811023622047"/>
  <pageSetup paperSize="9" orientation="portrait" horizontalDpi="300" verticalDpi="300"/>
  <drawing r:id="rId1"/>
  <extLst>
    <ext xmlns:x14="http://schemas.microsoft.com/office/spreadsheetml/2009/9/main" uri="{78C0D931-6437-407d-A8EE-F0AAD7539E65}">
      <x14:conditionalFormattings>
        <x14:conditionalFormatting xmlns:xm="http://schemas.microsoft.com/office/excel/2006/main">
          <x14:cfRule type="expression" priority="3" id="{00000000-000E-0000-0800-000003000000}">
            <xm:f>AND(ISNUMBER(B16),B16&lt;'THAM SỐ'!$B$33)</xm:f>
            <x14:dxf>
              <fill>
                <patternFill>
                  <bgColor rgb="FFF8CBAD"/>
                </patternFill>
              </fill>
            </x14:dxf>
          </x14:cfRule>
          <xm:sqref>B16:E16</xm:sqref>
        </x14:conditionalFormatting>
      </x14:conditionalFormatting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7F7F7F"/>
  </sheetPr>
  <dimension ref="A1:M34"/>
  <sheetViews>
    <sheetView showGridLines="0" zoomScaleNormal="100" workbookViewId="0"/>
  </sheetViews>
  <sheetFormatPr defaultColWidth="8.6640625" defaultRowHeight="14.25" x14ac:dyDescent="0.45"/>
  <cols>
    <col min="1" max="1" width="34" customWidth="1"/>
    <col min="2" max="2" width="18" customWidth="1"/>
    <col min="3" max="3" width="14" customWidth="1"/>
    <col min="4" max="5" width="16" customWidth="1"/>
    <col min="6" max="6" width="14" customWidth="1"/>
    <col min="7" max="7" width="52" customWidth="1"/>
    <col min="8" max="8" width="3" customWidth="1"/>
    <col min="9" max="9" width="22" customWidth="1"/>
    <col min="10" max="10" width="14" customWidth="1"/>
    <col min="11" max="11" width="24" customWidth="1"/>
    <col min="12" max="12" width="22" customWidth="1"/>
    <col min="13" max="13" width="28" customWidth="1"/>
  </cols>
  <sheetData>
    <row r="1" spans="1:13" ht="17.649999999999999" x14ac:dyDescent="0.5">
      <c r="A1" s="5" t="s">
        <v>317</v>
      </c>
    </row>
    <row r="2" spans="1:13" x14ac:dyDescent="0.45">
      <c r="A2" s="6" t="s">
        <v>318</v>
      </c>
    </row>
    <row r="3" spans="1:13" x14ac:dyDescent="0.45">
      <c r="A3" s="44" t="s">
        <v>319</v>
      </c>
      <c r="I3" s="44" t="s">
        <v>320</v>
      </c>
    </row>
    <row r="4" spans="1:13" ht="42" customHeight="1" x14ac:dyDescent="0.45">
      <c r="A4" s="15" t="s">
        <v>321</v>
      </c>
      <c r="B4" s="15" t="s">
        <v>322</v>
      </c>
      <c r="C4" s="15" t="s">
        <v>323</v>
      </c>
      <c r="D4" s="15" t="s">
        <v>293</v>
      </c>
      <c r="E4" s="15" t="s">
        <v>324</v>
      </c>
      <c r="F4" s="15" t="s">
        <v>71</v>
      </c>
      <c r="G4" s="15" t="s">
        <v>75</v>
      </c>
      <c r="I4" s="15" t="s">
        <v>58</v>
      </c>
      <c r="J4" s="15" t="s">
        <v>325</v>
      </c>
      <c r="K4" s="15" t="s">
        <v>326</v>
      </c>
      <c r="L4" s="15" t="s">
        <v>327</v>
      </c>
      <c r="M4" s="15" t="s">
        <v>59</v>
      </c>
    </row>
    <row r="5" spans="1:13" x14ac:dyDescent="0.45">
      <c r="A5" s="18" t="s">
        <v>76</v>
      </c>
      <c r="B5" s="18" t="s">
        <v>328</v>
      </c>
      <c r="C5" s="18" t="s">
        <v>329</v>
      </c>
      <c r="D5" s="18">
        <v>10</v>
      </c>
      <c r="E5" s="18">
        <v>2</v>
      </c>
      <c r="F5" s="18">
        <v>1750</v>
      </c>
      <c r="G5" s="18" t="s">
        <v>330</v>
      </c>
      <c r="I5" s="18" t="s">
        <v>78</v>
      </c>
      <c r="J5" s="18" t="s">
        <v>199</v>
      </c>
      <c r="K5" s="18" t="s">
        <v>200</v>
      </c>
      <c r="L5" s="18" t="s">
        <v>83</v>
      </c>
      <c r="M5" s="18" t="s">
        <v>78</v>
      </c>
    </row>
    <row r="6" spans="1:13" x14ac:dyDescent="0.45">
      <c r="A6" s="18" t="s">
        <v>85</v>
      </c>
      <c r="B6" s="18" t="s">
        <v>331</v>
      </c>
      <c r="C6" s="18" t="s">
        <v>332</v>
      </c>
      <c r="D6" s="18">
        <v>9</v>
      </c>
      <c r="E6" s="18">
        <v>2</v>
      </c>
      <c r="F6" s="18">
        <v>1900</v>
      </c>
      <c r="G6" s="18" t="s">
        <v>333</v>
      </c>
      <c r="I6" s="18" t="s">
        <v>87</v>
      </c>
      <c r="J6" s="18" t="s">
        <v>190</v>
      </c>
      <c r="K6" s="18" t="s">
        <v>334</v>
      </c>
      <c r="L6" s="18" t="s">
        <v>97</v>
      </c>
      <c r="M6" s="18" t="s">
        <v>88</v>
      </c>
    </row>
    <row r="7" spans="1:13" x14ac:dyDescent="0.45">
      <c r="A7" s="18"/>
      <c r="B7" s="18"/>
      <c r="C7" s="18"/>
      <c r="D7" s="18"/>
      <c r="E7" s="18"/>
      <c r="F7" s="18"/>
      <c r="G7" s="18" t="s">
        <v>335</v>
      </c>
      <c r="I7" s="18" t="s">
        <v>91</v>
      </c>
      <c r="J7" s="18" t="s">
        <v>195</v>
      </c>
      <c r="K7" s="18" t="s">
        <v>336</v>
      </c>
      <c r="L7" s="18" t="s">
        <v>100</v>
      </c>
      <c r="M7" s="18" t="s">
        <v>92</v>
      </c>
    </row>
    <row r="8" spans="1:13" x14ac:dyDescent="0.45">
      <c r="I8" s="18" t="s">
        <v>337</v>
      </c>
      <c r="J8" s="18"/>
      <c r="K8" s="18" t="s">
        <v>338</v>
      </c>
      <c r="L8" s="18"/>
      <c r="M8" s="18" t="s">
        <v>94</v>
      </c>
    </row>
    <row r="9" spans="1:13" x14ac:dyDescent="0.45">
      <c r="A9" s="44" t="s">
        <v>339</v>
      </c>
      <c r="I9" s="18"/>
      <c r="J9" s="18"/>
      <c r="K9" s="18" t="s">
        <v>191</v>
      </c>
      <c r="L9" s="18"/>
      <c r="M9" s="18"/>
    </row>
    <row r="10" spans="1:13" x14ac:dyDescent="0.45">
      <c r="A10" s="15" t="s">
        <v>340</v>
      </c>
      <c r="B10" s="15" t="s">
        <v>341</v>
      </c>
      <c r="C10" s="15" t="s">
        <v>342</v>
      </c>
      <c r="D10" s="15" t="s">
        <v>75</v>
      </c>
      <c r="I10" s="18"/>
      <c r="J10" s="18"/>
      <c r="K10" s="18" t="s">
        <v>196</v>
      </c>
      <c r="L10" s="18"/>
      <c r="M10" s="18"/>
    </row>
    <row r="11" spans="1:13" x14ac:dyDescent="0.45">
      <c r="A11" s="18" t="s">
        <v>77</v>
      </c>
      <c r="B11" s="18" t="s">
        <v>76</v>
      </c>
      <c r="C11" s="18" t="s">
        <v>343</v>
      </c>
      <c r="D11" s="18" t="s">
        <v>344</v>
      </c>
      <c r="I11" s="18"/>
      <c r="J11" s="18"/>
      <c r="K11" s="18" t="s">
        <v>345</v>
      </c>
      <c r="L11" s="18"/>
      <c r="M11" s="18"/>
    </row>
    <row r="12" spans="1:13" x14ac:dyDescent="0.45">
      <c r="A12" s="18" t="s">
        <v>86</v>
      </c>
      <c r="B12" s="18" t="s">
        <v>85</v>
      </c>
      <c r="C12" s="18"/>
      <c r="D12" s="18" t="s">
        <v>346</v>
      </c>
      <c r="I12" s="18"/>
      <c r="J12" s="18"/>
      <c r="K12" s="18" t="s">
        <v>347</v>
      </c>
      <c r="L12" s="18"/>
      <c r="M12" s="18"/>
    </row>
    <row r="13" spans="1:13" x14ac:dyDescent="0.45">
      <c r="A13" s="18"/>
      <c r="B13" s="18"/>
      <c r="C13" s="18"/>
      <c r="D13" s="18"/>
      <c r="I13" s="18"/>
      <c r="J13" s="18"/>
      <c r="K13" s="18" t="s">
        <v>348</v>
      </c>
      <c r="L13" s="18"/>
      <c r="M13" s="18"/>
    </row>
    <row r="14" spans="1:13" x14ac:dyDescent="0.45">
      <c r="A14" s="18"/>
      <c r="B14" s="18"/>
      <c r="C14" s="18"/>
      <c r="D14" s="18"/>
      <c r="I14" s="18"/>
      <c r="J14" s="18"/>
      <c r="K14" s="18" t="s">
        <v>349</v>
      </c>
      <c r="L14" s="18"/>
      <c r="M14" s="18"/>
    </row>
    <row r="15" spans="1:13" x14ac:dyDescent="0.45">
      <c r="I15" s="18"/>
      <c r="J15" s="18"/>
      <c r="K15" s="18" t="s">
        <v>350</v>
      </c>
      <c r="L15" s="18"/>
      <c r="M15" s="18"/>
    </row>
    <row r="16" spans="1:13" x14ac:dyDescent="0.45">
      <c r="A16" s="44" t="s">
        <v>351</v>
      </c>
      <c r="I16" s="18"/>
      <c r="J16" s="18"/>
      <c r="K16" s="18" t="s">
        <v>337</v>
      </c>
      <c r="L16" s="18"/>
      <c r="M16" s="18"/>
    </row>
    <row r="17" spans="1:13" x14ac:dyDescent="0.45">
      <c r="A17" s="15" t="s">
        <v>352</v>
      </c>
      <c r="B17" s="15" t="s">
        <v>168</v>
      </c>
      <c r="M17" s="18"/>
    </row>
    <row r="18" spans="1:13" x14ac:dyDescent="0.45">
      <c r="A18" s="40" t="s">
        <v>159</v>
      </c>
      <c r="B18" s="19">
        <v>75000</v>
      </c>
      <c r="C18" s="52" t="s">
        <v>353</v>
      </c>
      <c r="M18" s="18"/>
    </row>
    <row r="19" spans="1:13" x14ac:dyDescent="0.45">
      <c r="A19" s="40" t="s">
        <v>160</v>
      </c>
      <c r="B19" s="19">
        <v>50000</v>
      </c>
      <c r="M19" s="18"/>
    </row>
    <row r="20" spans="1:13" x14ac:dyDescent="0.45">
      <c r="A20" s="40" t="s">
        <v>161</v>
      </c>
      <c r="B20" s="19">
        <v>75000</v>
      </c>
      <c r="M20" s="18"/>
    </row>
    <row r="21" spans="1:13" x14ac:dyDescent="0.45">
      <c r="A21" s="40" t="s">
        <v>162</v>
      </c>
      <c r="B21" s="19">
        <v>100000</v>
      </c>
      <c r="M21" s="18"/>
    </row>
    <row r="22" spans="1:13" x14ac:dyDescent="0.45">
      <c r="M22" s="18"/>
    </row>
    <row r="23" spans="1:13" x14ac:dyDescent="0.45">
      <c r="A23" s="44" t="s">
        <v>354</v>
      </c>
      <c r="M23" s="18"/>
    </row>
    <row r="24" spans="1:13" x14ac:dyDescent="0.45">
      <c r="A24" s="15" t="s">
        <v>237</v>
      </c>
      <c r="B24" s="15" t="s">
        <v>355</v>
      </c>
      <c r="C24" s="15" t="s">
        <v>356</v>
      </c>
      <c r="M24" s="18"/>
    </row>
    <row r="25" spans="1:13" x14ac:dyDescent="0.45">
      <c r="A25" s="40" t="s">
        <v>357</v>
      </c>
      <c r="B25" s="18">
        <v>10</v>
      </c>
      <c r="C25" s="40" t="s">
        <v>358</v>
      </c>
      <c r="M25" s="18"/>
    </row>
    <row r="26" spans="1:13" x14ac:dyDescent="0.45">
      <c r="A26" s="40" t="s">
        <v>359</v>
      </c>
      <c r="B26" s="18">
        <v>48</v>
      </c>
      <c r="C26" s="40" t="s">
        <v>360</v>
      </c>
      <c r="M26" s="18"/>
    </row>
    <row r="27" spans="1:13" x14ac:dyDescent="0.45">
      <c r="A27" s="40" t="s">
        <v>361</v>
      </c>
      <c r="B27" s="18">
        <v>12</v>
      </c>
      <c r="C27" s="40" t="s">
        <v>244</v>
      </c>
      <c r="M27" s="18"/>
    </row>
    <row r="28" spans="1:13" x14ac:dyDescent="0.45">
      <c r="A28" s="40" t="s">
        <v>362</v>
      </c>
      <c r="B28" s="53">
        <v>0.15</v>
      </c>
      <c r="C28" s="40" t="s">
        <v>363</v>
      </c>
      <c r="M28" s="18"/>
    </row>
    <row r="29" spans="1:13" x14ac:dyDescent="0.45">
      <c r="A29" s="40" t="s">
        <v>364</v>
      </c>
      <c r="B29" s="18">
        <v>30</v>
      </c>
      <c r="C29" s="40" t="s">
        <v>365</v>
      </c>
      <c r="M29" s="18"/>
    </row>
    <row r="30" spans="1:13" x14ac:dyDescent="0.45">
      <c r="A30" s="40" t="s">
        <v>366</v>
      </c>
      <c r="B30" s="53">
        <v>0.1</v>
      </c>
      <c r="C30" s="40" t="s">
        <v>367</v>
      </c>
      <c r="M30" s="18"/>
    </row>
    <row r="31" spans="1:13" x14ac:dyDescent="0.45">
      <c r="A31" s="40" t="s">
        <v>368</v>
      </c>
      <c r="B31" s="18">
        <v>30</v>
      </c>
      <c r="C31" s="40" t="s">
        <v>369</v>
      </c>
      <c r="M31" s="18"/>
    </row>
    <row r="32" spans="1:13" x14ac:dyDescent="0.45">
      <c r="A32" s="40" t="s">
        <v>370</v>
      </c>
      <c r="B32" s="18">
        <v>500</v>
      </c>
      <c r="C32" s="40" t="s">
        <v>371</v>
      </c>
      <c r="M32" s="18"/>
    </row>
    <row r="33" spans="1:13" x14ac:dyDescent="0.45">
      <c r="A33" s="40" t="s">
        <v>372</v>
      </c>
      <c r="B33" s="53">
        <v>0.5</v>
      </c>
      <c r="C33" s="40" t="s">
        <v>373</v>
      </c>
      <c r="M33" s="18"/>
    </row>
    <row r="34" spans="1:13" x14ac:dyDescent="0.45">
      <c r="A34" s="40" t="s">
        <v>374</v>
      </c>
      <c r="B34" s="18">
        <v>0</v>
      </c>
      <c r="C34" s="40" t="s">
        <v>375</v>
      </c>
      <c r="M34" s="18"/>
    </row>
  </sheetData>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HƯỚNG DẪN</vt:lpstr>
      <vt:lpstr>LỆNH ĐIỀU XE</vt:lpstr>
      <vt:lpstr>NHẬT KÝ NGÀY</vt:lpstr>
      <vt:lpstr>CHẶNG TĂNG CA</vt:lpstr>
      <vt:lpstr>NHẬT KÝ DẦU</vt:lpstr>
      <vt:lpstr>SỔ SỰ CỐ - CHI PHÍ</vt:lpstr>
      <vt:lpstr>LỊCH XE - TÀI XẾ</vt:lpstr>
      <vt:lpstr>BÁO CÁO TUẦN</vt:lpstr>
      <vt:lpstr>BÁO CÁO THÁNG</vt:lpstr>
      <vt:lpstr>THAM SỐ</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Kỳ Duyên Đặng</cp:lastModifiedBy>
  <cp:revision>1</cp:revision>
  <dcterms:created xsi:type="dcterms:W3CDTF">2026-10-10T05:09:32Z</dcterms:created>
  <dcterms:modified xsi:type="dcterms:W3CDTF">2026-10-10T05:34:28Z</dcterms:modified>
  <dc:language>en-US</dc:language>
</cp:coreProperties>
</file>